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entario" sheetId="1" r:id="rId5"/>
    <sheet state="visible" name="Caja" sheetId="2" r:id="rId6"/>
    <sheet state="visible" name="Ventas" sheetId="3" r:id="rId7"/>
    <sheet state="visible" name="config_sistema" sheetId="4" r:id="rId8"/>
    <sheet state="visible" name="Historial" sheetId="5" r:id="rId9"/>
    <sheet state="visible" name="Ajuste_Rapido" sheetId="6" r:id="rId10"/>
    <sheet state="visible" name="Proveedores" sheetId="7" r:id="rId11"/>
    <sheet state="visible" name="productos_lentos" sheetId="8" r:id="rId12"/>
    <sheet state="visible" name="REPORTES" sheetId="9" r:id="rId13"/>
    <sheet state="visible" name="Interruptores_Log" sheetId="10" r:id="rId14"/>
    <sheet state="visible" name="Lista de compra" sheetId="11" r:id="rId15"/>
    <sheet state="visible" name="Manual Oferta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tc={1bd4076c-058a-44e0-87f4-5f3b3291babe}</author>
    <author>tc={5770c9a3-51ec-4951-9886-9dd6538fed89}</author>
    <author>tc={647e5974-21ee-46f7-82c5-f700effdee5e}</author>
    <author>tc={6e2b0fab-c8e0-4406-b271-9a3b2ce5d4dd}</author>
    <author>tc={7dd2813e-1417-45bd-8c54-db2c9299e314}</author>
    <author>tc={fac077e3-366d-4fed-8bfb-da7e6dd6a832}</author>
  </authors>
  <commentList>
    <comment authorId="0" ref="L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PRODCUTO EN CAT. PROMOS Y TIENE STOCK. AQUI HACE QUE LA OFERTA SE VEA ASI:
(EJEMPLO):
ANTES 2000 Y AHORA 1600
</t>
      </text>
    </comment>
    <comment authorId="0" ref="M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ERA PARA LANZAR MENSAJES EMERGENTE CON ANTOJOS
</t>
      </text>
    </comment>
    <comment authorId="0" ref="Q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ULTIMO DIA PARA PENSAR TUPEDIDO PRODCUTO/PROVEEDOR
</t>
      </text>
    </comment>
    <comment authorId="0" ref="R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USADOS PARA CONTENEDOR ULTIMAS UNIDADES EVITA QUE SE REPITAN MAS DE DOS DIAS EL MISMO PRODUCTO
</t>
      </text>
    </comment>
    <comment authorId="1" xr:uid="{1bd4076c-058a-44e0-87f4-5f3b3291bab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USADOS PARA CONTENEDOR ULTIMAS UNIDADES EVITA QUE SE REPITAN MAS DE DOS DIAS EL MISMO PRODUCTO
</t>
      </text>
    </comment>
    <comment authorId="2" xr:uid="{5770c9a3-51ec-4951-9886-9dd6538fed8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ERA PARA LANZAR MENSAJES EMERGENTE CON ANTOJOS
</t>
      </text>
    </comment>
    <comment authorId="3" xr:uid="{647e5974-21ee-46f7-82c5-f700effdee5e}" ref="P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COLUMNA P ES LLENADA AUTOMATICAMENTE POR PAGINA VENTAS.HTML QUE LO OBTIENE DEL HISTORIASL DE PRODUCTOS INGRESADOS
</t>
      </text>
    </comment>
    <comment authorId="4" xr:uid="{6e2b0fab-c8e0-4406-b271-9a3b2ce5d4d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ULTIMO DIA PARA PENSAR TUPEDIDO PRODCUTO/PROVEEDOR
</t>
      </text>
    </comment>
    <comment authorId="5" xr:uid="{7dd2813e-1417-45bd-8c54-db2c9299e31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PRODCUTO EN CAT. PROMOS Y TIENE STOCK. AQUI HACE QUE LA OFERTA SE VEA ASI:
(EJEMPLO):
ANTES 2000 Y AHORA 1600
</t>
      </text>
    </comment>
    <comment authorId="6" xr:uid="{fac077e3-366d-4fed-8bfb-da7e6dd6a832}" ref="N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ALGORITMO DE LA PAGINA DE VENTAS.HTML COMPLETA ESTA COLUMNA SEGUN ESTADISTICAS DE CADA PRODUCTO.
MODIFICA AUTOMATICAMENTE
SOLUMNAS N Y O
</t>
      </text>
    </comment>
  </commentList>
</comments>
</file>

<file path=xl/sharedStrings.xml><?xml version="1.0" encoding="utf-8"?>
<sst xmlns="http://schemas.openxmlformats.org/spreadsheetml/2006/main" count="8428" uniqueCount="2339">
  <si>
    <t>PRODUCTOS</t>
  </si>
  <si>
    <t>PRECIO</t>
  </si>
  <si>
    <t>CATEGORIA</t>
  </si>
  <si>
    <t>DESCRIPCION</t>
  </si>
  <si>
    <t>Proveedor</t>
  </si>
  <si>
    <t>STOCK</t>
  </si>
  <si>
    <t>Relampago</t>
  </si>
  <si>
    <t>Destacada</t>
  </si>
  <si>
    <t>Especial</t>
  </si>
  <si>
    <t>categoriaOferta</t>
  </si>
  <si>
    <t>PT (PRECIO TECNICO)</t>
  </si>
  <si>
    <t>promos</t>
  </si>
  <si>
    <t>antojo_popup</t>
  </si>
  <si>
    <t>stock_min_popup</t>
  </si>
  <si>
    <t>ROTACION</t>
  </si>
  <si>
    <t>Vencimiento</t>
  </si>
  <si>
    <t>diaCritico</t>
  </si>
  <si>
    <t>ULTIMAS</t>
  </si>
  <si>
    <t>Costo</t>
  </si>
  <si>
    <t>ESTADO</t>
  </si>
  <si>
    <t>POR VENCER</t>
  </si>
  <si>
    <t>Ventas7d</t>
  </si>
  <si>
    <t>Ventas30d</t>
  </si>
  <si>
    <t>PromDia</t>
  </si>
  <si>
    <t>DiasStock</t>
  </si>
  <si>
    <t>DiasRepo</t>
  </si>
  <si>
    <t>StockObjetivo</t>
  </si>
  <si>
    <t>CompraSugerida</t>
  </si>
  <si>
    <t>DiasParaVencer</t>
  </si>
  <si>
    <t>DiasParaLiquidar</t>
  </si>
  <si>
    <t>RiesgoVencimiento</t>
  </si>
  <si>
    <t>PrioridadEmpuje</t>
  </si>
  <si>
    <t>StockPisoManual</t>
  </si>
  <si>
    <t>AlertaPisoManual</t>
  </si>
  <si>
    <t>ALFAJOR 3 BON O BON 60GR</t>
  </si>
  <si>
    <t>ALFAJORES</t>
  </si>
  <si>
    <t>ID015</t>
  </si>
  <si>
    <t>jueves</t>
  </si>
  <si>
    <t>OK</t>
  </si>
  <si>
    <t>EMPUJAR</t>
  </si>
  <si>
    <t>ALFAJOR AGUILA TORTA 69GR</t>
  </si>
  <si>
    <t>ID016</t>
  </si>
  <si>
    <t>MERCADO LIBRE</t>
  </si>
  <si>
    <t>viernes</t>
  </si>
  <si>
    <t>NORMAL</t>
  </si>
  <si>
    <t>ALFAJOR BON O BON 40GR</t>
  </si>
  <si>
    <t>ID017</t>
  </si>
  <si>
    <t>CARREFOUR</t>
  </si>
  <si>
    <t>sábado</t>
  </si>
  <si>
    <t>ALFAJOR COFLER BLOCK 60GR</t>
  </si>
  <si>
    <t>ID018</t>
  </si>
  <si>
    <t>domingo</t>
  </si>
  <si>
    <t>ALERTA</t>
  </si>
  <si>
    <t>EMPUJAR YA</t>
  </si>
  <si>
    <t>ALFAJOR GENIO TRIPLE BLANCO 60GR</t>
  </si>
  <si>
    <t>ID019</t>
  </si>
  <si>
    <t>CHANGO MAS</t>
  </si>
  <si>
    <t>lunes</t>
  </si>
  <si>
    <t>ALFAJOR GENIO TRIPLE NEGRO 60GR</t>
  </si>
  <si>
    <t>ID020</t>
  </si>
  <si>
    <t>martes</t>
  </si>
  <si>
    <t>ALFAJOR GUAYMALLEN CHOCOLATE BLANCO 38GR</t>
  </si>
  <si>
    <t>ID021</t>
  </si>
  <si>
    <t>miércoles</t>
  </si>
  <si>
    <t>ALFAJOR MILKA MOUSSE TRIPLE 55GR</t>
  </si>
  <si>
    <t>ID024</t>
  </si>
  <si>
    <t>ALFAJOR NEGRO RASTA 70GR</t>
  </si>
  <si>
    <t>ID025</t>
  </si>
  <si>
    <t>ALFAJOR PEPITOS X3 57GR</t>
  </si>
  <si>
    <t>ID027</t>
  </si>
  <si>
    <t>ALFAJOR TERRABUSI CHOCOLATE TRIPLE 70GR</t>
  </si>
  <si>
    <t>ID028</t>
  </si>
  <si>
    <t>ALFAJOR TRIPLE FANTOCHE BLANCO</t>
  </si>
  <si>
    <t>ID029</t>
  </si>
  <si>
    <t>PUELCHE</t>
  </si>
  <si>
    <t>EMPUJAR SUAVE</t>
  </si>
  <si>
    <t>ALFAJOR TRIPLE FANTOCHE NEGRO</t>
  </si>
  <si>
    <t>ID030</t>
  </si>
  <si>
    <t>ALFAJOR TRIPLE PEPITOS 57GR</t>
  </si>
  <si>
    <t>ID031</t>
  </si>
  <si>
    <t>ALFAJOR TRIPLE TRI SHOT 60GR</t>
  </si>
  <si>
    <t>ID032</t>
  </si>
  <si>
    <t>FANTOCHE MINI BLANCO X6U</t>
  </si>
  <si>
    <t>ID189</t>
  </si>
  <si>
    <t>FANTOCHE MINI NEGRO X6U</t>
  </si>
  <si>
    <t>ID190</t>
  </si>
  <si>
    <t>ACEITE DE GIRASOL 900CC NATURA</t>
  </si>
  <si>
    <t>ALMACEN</t>
  </si>
  <si>
    <t>ID002</t>
  </si>
  <si>
    <t>ACEITUNAS 300GR CASTELL OLIVAS VERDES</t>
  </si>
  <si>
    <t>ID005</t>
  </si>
  <si>
    <t>ALIMENTO GATOS RAZA PESCADO 500GR</t>
  </si>
  <si>
    <t>ID042</t>
  </si>
  <si>
    <t>ARROZ 1KG GALLO NO SE PASA</t>
  </si>
  <si>
    <t>ID049</t>
  </si>
  <si>
    <t>ARROZ 1KG PRIMOR</t>
  </si>
  <si>
    <t>ID052</t>
  </si>
  <si>
    <t>ARROZ 500GR GALLO NO SE PASA</t>
  </si>
  <si>
    <t>ID053</t>
  </si>
  <si>
    <t>ARROZ LUCCHETTI NO SE PASA 500GR</t>
  </si>
  <si>
    <t>ID054</t>
  </si>
  <si>
    <t>ARROZ MAXIMO LARGO FINO RICO Y RENDIDOR 1KG</t>
  </si>
  <si>
    <t>ID055</t>
  </si>
  <si>
    <t>ARVEJAS SECAS REMOJADAS INALPA 300G</t>
  </si>
  <si>
    <t>ID057</t>
  </si>
  <si>
    <t>ATUN EN ACEITE LOMITOS LA CAMPAGNOLA 170GR</t>
  </si>
  <si>
    <t>ID059</t>
  </si>
  <si>
    <t>ATUN LOMITOS LA ANONIMA 160GR</t>
  </si>
  <si>
    <t>ID062</t>
  </si>
  <si>
    <t>LA ANONIMA</t>
  </si>
  <si>
    <t>AZUCAR 1KG ECONOMICA</t>
  </si>
  <si>
    <t>ID066</t>
  </si>
  <si>
    <t>AZUCAR LEDESMA 1KG</t>
  </si>
  <si>
    <t>ID067</t>
  </si>
  <si>
    <t>SUPERMERCADO TODO</t>
  </si>
  <si>
    <t>BICARBONATO DE SODIO</t>
  </si>
  <si>
    <t>ID070</t>
  </si>
  <si>
    <t>BISCOCHUELO EXQUISITA CHOCOLATE 540GR</t>
  </si>
  <si>
    <t>ID071</t>
  </si>
  <si>
    <t>CALDO DE GALLINA MAGGI 6u x 9.5GR</t>
  </si>
  <si>
    <t>ID109</t>
  </si>
  <si>
    <t>CHOCOLATADA LATTE BAGGIO 200ML SHAKE</t>
  </si>
  <si>
    <t>ID146</t>
  </si>
  <si>
    <t>COMIDA DE GATO RAZA CASTRADO 500GR</t>
  </si>
  <si>
    <t>ID151</t>
  </si>
  <si>
    <t>CUMANÁ ATUN DESMENUZADO EN ACEITE Y AGUA 170 GR</t>
  </si>
  <si>
    <t>ID158</t>
  </si>
  <si>
    <t>DETERGENTE CIF BIOACTIVE X5PODER DESENGRASANTE 300ML</t>
  </si>
  <si>
    <t>ID163</t>
  </si>
  <si>
    <t>DULCE DE LECHE CLASICO LA SERENISIMA 400GR</t>
  </si>
  <si>
    <t>ID179</t>
  </si>
  <si>
    <t>DULCE DE LECHE TONADITA 400GR</t>
  </si>
  <si>
    <t>ID180</t>
  </si>
  <si>
    <t>FIDEOS DON VICENTE CASERITO 500GR</t>
  </si>
  <si>
    <t>ID195</t>
  </si>
  <si>
    <t>FIDEOS DON VICENTE FETUCCINI 500GR</t>
  </si>
  <si>
    <t>ID196</t>
  </si>
  <si>
    <t>FIDEOS FORATTINI LUCCHETTI x 500GR</t>
  </si>
  <si>
    <t>ID197</t>
  </si>
  <si>
    <t>FIDEOS LUCCHETTI 500GR (TODOS)</t>
  </si>
  <si>
    <t>ID198</t>
  </si>
  <si>
    <t>FIDEOS MATARAZZO 500GR (MOÑOS) 500 GR</t>
  </si>
  <si>
    <t>ID201</t>
  </si>
  <si>
    <t>FIDEOS MATARAZZO 500GR (TIRABUZON) 500 GR</t>
  </si>
  <si>
    <t>ID203</t>
  </si>
  <si>
    <t>FIDEOS MOSTACHOLES N52 RAYADO LUCCHETTI x 500GR</t>
  </si>
  <si>
    <t>ID204</t>
  </si>
  <si>
    <t>MAXICONSUMO</t>
  </si>
  <si>
    <t>HARINA 1KG 000 CAÑUELAS</t>
  </si>
  <si>
    <t>ID291</t>
  </si>
  <si>
    <t>HARINA 1KG 0000</t>
  </si>
  <si>
    <t>ID292</t>
  </si>
  <si>
    <t>HARINA 1KG 0000 FAVORITA</t>
  </si>
  <si>
    <t>ID293</t>
  </si>
  <si>
    <t>HARINA 1KG 0000 PUREZA</t>
  </si>
  <si>
    <t>ID294</t>
  </si>
  <si>
    <t>HARINA 1KG LEUDANTE PUREZA</t>
  </si>
  <si>
    <t>ID295</t>
  </si>
  <si>
    <t>HUEVO X UNIDAD</t>
  </si>
  <si>
    <t>ID304</t>
  </si>
  <si>
    <t>JUGO DE LIMON MINERVA 250ML</t>
  </si>
  <si>
    <t>ID325</t>
  </si>
  <si>
    <t>JUGO EN POLVO BC SABOR A LIMONADA 7G 1L</t>
  </si>
  <si>
    <t>ID329</t>
  </si>
  <si>
    <t>JUGO EN POLVO FRUTILLA TANG X 15GR</t>
  </si>
  <si>
    <t>ID334</t>
  </si>
  <si>
    <t>JUGO EN POLVO GALÁCTICO TANG X 15GR</t>
  </si>
  <si>
    <t>ID335</t>
  </si>
  <si>
    <t>JUGO EN POLVO LIMONADA DULCE TANG X 15GR</t>
  </si>
  <si>
    <t>ID336</t>
  </si>
  <si>
    <t>JUGO EN POLVO MANZANA ARCOR x 15GR</t>
  </si>
  <si>
    <t>ID338</t>
  </si>
  <si>
    <t>JUGO EN POLVO NARANJA BANANA ARCOR x 15GR</t>
  </si>
  <si>
    <t>ID340</t>
  </si>
  <si>
    <t>JUGO EN POLVO NARANJA MANGO TANG X 15GR</t>
  </si>
  <si>
    <t>ID342</t>
  </si>
  <si>
    <t>JUGO EN POLVO PERA TANG X 15GR</t>
  </si>
  <si>
    <t>ID343</t>
  </si>
  <si>
    <t>JUGO EN POLVO POMELO ROSADO TANG X 15GR</t>
  </si>
  <si>
    <t>ID344</t>
  </si>
  <si>
    <t>JUGO EN POLVO UVA TANG X 15GR</t>
  </si>
  <si>
    <t>ID345</t>
  </si>
  <si>
    <t>LATA ARVEJAS OKEY SECAS REMOJADAS 350GR</t>
  </si>
  <si>
    <t>ID356</t>
  </si>
  <si>
    <t>DIARCO</t>
  </si>
  <si>
    <t>LENTEJAS INCA 350GR LATA</t>
  </si>
  <si>
    <t>ID366</t>
  </si>
  <si>
    <t>LEVADURA 10GR</t>
  </si>
  <si>
    <t>ID369</t>
  </si>
  <si>
    <t>MANTECA CLASICA LA SERENISIMA 100GR</t>
  </si>
  <si>
    <t>ID377</t>
  </si>
  <si>
    <t>MANTECA CLASICA LA TONADITA 100GR</t>
  </si>
  <si>
    <t>ID378</t>
  </si>
  <si>
    <t>MAYONESA HELLMANNS 237G</t>
  </si>
  <si>
    <t>ID381</t>
  </si>
  <si>
    <t>MAYONESA NATURA 250GR</t>
  </si>
  <si>
    <t>ID382</t>
  </si>
  <si>
    <t>NATURA KETCHUP 250GR</t>
  </si>
  <si>
    <t>ID394</t>
  </si>
  <si>
    <t>NATURA SALSA GOLF 250GR</t>
  </si>
  <si>
    <t>ID396</t>
  </si>
  <si>
    <t>NATURA SAVORA 250GR</t>
  </si>
  <si>
    <t>ID397</t>
  </si>
  <si>
    <t>NESQUIK ORIGINAL 150GR</t>
  </si>
  <si>
    <t>ID398</t>
  </si>
  <si>
    <t>PAN PARA HAMBURGUESAS BIMBO 4U 210GR</t>
  </si>
  <si>
    <t>ID404</t>
  </si>
  <si>
    <t>PAN PARA PANCHOS BRIOSH 210 GR</t>
  </si>
  <si>
    <t>ID408</t>
  </si>
  <si>
    <t>PAN RALLADO 500GR</t>
  </si>
  <si>
    <t>ID410</t>
  </si>
  <si>
    <t>PAN RALLADO FAVORITA 450GR</t>
  </si>
  <si>
    <t>ID411</t>
  </si>
  <si>
    <t>PAPEL HIGIENICO HIGIENOL FRESH 4 ROLLOS</t>
  </si>
  <si>
    <t>ID416</t>
  </si>
  <si>
    <t>PAPEL HIGIÉNICO ROSAL 4 ROLLOS 30MT</t>
  </si>
  <si>
    <t>ID417</t>
  </si>
  <si>
    <t>MR BARATO</t>
  </si>
  <si>
    <t>PAPELILLO</t>
  </si>
  <si>
    <t>ID418</t>
  </si>
  <si>
    <t>PICADILLO SWIFT 90GR</t>
  </si>
  <si>
    <t>ID424</t>
  </si>
  <si>
    <t>POLENTA PRESTO PRONTA 500GR</t>
  </si>
  <si>
    <t>ID433</t>
  </si>
  <si>
    <t>POLENTA PRESTO PRONTA 730GR</t>
  </si>
  <si>
    <t>ID434</t>
  </si>
  <si>
    <t>POROTOS INCA BLANCOS 350G LATA</t>
  </si>
  <si>
    <t>ID436</t>
  </si>
  <si>
    <t>PURE DE PAPAS MAGGI 125GR</t>
  </si>
  <si>
    <t>ID446</t>
  </si>
  <si>
    <t>PURE DE TOMATE ARCOR 520GR</t>
  </si>
  <si>
    <t>ID447</t>
  </si>
  <si>
    <t>PURE DE TOMATE NOEL 530GR</t>
  </si>
  <si>
    <t>ID448</t>
  </si>
  <si>
    <t>QUESO CREMA CLASICO CASANCREM POTE 500GR</t>
  </si>
  <si>
    <t>ID452</t>
  </si>
  <si>
    <t>QUESO RALLADO LA QUESERA 40GR</t>
  </si>
  <si>
    <t>ID457</t>
  </si>
  <si>
    <t>SAL DOS ESTRELLAS ENTREFINA 1KG</t>
  </si>
  <si>
    <t>ID471</t>
  </si>
  <si>
    <t>SAL FINA 500GR</t>
  </si>
  <si>
    <t>ID472</t>
  </si>
  <si>
    <t>SALSA DE AJI SUAVE TATITI 285GR</t>
  </si>
  <si>
    <t>ID485</t>
  </si>
  <si>
    <t>SALSA DE TOMATE LISTA ARCOR PORTUGUESA 340GR</t>
  </si>
  <si>
    <t>ID488</t>
  </si>
  <si>
    <t>SALSA DE TOMATE LISTA ARCOR TUCO 340GR</t>
  </si>
  <si>
    <t>ID489</t>
  </si>
  <si>
    <t>SALSA DE TOMATE LISTA CICA PIZZA 340GR</t>
  </si>
  <si>
    <t>ID490</t>
  </si>
  <si>
    <t>SALSA DE TOMATE LISTA CICA PORTUGUESA 340GR</t>
  </si>
  <si>
    <t>ID491</t>
  </si>
  <si>
    <t>SALSA LISTA NOEL PIZZA 340GR</t>
  </si>
  <si>
    <t>ID492</t>
  </si>
  <si>
    <t>SOPA CASERA POLLO CON CABELLO DE ANGEL KNORR</t>
  </si>
  <si>
    <t>ID501</t>
  </si>
  <si>
    <t>TE BIG BEN 25 SAQUITOS</t>
  </si>
  <si>
    <t>ID506</t>
  </si>
  <si>
    <t>TE LA VIRGINIA 25 SAQUITOS</t>
  </si>
  <si>
    <t>ID507</t>
  </si>
  <si>
    <t>VINAGRE DE ALCOHOL DOS ANCLAS 500CC</t>
  </si>
  <si>
    <t>ID519</t>
  </si>
  <si>
    <t>YERBA BUENAS Y SANTAS 500GR</t>
  </si>
  <si>
    <t>ID543</t>
  </si>
  <si>
    <t>YERBA LA MAÑANITA 500GR</t>
  </si>
  <si>
    <t>ID544</t>
  </si>
  <si>
    <t>YERBA PIPORE SUAVE 500GR</t>
  </si>
  <si>
    <t>ID547</t>
  </si>
  <si>
    <t>YERBA PIPORE TRADICIONAL 500GR</t>
  </si>
  <si>
    <t>ID548</t>
  </si>
  <si>
    <t>YERBA VERDE FLOR CHAU ACIDEZ 500GR</t>
  </si>
  <si>
    <t>ID550</t>
  </si>
  <si>
    <t>CERVEZA X LATA 1890 473CC</t>
  </si>
  <si>
    <t>ID553</t>
  </si>
  <si>
    <t>JUGO EN POLVO FRUTILLA ANANA BANANA ARCOR X 15GR</t>
  </si>
  <si>
    <t>ID554</t>
  </si>
  <si>
    <t>JUGO EN POLVO NARANJA MANGO ARCOR X 15GR</t>
  </si>
  <si>
    <t>ID555</t>
  </si>
  <si>
    <t>POLENTA COCCION RAPIDA MORIXE 500GR</t>
  </si>
  <si>
    <t>ID558</t>
  </si>
  <si>
    <t>OBLEAS BAUDUCCO SABOR VAINILLA 140GR</t>
  </si>
  <si>
    <t>ID560</t>
  </si>
  <si>
    <t>CHOCOLATADA LAS TRES NIÑAS 1L LECHE CON CACAO</t>
  </si>
  <si>
    <t>ID562</t>
  </si>
  <si>
    <t>PALITOS SALADOS PEP 120GR</t>
  </si>
  <si>
    <t>ID565</t>
  </si>
  <si>
    <t>CHORIZOS SWIFT CERDO CONGELADO 400GR</t>
  </si>
  <si>
    <t>ID566</t>
  </si>
  <si>
    <t>DR LEMON MOJITO LATA 473ML</t>
  </si>
  <si>
    <t>ID567</t>
  </si>
  <si>
    <t>MAYONESA HELLMANNS 118GR</t>
  </si>
  <si>
    <t>ID568</t>
  </si>
  <si>
    <t>CHOCOLATE HAMLET LECHE COOKIE 45GR</t>
  </si>
  <si>
    <t>ID570</t>
  </si>
  <si>
    <t>CHOCOLATE GRAFFITTI 45GR</t>
  </si>
  <si>
    <t>ID571</t>
  </si>
  <si>
    <t>QUESO LA PAULINA BARRA REGIO X KG</t>
  </si>
  <si>
    <t>HELADERA</t>
  </si>
  <si>
    <t>ID572</t>
  </si>
  <si>
    <t>QUESO SAINT LA PAULINA CREMOSO X KG</t>
  </si>
  <si>
    <t>ID573</t>
  </si>
  <si>
    <t>JABON PAN ESSENCIAL FLORAL 200GR</t>
  </si>
  <si>
    <t>ID574</t>
  </si>
  <si>
    <t>JABON BLANCO GRAN FEDERAL MAX 2X150GR</t>
  </si>
  <si>
    <t>ID575</t>
  </si>
  <si>
    <t>PASTILLA PARA MOCHINA OCEANO 100GR PODER TOTAL</t>
  </si>
  <si>
    <t>ID576</t>
  </si>
  <si>
    <t>CREMA DENTAL TRIPLE ACCION  COLGATE X 70</t>
  </si>
  <si>
    <t>ID577</t>
  </si>
  <si>
    <t>BOLSA VIRUTEX 60X90 20U</t>
  </si>
  <si>
    <t>ID578</t>
  </si>
  <si>
    <t>BOLSA VIRUTEX 50X65 20U</t>
  </si>
  <si>
    <t>ID579</t>
  </si>
  <si>
    <t>JABON EN POLVO 800GR MATIC GRANBY</t>
  </si>
  <si>
    <t>ID581</t>
  </si>
  <si>
    <t>SODA SIERRA LOS PADRES 1.75L</t>
  </si>
  <si>
    <t>ID582</t>
  </si>
  <si>
    <t>BULL DOG BILLIKEN SANDIA 30GR</t>
  </si>
  <si>
    <t>ID583</t>
  </si>
  <si>
    <t>JUGO EN POLVO ANANA ARCOR X 15GR</t>
  </si>
  <si>
    <t>ID584</t>
  </si>
  <si>
    <t>JUGO EN POLVO NARANJA DULCE ARCOR X 15GR</t>
  </si>
  <si>
    <t>ID585</t>
  </si>
  <si>
    <t>JUGO EN POLVO SABOR A DURAZNO ARCOR 15G 1L</t>
  </si>
  <si>
    <t>ID586</t>
  </si>
  <si>
    <t>BANANA CHICLE BAZOOKA SABOR 41GR</t>
  </si>
  <si>
    <t>ID587</t>
  </si>
  <si>
    <t>TUTTI FRUTTI CHICLE BAZOOKA SABOR 41GR</t>
  </si>
  <si>
    <t>ID588</t>
  </si>
  <si>
    <t>MENTA CHICLE BAZOOKA SABOR 41GR</t>
  </si>
  <si>
    <t>ID589</t>
  </si>
  <si>
    <t>VINO DILEMA DULCE BLANCO 750ML</t>
  </si>
  <si>
    <t>ID593</t>
  </si>
  <si>
    <t>AGUA ECO DE LOS ANDES 1,5L</t>
  </si>
  <si>
    <t>BEBIDAS</t>
  </si>
  <si>
    <t>ID011</t>
  </si>
  <si>
    <t>DR LEMON CON LIMON LATA 473ML</t>
  </si>
  <si>
    <t>ID175</t>
  </si>
  <si>
    <t>DR LEMON CON VODKA LATA 473ML</t>
  </si>
  <si>
    <t>ID177</t>
  </si>
  <si>
    <t>DR LEMON CON VODKA POMELO LATA 473ML</t>
  </si>
  <si>
    <t>ID178</t>
  </si>
  <si>
    <t>FERNET 1882 1008ML</t>
  </si>
  <si>
    <t>ID191</t>
  </si>
  <si>
    <t>FERNET BRANCA 750ML</t>
  </si>
  <si>
    <t>ID192</t>
  </si>
  <si>
    <t>VODKA SKYY 700ML</t>
  </si>
  <si>
    <t>ID539</t>
  </si>
  <si>
    <t>CERVEZA X LATA ANDES ROJA 473CC</t>
  </si>
  <si>
    <t>CERVEZAS</t>
  </si>
  <si>
    <t>ID128</t>
  </si>
  <si>
    <t>CERVEZA X LATA ANDES RUBIA 473CC</t>
  </si>
  <si>
    <t>ID129</t>
  </si>
  <si>
    <t>CERVEZA X LATA ISENBECK 473CC</t>
  </si>
  <si>
    <t>ID133</t>
  </si>
  <si>
    <t>LAVARENCE</t>
  </si>
  <si>
    <t>CERVEZA X LATA QUILMES CLASICA 473CC</t>
  </si>
  <si>
    <t>ID134</t>
  </si>
  <si>
    <t>CERVEZA X LATA SCHNEIDER 473CC</t>
  </si>
  <si>
    <t>ID138</t>
  </si>
  <si>
    <t>CERVEZA X LATA ZEUS 473CC</t>
  </si>
  <si>
    <t>ID140</t>
  </si>
  <si>
    <t>MAXICINSUMO</t>
  </si>
  <si>
    <t>ALICANTE AJO TRITURADO 50GR</t>
  </si>
  <si>
    <t>CONDIMENTOS</t>
  </si>
  <si>
    <t>ID034</t>
  </si>
  <si>
    <t>ALICANTE COMINO MOLIDO 25GR</t>
  </si>
  <si>
    <t>ID036</t>
  </si>
  <si>
    <t>ALICANTE CONDIMENTO PARA MILANESAS Y SUPREMAS 25GR</t>
  </si>
  <si>
    <t>ID038</t>
  </si>
  <si>
    <t>ALICANTE PIMENTON 25GR</t>
  </si>
  <si>
    <t>ID041</t>
  </si>
  <si>
    <t>CENTURION CONDIMENTO PARA ARROZ 25GR</t>
  </si>
  <si>
    <t>ID120</t>
  </si>
  <si>
    <t>DOS ANCLAS OREGANO 25GR</t>
  </si>
  <si>
    <t>ID172</t>
  </si>
  <si>
    <t>LA PARMESANA NUEZ MOSCADA MOLIDA 15GR</t>
  </si>
  <si>
    <t>ID351</t>
  </si>
  <si>
    <t>LA PARMESANA OREGANO 15GR</t>
  </si>
  <si>
    <t>ID352</t>
  </si>
  <si>
    <t>LA PARMESANA PROVENZAL 15GR</t>
  </si>
  <si>
    <t>ID353</t>
  </si>
  <si>
    <t>CEBOLLA X KG</t>
  </si>
  <si>
    <t>FRUTAS Y VERDURAS</t>
  </si>
  <si>
    <t>ID116</t>
  </si>
  <si>
    <t>VERDULERIA LA TIERRA</t>
  </si>
  <si>
    <t>CHOCLO VAINA X UNIDAD</t>
  </si>
  <si>
    <t>ID144</t>
  </si>
  <si>
    <t>LIMON KG</t>
  </si>
  <si>
    <t>ID373</t>
  </si>
  <si>
    <t>NARANJA X KG</t>
  </si>
  <si>
    <t>ID393</t>
  </si>
  <si>
    <t>PAPA LAVADA KG</t>
  </si>
  <si>
    <t>ID413</t>
  </si>
  <si>
    <t>REMOLACHA X KG</t>
  </si>
  <si>
    <t>ID465</t>
  </si>
  <si>
    <t>TOMATE CHERRY KG</t>
  </si>
  <si>
    <t>ID513</t>
  </si>
  <si>
    <t>TOMATE REDONDO KG</t>
  </si>
  <si>
    <t>ID516</t>
  </si>
  <si>
    <t>ZANAHORIA X KG</t>
  </si>
  <si>
    <t>ID551</t>
  </si>
  <si>
    <t>BIZCOCHOS 9 DE ORO AZUCARADOS 210GR</t>
  </si>
  <si>
    <t>GALLETITAS</t>
  </si>
  <si>
    <t>ID073</t>
  </si>
  <si>
    <t>BUDIN ZUPAY SIN FRUTAS 170GR</t>
  </si>
  <si>
    <t>ID087</t>
  </si>
  <si>
    <t>GALLETAS MINI PITUSAS SABOR MERENGUE 120GR</t>
  </si>
  <si>
    <t>ID209</t>
  </si>
  <si>
    <t>GALLETAS MINI PITUSAS SABOR VAINILLA 160GR</t>
  </si>
  <si>
    <t>ID210</t>
  </si>
  <si>
    <t>GALLETITAS 9 DE ORO AGRIDULCE</t>
  </si>
  <si>
    <t>ID212</t>
  </si>
  <si>
    <t>GALLETITAS BAGLEY REX 125GR CAJA</t>
  </si>
  <si>
    <t>ID214</t>
  </si>
  <si>
    <t>GALLETITAS BISCOCHITO DON SATUR AGRIDULCE 200GR</t>
  </si>
  <si>
    <t>ID216</t>
  </si>
  <si>
    <t>GALLETITAS BISCOCHITO DON SATUR SALADO 200GR</t>
  </si>
  <si>
    <t>ID217</t>
  </si>
  <si>
    <t>GALLETITAS CHOCOLINA ORIGINAL 170GR</t>
  </si>
  <si>
    <t>ID220</t>
  </si>
  <si>
    <t>GALLETITAS CHOCOLINA ORIGINAL 250GR</t>
  </si>
  <si>
    <t>ID221</t>
  </si>
  <si>
    <t>GALLETITAS COFLER BLOCK COOKIES 124GR</t>
  </si>
  <si>
    <t>ID222</t>
  </si>
  <si>
    <t>GALLETITAS GAONA CHIPS 230GR</t>
  </si>
  <si>
    <t>ID228</t>
  </si>
  <si>
    <t>GALLETITAS GAONA CHIPS 230GR MASA SABOR CHOCOLATE</t>
  </si>
  <si>
    <t>ID229</t>
  </si>
  <si>
    <t>GALLETITAS GAONA CRUNCHIPS 132GR CROCANTES Y CHOCOLATOSAS</t>
  </si>
  <si>
    <t>ID230</t>
  </si>
  <si>
    <t>GALLETITAS GAONA CRUNCHIPS COLORES 132GR</t>
  </si>
  <si>
    <t>ID232</t>
  </si>
  <si>
    <t>GALLETITAS GAONA PEPAS 300GR</t>
  </si>
  <si>
    <t>ID233</t>
  </si>
  <si>
    <t>GALLETITAS MEDIA TARDE CLASICAS 315GR</t>
  </si>
  <si>
    <t>ID234</t>
  </si>
  <si>
    <t>GALLETITAS OREO 118GR</t>
  </si>
  <si>
    <t>ID235</t>
  </si>
  <si>
    <t>GALLETITAS OREO ORIGINAL 182,5GR</t>
  </si>
  <si>
    <t>ID236</t>
  </si>
  <si>
    <t>GALLETITAS PARNOR BARRITAS FRUTOS DEL BOSQUE 160GR</t>
  </si>
  <si>
    <t>ID238</t>
  </si>
  <si>
    <t>GALLETITAS RUMBA CHOCOLATE RELLENA COCO 330GR</t>
  </si>
  <si>
    <t>ID239</t>
  </si>
  <si>
    <t>GALLETITAS SURTIDAS BAGLEY 400GR</t>
  </si>
  <si>
    <t>ID240</t>
  </si>
  <si>
    <t>GALLETITAS SURTIDAS LIA SURTIDO 400GR</t>
  </si>
  <si>
    <t>ID242</t>
  </si>
  <si>
    <t>MINI OREO 50GR</t>
  </si>
  <si>
    <t>ID385</t>
  </si>
  <si>
    <t>MINI PEPITOS 50GR</t>
  </si>
  <si>
    <t>ID386</t>
  </si>
  <si>
    <t>OBLEAS CLASICAS OPERA 92 GR</t>
  </si>
  <si>
    <t>ID400</t>
  </si>
  <si>
    <t>PEPITOS CON CHISPAS CADBURY 119GR</t>
  </si>
  <si>
    <t>ID423</t>
  </si>
  <si>
    <t>AGUA MINERAL SIN GAS VILLAVICENCIO SPORT 750CC</t>
  </si>
  <si>
    <t>GASEOSAS</t>
  </si>
  <si>
    <t>ID012</t>
  </si>
  <si>
    <t>GASEOSA 7UP CLASICA 354CC LATA</t>
  </si>
  <si>
    <t>ID246</t>
  </si>
  <si>
    <t>GASEOSA 7UP CLASICA 500CC</t>
  </si>
  <si>
    <t>ID247</t>
  </si>
  <si>
    <t>GASEOSA COCA COLA 2,25L</t>
  </si>
  <si>
    <t>ID250</t>
  </si>
  <si>
    <t>GASEOSA COCA COLA CLASICA 500CC</t>
  </si>
  <si>
    <t>ID252</t>
  </si>
  <si>
    <t>GASEOSA COCA COLA LATA CLASICA 354ML</t>
  </si>
  <si>
    <t>ID253</t>
  </si>
  <si>
    <t>GASEOSA CUNNINGTON 1,5L CLASICA COLA</t>
  </si>
  <si>
    <t>ID255</t>
  </si>
  <si>
    <t>GASEOSA CUNNINGTON 2,25L CLASICA COLA</t>
  </si>
  <si>
    <t>ID257</t>
  </si>
  <si>
    <t>GASEOSA CUNNINGTON 2,25L CLASICA LIMA LIMON</t>
  </si>
  <si>
    <t>ID259</t>
  </si>
  <si>
    <t>GASEOSA CUNNINGTON 2,25L SUAVE LIMA LIMON</t>
  </si>
  <si>
    <t>ID262</t>
  </si>
  <si>
    <t>GASEOSA MANAOS 3L (NARANJA)</t>
  </si>
  <si>
    <t>ID265</t>
  </si>
  <si>
    <t>LA MAGDALENA</t>
  </si>
  <si>
    <t>GASEOSA PASO DE LOS TOROS 1,5L POMELO</t>
  </si>
  <si>
    <t>ID267</t>
  </si>
  <si>
    <t>GASEOSA PEPSI BLACK 1,5L</t>
  </si>
  <si>
    <t>ID268</t>
  </si>
  <si>
    <t>GASEOSA PEPSI CLASICA 1,5L</t>
  </si>
  <si>
    <t>ID269</t>
  </si>
  <si>
    <t>GASEOSA PEPSI CLASICA 2L</t>
  </si>
  <si>
    <t>ID270</t>
  </si>
  <si>
    <t>GASEOSA PEPSI COLA PET 500CC</t>
  </si>
  <si>
    <t>ID271</t>
  </si>
  <si>
    <t>GASEOSA SPRITE CLASICA 2,25L</t>
  </si>
  <si>
    <t>ID272</t>
  </si>
  <si>
    <t>JUGO BAGGIO CAJA 1 LITRO MULTIFRUTA</t>
  </si>
  <si>
    <t>ID317</t>
  </si>
  <si>
    <t>JUGO BAGGIO FRESH SABOR MULTIFRUTA 200ML</t>
  </si>
  <si>
    <t>ID322</t>
  </si>
  <si>
    <t>JUGO BAGGIO FRESH SABOR NARANJA 200ML</t>
  </si>
  <si>
    <t>ID323</t>
  </si>
  <si>
    <t>JUGO CAJA 200ML</t>
  </si>
  <si>
    <t>ID324</t>
  </si>
  <si>
    <t>BOLSITA DE CARAMELOS</t>
  </si>
  <si>
    <t>GOLOSINAS</t>
  </si>
  <si>
    <t>ID079</t>
  </si>
  <si>
    <t>BON O BON</t>
  </si>
  <si>
    <t>ID080</t>
  </si>
  <si>
    <t>BULL DOG BILLIKEN UVA 30GR</t>
  </si>
  <si>
    <t>ID088</t>
  </si>
  <si>
    <t>BULL DOG REGALIZ BILLIKEN ACIDO SABOR SANDIA 75GR</t>
  </si>
  <si>
    <t>ID089</t>
  </si>
  <si>
    <t>BULL DOG REGALIZ BILLIKEN ACIDO SABOR TUTTI FRUTTI 75GR</t>
  </si>
  <si>
    <t>ID090</t>
  </si>
  <si>
    <t>CHOCOLATE NESTLE CLASSIC DUO 80GR</t>
  </si>
  <si>
    <t>ID148</t>
  </si>
  <si>
    <t>CHUPETIN PICO DULCE CARAMELO SABOR FRUTAL 14GR</t>
  </si>
  <si>
    <t>ID150</t>
  </si>
  <si>
    <t>GONGYES 28GR</t>
  </si>
  <si>
    <t>ID280</t>
  </si>
  <si>
    <t>MISKY 50GR CHOCOLATE BLANCO</t>
  </si>
  <si>
    <t>ID387</t>
  </si>
  <si>
    <t>MISKY 50GR CHOCOLATE CON LECHE</t>
  </si>
  <si>
    <t>ID388</t>
  </si>
  <si>
    <t>ALITAS DE POLLO X KG</t>
  </si>
  <si>
    <t>ID045</t>
  </si>
  <si>
    <t>POLLERÍA DINA HUAPI</t>
  </si>
  <si>
    <t>CHOCLO LIMPIO CONGELADO</t>
  </si>
  <si>
    <t>ID143</t>
  </si>
  <si>
    <t>VERDULERÍA LA TIERRA</t>
  </si>
  <si>
    <t>CREMA DE LECHE 200CC TONADITA</t>
  </si>
  <si>
    <t>ID153</t>
  </si>
  <si>
    <t>GRASA 1/2 KG</t>
  </si>
  <si>
    <t>ID283</t>
  </si>
  <si>
    <t>GRASA VACUNA DOÑA FLORA 500GR</t>
  </si>
  <si>
    <t>ID284</t>
  </si>
  <si>
    <t>HAMBURGUESAS BURGER SWIFT 2U</t>
  </si>
  <si>
    <t>ID285</t>
  </si>
  <si>
    <t>HAMBURGUESAS BURGER SWIFT 4U</t>
  </si>
  <si>
    <t>ID286</t>
  </si>
  <si>
    <t>HAMBURGUESAS PATY CANCHA 2U</t>
  </si>
  <si>
    <t>ID287</t>
  </si>
  <si>
    <t>HAMBURGUESAS PATY CLASICO 4U 80GR C/U</t>
  </si>
  <si>
    <t>ID288</t>
  </si>
  <si>
    <t>HAMBURGUESAS PATY EXPRESS 2u</t>
  </si>
  <si>
    <t>ID289</t>
  </si>
  <si>
    <t>HAMBURGUESAS PATY EXPRESS 4U</t>
  </si>
  <si>
    <t>ID290</t>
  </si>
  <si>
    <t>HELADO DE AGUA LIMON PALITO GRIDO</t>
  </si>
  <si>
    <t>ID297</t>
  </si>
  <si>
    <t>HELADO DE AGUA NARANJA PALITO GRIDO</t>
  </si>
  <si>
    <t>ID298</t>
  </si>
  <si>
    <t>HELADO DE CHOCOLATE PALITO GRIDO</t>
  </si>
  <si>
    <t>ID299</t>
  </si>
  <si>
    <t>HELADO DE CREMA FRUTILLA PALITO GRIDO</t>
  </si>
  <si>
    <t>ID300</t>
  </si>
  <si>
    <t>LECHE CHOCOLATADA LAS 3 NIÑAS 1L</t>
  </si>
  <si>
    <t>ID358</t>
  </si>
  <si>
    <t>LECHE CHOCOLATADA LAS 3 NIÑAS 200ML</t>
  </si>
  <si>
    <t>ID359</t>
  </si>
  <si>
    <t>LECHE LA SERENISIMA 1L</t>
  </si>
  <si>
    <t>ID361</t>
  </si>
  <si>
    <t>LECHE LAS TRES NIÑAS 1L CLASICA</t>
  </si>
  <si>
    <t>ID362</t>
  </si>
  <si>
    <t>MANTECA PRIMER PREMIO 100GR CALIDAD EXTRA CON SAL</t>
  </si>
  <si>
    <t>ID379</t>
  </si>
  <si>
    <t>QUESO CLÁSICO FINLANDIA LA SERENÍSIMA180GR</t>
  </si>
  <si>
    <t>ID451</t>
  </si>
  <si>
    <t>QUESO CREMOSO LA PAULINA DOBLE CREMA x KG</t>
  </si>
  <si>
    <t>ID453</t>
  </si>
  <si>
    <t>QUESO LA PAULINA BARRA SANDWICH X KG</t>
  </si>
  <si>
    <t>ID454</t>
  </si>
  <si>
    <t>SALCHICHAS PALADINI 6U</t>
  </si>
  <si>
    <t>ID477</t>
  </si>
  <si>
    <t>SALCHICHAS PATY CLASICA 6u</t>
  </si>
  <si>
    <t>ID479</t>
  </si>
  <si>
    <t>SALCHICHAS PATY FUN 6u</t>
  </si>
  <si>
    <t>ID480</t>
  </si>
  <si>
    <t>CEPILLO DENTAL COLGATE MEDIO EXTRA SUAVE</t>
  </si>
  <si>
    <t>HIGIENE PERSONAL</t>
  </si>
  <si>
    <t>ID124</t>
  </si>
  <si>
    <t>TOALLITAS LADYSOFT 8u</t>
  </si>
  <si>
    <t>ID511</t>
  </si>
  <si>
    <t>BOLSA VIRUTEX 45X55 20u</t>
  </si>
  <si>
    <t>LIMPIEZA</t>
  </si>
  <si>
    <t>ID076</t>
  </si>
  <si>
    <t>BOLSA VIRUTEX 50X70 20U</t>
  </si>
  <si>
    <t>ID078</t>
  </si>
  <si>
    <t>DETERGENTE 300ML</t>
  </si>
  <si>
    <t>ID161</t>
  </si>
  <si>
    <t>DETERGENTE 500ML</t>
  </si>
  <si>
    <t>ID162</t>
  </si>
  <si>
    <t>JABON EN POLVO 400GR ESENCIAL MATIC</t>
  </si>
  <si>
    <t>ID311</t>
  </si>
  <si>
    <t>JABON EN POLVO 800GR</t>
  </si>
  <si>
    <t>ID312</t>
  </si>
  <si>
    <t>LAVANDINA 1 LT CLASICA</t>
  </si>
  <si>
    <t>ID357</t>
  </si>
  <si>
    <t>MISTER TRAPO PISO 62X48</t>
  </si>
  <si>
    <t>ID389</t>
  </si>
  <si>
    <t>POETT FLORES DE PRIMAVERA 291g/360ml</t>
  </si>
  <si>
    <t>ID430</t>
  </si>
  <si>
    <t>POETT FLORES DE PRIMAVERA 900ML</t>
  </si>
  <si>
    <t>ID431</t>
  </si>
  <si>
    <t>DETERGENTE 300ML MARINA MAGISTRAL X5 PODER ANTIGRASA</t>
  </si>
  <si>
    <t>ID580</t>
  </si>
  <si>
    <t>ENCENDEDOR BIC MAXI J6LISO</t>
  </si>
  <si>
    <t>OTROS</t>
  </si>
  <si>
    <t>ID182</t>
  </si>
  <si>
    <t>ENCENDEDOR BIC MINI J5LISO</t>
  </si>
  <si>
    <t>ID183</t>
  </si>
  <si>
    <t>ENCENDEDOR CANDELA TRANSPARENTE</t>
  </si>
  <si>
    <t>ID184</t>
  </si>
  <si>
    <t>NAIPE TRUCO (40 CARTAS ESPAÑOL)</t>
  </si>
  <si>
    <t>ID392</t>
  </si>
  <si>
    <t>PILAS AA ENERGIZER MAX E91 ALCALINA</t>
  </si>
  <si>
    <t>ID425</t>
  </si>
  <si>
    <t>PILAS AA OSR</t>
  </si>
  <si>
    <t>ID426</t>
  </si>
  <si>
    <t>PILAS AAA ENERGIZER MAX E91 ALCALINA</t>
  </si>
  <si>
    <t>ID427</t>
  </si>
  <si>
    <t>PRESERVATIVOS LISOS DE LATEX MAXX SUPER FINO</t>
  </si>
  <si>
    <t>ID442</t>
  </si>
  <si>
    <t>PRODUCTO PARA TEST DEL SISTEMA</t>
  </si>
  <si>
    <t>ID552</t>
  </si>
  <si>
    <t>ADMIN</t>
  </si>
  <si>
    <t>BASTONITOS KRACHITOS 60GR</t>
  </si>
  <si>
    <t>SNACKS</t>
  </si>
  <si>
    <t>ID069</t>
  </si>
  <si>
    <t>CHIZITOS COMUN (PALITO DE MAIZ)</t>
  </si>
  <si>
    <t>ID141</t>
  </si>
  <si>
    <t>KRACHITOS KO!NOS CHEESE SABOR A QUESO 45GR</t>
  </si>
  <si>
    <t>ID347</t>
  </si>
  <si>
    <t>KRACHITOS SNACKS SABOR JAMON SERRANO 55GR</t>
  </si>
  <si>
    <t>ID348</t>
  </si>
  <si>
    <t>Palitos Salados Krachitos 110 Gr</t>
  </si>
  <si>
    <t>ID401</t>
  </si>
  <si>
    <t>PAPAS FRITAS CORTE AMERICANO 55GR</t>
  </si>
  <si>
    <t>ID414</t>
  </si>
  <si>
    <t>VINO ALMA MORA CABERNET SAUVIGNON 750ML</t>
  </si>
  <si>
    <t>VINOS</t>
  </si>
  <si>
    <t>ID520</t>
  </si>
  <si>
    <t>VINO ALMA MORA MALBEC 750ML</t>
  </si>
  <si>
    <t>ID521</t>
  </si>
  <si>
    <t>VINO CAJA TINTO TORO 1L</t>
  </si>
  <si>
    <t>ID525</t>
  </si>
  <si>
    <t>VINO ESTANCIA DE MENDOZA MALBEC 750CC</t>
  </si>
  <si>
    <t>ID529</t>
  </si>
  <si>
    <t>VINO SUCESION ABEL MICHEL TORINO TINTO 700ML</t>
  </si>
  <si>
    <t>ID535</t>
  </si>
  <si>
    <t>ROCKLETS 40GR</t>
  </si>
  <si>
    <t>ID595</t>
  </si>
  <si>
    <t>BERENJENA X KG</t>
  </si>
  <si>
    <t>ID598</t>
  </si>
  <si>
    <t>ARROZ 1KG MOLINOS ALA NO SE PASA</t>
  </si>
  <si>
    <t>ID051</t>
  </si>
  <si>
    <t>ATUN CHECK LOMITOS DE ATUN AL NATURAL 170GR</t>
  </si>
  <si>
    <t>ID058</t>
  </si>
  <si>
    <t>ATUN GOMES DE COSTA EN TROZOS  AL NATURAL 170GR</t>
  </si>
  <si>
    <t>ID060</t>
  </si>
  <si>
    <t>BANANA X KG</t>
  </si>
  <si>
    <t>ID068</t>
  </si>
  <si>
    <t>CHOCLO AMARILLO OKEY 280GR</t>
  </si>
  <si>
    <t>ID142</t>
  </si>
  <si>
    <t>CHOCOLINO 180GR</t>
  </si>
  <si>
    <t>ID149</t>
  </si>
  <si>
    <t>DURAZNOS EN MITADES 820GR PESO NETO ALCO</t>
  </si>
  <si>
    <t>ID181</t>
  </si>
  <si>
    <t>FIDEOS TIRABUZON FAVORITA 500 GR</t>
  </si>
  <si>
    <t>ID205</t>
  </si>
  <si>
    <t>JARDINERA INCA 350GR EN LATA</t>
  </si>
  <si>
    <t>ID315</t>
  </si>
  <si>
    <t>JUGO DE LIMON MINERVA 500ML</t>
  </si>
  <si>
    <t>ID326</t>
  </si>
  <si>
    <t>JUGO EN POLVO MANZANA TANG X 15GR</t>
  </si>
  <si>
    <t>ID339</t>
  </si>
  <si>
    <t>LENTEJAS SECAS REMOJADAS INALPA LATA</t>
  </si>
  <si>
    <t>ID368</t>
  </si>
  <si>
    <t>MATE COCIDO TARAGUI 25 SAQUITOS</t>
  </si>
  <si>
    <t>ID380</t>
  </si>
  <si>
    <t>PAN PARA HAMBURGUESAS LACTAL 4U 210GR</t>
  </si>
  <si>
    <t>ID406</t>
  </si>
  <si>
    <t>PAN PARA PANCHOS LACTAL 6U 210GR</t>
  </si>
  <si>
    <t>ID409</t>
  </si>
  <si>
    <t>POLENTA INSTANTANEA DEL CAMPO 500GR</t>
  </si>
  <si>
    <t>ID432</t>
  </si>
  <si>
    <t>RAZA COMIDA DE GATO 500GR</t>
  </si>
  <si>
    <t>ID459</t>
  </si>
  <si>
    <t>RAZA COMIDA DE PERRO 1,5KG</t>
  </si>
  <si>
    <t>ID460</t>
  </si>
  <si>
    <t>REBOSADOR 500GR</t>
  </si>
  <si>
    <t>ID461</t>
  </si>
  <si>
    <t>SAL FINA CELUSAL PAQUETE 500 GR</t>
  </si>
  <si>
    <t>ID473</t>
  </si>
  <si>
    <t>TOALLITAS LADYSOFT 16u</t>
  </si>
  <si>
    <t>ID510</t>
  </si>
  <si>
    <t>ACEITUNAS 200GR CASTELL OLIVAS VERDES</t>
  </si>
  <si>
    <t>ID561</t>
  </si>
  <si>
    <t>FIDEOS TERRABUSI SPAGHETTI 500G</t>
  </si>
  <si>
    <t>ID590</t>
  </si>
  <si>
    <t>FIDEOS TERRABUSI TALLARIN 500G</t>
  </si>
  <si>
    <t>ID591</t>
  </si>
  <si>
    <t>VODKA NEWSTYLE 200CM3</t>
  </si>
  <si>
    <t>ID538</t>
  </si>
  <si>
    <t>Cable carga rapida USB type C CAB-41002 3.1A</t>
  </si>
  <si>
    <t>ELECTRONICA</t>
  </si>
  <si>
    <t>ID097</t>
  </si>
  <si>
    <t>BUDIN ZUPAY MARMOLADO 170GR</t>
  </si>
  <si>
    <t>ID086</t>
  </si>
  <si>
    <t>GALLETAS MINI PITUSAS SABOR CHOCOLATE 160GR</t>
  </si>
  <si>
    <t>ID206</t>
  </si>
  <si>
    <t>GALLETAS MINI PITUSAS SABOR FRUTILLA 160GR</t>
  </si>
  <si>
    <t>ID207</t>
  </si>
  <si>
    <t>GALLETITAS 1/2 TARDE SANDWICH</t>
  </si>
  <si>
    <t>ID211</t>
  </si>
  <si>
    <t>GALLETITAS 9 DE ORO PEPAS 350GR</t>
  </si>
  <si>
    <t>ID213</t>
  </si>
  <si>
    <t>GALLETITAS BIZCOCHITOS 9 DE ORO 200GR</t>
  </si>
  <si>
    <t>ID219</t>
  </si>
  <si>
    <t>MILKA MOUSSE SABOR CHOCOLATE 124GR</t>
  </si>
  <si>
    <t>ID384</t>
  </si>
  <si>
    <t>GASEOSA COCA COLA 1,5L</t>
  </si>
  <si>
    <t>ID248</t>
  </si>
  <si>
    <t>GASEOSA MANAOS 3L (COLA)</t>
  </si>
  <si>
    <t>ID263</t>
  </si>
  <si>
    <t>GASEOSA SPRITE LATA CLASICA 354ML</t>
  </si>
  <si>
    <t>ID274</t>
  </si>
  <si>
    <t>LEVITE POMELO 1.5L</t>
  </si>
  <si>
    <t>ID372</t>
  </si>
  <si>
    <t>CHOCOLATADA LAS TRES NIÑAS LECHE CON CACAO 200CC</t>
  </si>
  <si>
    <t>ID145</t>
  </si>
  <si>
    <t>CREMA DE LECHE 200CC LAS 3 NIÑAS COCINAR</t>
  </si>
  <si>
    <t>ID152</t>
  </si>
  <si>
    <t>QUESO AZUL UNTABLE LA PAULINA 190GR</t>
  </si>
  <si>
    <t>ID450</t>
  </si>
  <si>
    <t>SALAMIN PICADO FINO LA CASONA 180GR</t>
  </si>
  <si>
    <t>ID475</t>
  </si>
  <si>
    <t>ANTITRANSPIRANTE AXE DARK TEMPLATION ANTIBACTERIAL 152ML</t>
  </si>
  <si>
    <t>ID047</t>
  </si>
  <si>
    <t>CREMA DENTAL TRIPLE ACCION  COLGATE X 50</t>
  </si>
  <si>
    <t>ID156</t>
  </si>
  <si>
    <t>JABON EN BARRA DOVE KARITÉ 90GR</t>
  </si>
  <si>
    <t>ID309</t>
  </si>
  <si>
    <t>JABON EN BARRA DOVE ORIGINAL 90GR</t>
  </si>
  <si>
    <t>ID310</t>
  </si>
  <si>
    <t>JABON EN POLVO ALA ECO LAVADO CON BICARBONATO 800GR</t>
  </si>
  <si>
    <t>ID314</t>
  </si>
  <si>
    <t>LIMPIADOR CREMOSO BIOACTIVE ORIGINAL CIF 250ML</t>
  </si>
  <si>
    <t>ID374</t>
  </si>
  <si>
    <t>LIMPIADOR LISOFORM ORIGINAL AEROSOL 380ML</t>
  </si>
  <si>
    <t>ID375</t>
  </si>
  <si>
    <t>PRESERVATIVOS PRIME MEGA MAYOR COMODIDAD</t>
  </si>
  <si>
    <t>ID443</t>
  </si>
  <si>
    <t>VELAS ESENCIAL 16x205 (PAQUETE DE 4u)</t>
  </si>
  <si>
    <t>ID518</t>
  </si>
  <si>
    <t>VINO ETNIA GRAN ROBLE MALBEC 750ML</t>
  </si>
  <si>
    <t>ID530</t>
  </si>
  <si>
    <t>ALFAJOR OREO X3 56GR</t>
  </si>
  <si>
    <t>ID026</t>
  </si>
  <si>
    <t>AJI CL BOLSA CON PEPAS</t>
  </si>
  <si>
    <t>ID013</t>
  </si>
  <si>
    <t>CHIL</t>
  </si>
  <si>
    <t>ALIMENTO GATOS SABROSITOS PESCADO 1KG</t>
  </si>
  <si>
    <t>ID043</t>
  </si>
  <si>
    <t>ALIMENTO GATOS SABROSITOS PESCADO 500GR</t>
  </si>
  <si>
    <t>ID044</t>
  </si>
  <si>
    <t>ARROZ 1K LUCCHETTI LARGO FINO</t>
  </si>
  <si>
    <t>ID048</t>
  </si>
  <si>
    <t>ARROZ 1KG MOLINOS ALA LARGO FINO 1KG</t>
  </si>
  <si>
    <t>ID050</t>
  </si>
  <si>
    <t>ARVEJAS PARTIDAS 400GR</t>
  </si>
  <si>
    <t>ID056</t>
  </si>
  <si>
    <t>CABALLA AL NATURAL ESTRIBOR 380GR</t>
  </si>
  <si>
    <t>ID091</t>
  </si>
  <si>
    <t>CABALLA AL NATURAL MARBELLA 380GR</t>
  </si>
  <si>
    <t>ID092</t>
  </si>
  <si>
    <t>CALDO DE CARNE MAGGI 12U X 9,5GR</t>
  </si>
  <si>
    <t>ID108</t>
  </si>
  <si>
    <t>CALDO DE VERDURAS MAGGI 6u x 9.5GR</t>
  </si>
  <si>
    <t>ID110</t>
  </si>
  <si>
    <t>FIDEOS MATARAZZO 500GR (TALLARINES N5) 500 GR</t>
  </si>
  <si>
    <t>ID202</t>
  </si>
  <si>
    <t>GARBANSOS POLETTI 400GR</t>
  </si>
  <si>
    <t>ID245</t>
  </si>
  <si>
    <t>HELLMANNS SAVORA 250GR</t>
  </si>
  <si>
    <t>ID301</t>
  </si>
  <si>
    <t>LENTEJAS LISETTA 400GR</t>
  </si>
  <si>
    <t>ID367</t>
  </si>
  <si>
    <t>PAN DULCE LOS DOS CHINOS CON FRUTAS 400GR</t>
  </si>
  <si>
    <t>ID403</t>
  </si>
  <si>
    <t>PAN X KG</t>
  </si>
  <si>
    <t>ID412</t>
  </si>
  <si>
    <t>JORGE (PANADERIA)</t>
  </si>
  <si>
    <t>PATE DE FOIE PALADINI 90GR</t>
  </si>
  <si>
    <t>ID419</t>
  </si>
  <si>
    <t>POROTOS INCA COLORADOS 350G LATA</t>
  </si>
  <si>
    <t>ID437</t>
  </si>
  <si>
    <t>POROTOS INCA NEGROS 350G LATA</t>
  </si>
  <si>
    <t>ID438</t>
  </si>
  <si>
    <t>RAZA COMIDA DE GATO 1KG</t>
  </si>
  <si>
    <t>ID458</t>
  </si>
  <si>
    <t>SAL GRUESA COLOSAL 1KG</t>
  </si>
  <si>
    <t>ID474</t>
  </si>
  <si>
    <t>SALSA DE AJI PICANTE TATITI 285GR</t>
  </si>
  <si>
    <t>ID484</t>
  </si>
  <si>
    <t>SALSA DE TOMATE LISTA ARCOR POMAROLA 340GR</t>
  </si>
  <si>
    <t>ID487</t>
  </si>
  <si>
    <t>TERMA POMELO ROSADO 1,35L</t>
  </si>
  <si>
    <t>ID508</t>
  </si>
  <si>
    <t>TOMATE PERITAS EN LATA ARCOR 400GR</t>
  </si>
  <si>
    <t>ID515</t>
  </si>
  <si>
    <t>BULL DOG REGALIZ BILLIKEN CINTAS ACIDAS SABORES SURTIDOS 60GR</t>
  </si>
  <si>
    <t>ID556</t>
  </si>
  <si>
    <t>GALLETITAS BISCOCHITO DON SATUR NEGRITO 200GR</t>
  </si>
  <si>
    <t>ID559</t>
  </si>
  <si>
    <t>X-TREME HOT KO!NOS 45GRS</t>
  </si>
  <si>
    <t>ID563</t>
  </si>
  <si>
    <t>MANI PELADO SALADO KRACHITOS 110GR</t>
  </si>
  <si>
    <t>ID564</t>
  </si>
  <si>
    <t>VINAGRE DE VINO DOS ANCLAS 500CC</t>
  </si>
  <si>
    <t>ID592</t>
  </si>
  <si>
    <t>VINAGRE DE MANZANA DOS ANCLAS 500CC</t>
  </si>
  <si>
    <t>ID594</t>
  </si>
  <si>
    <t>DR LEMON CON VODKA BOLTELLA 1LT</t>
  </si>
  <si>
    <t>ID176</t>
  </si>
  <si>
    <t>SIDRA DEL VALLE 720ML</t>
  </si>
  <si>
    <t>ID497</t>
  </si>
  <si>
    <t>SODA 2000ML</t>
  </si>
  <si>
    <t>ID500</t>
  </si>
  <si>
    <t>WHISKY GLOUCESTER blended 200ML</t>
  </si>
  <si>
    <t>ID541</t>
  </si>
  <si>
    <t>ALICANTE AJI TRITURADO 25GR</t>
  </si>
  <si>
    <t>ID033</t>
  </si>
  <si>
    <t xml:space="preserve">ALICANTE ANIS EN GRANO SOBRE 25GR </t>
  </si>
  <si>
    <t>ID035</t>
  </si>
  <si>
    <t>ALICANTE CONDIMENTO PARA EMPANADAS 25GR</t>
  </si>
  <si>
    <t>ID037</t>
  </si>
  <si>
    <t>ALICANTE CONDIMENTO PARA PIZZA 25GR</t>
  </si>
  <si>
    <t>ID039</t>
  </si>
  <si>
    <t>CENTURION ADOBO PARA PIZZA 20GR</t>
  </si>
  <si>
    <t>ID117</t>
  </si>
  <si>
    <t>CENTURION AJI MOLIDO 25GR</t>
  </si>
  <si>
    <t>ID118</t>
  </si>
  <si>
    <t>CENTURION COCO RALLADO 25GR</t>
  </si>
  <si>
    <t>ID119</t>
  </si>
  <si>
    <t>CENTURION PIMENTON SELECCIONADO DULCE 25GR</t>
  </si>
  <si>
    <t>ID121</t>
  </si>
  <si>
    <t>CENTURION POLVO PARA HORNEAR 50GR</t>
  </si>
  <si>
    <t>ID122</t>
  </si>
  <si>
    <t>CENTURION PROVENZAL 25GR</t>
  </si>
  <si>
    <t>ID123</t>
  </si>
  <si>
    <t>DOS ANCLAS ADOBO PARA PIZZA 25GR</t>
  </si>
  <si>
    <t>ID167</t>
  </si>
  <si>
    <t>DOS ANCLAS AJI MOLIDO 50GR</t>
  </si>
  <si>
    <t>ID168</t>
  </si>
  <si>
    <t>DOS ANCLAS CHIMICHURRI 20GR</t>
  </si>
  <si>
    <t>ID170</t>
  </si>
  <si>
    <t>DOS ANCLAS LAUREL TRITURADO 25GR</t>
  </si>
  <si>
    <t>ID171</t>
  </si>
  <si>
    <t>DOS ANCLAS PEREJIL DESHIDRATADO 25GR</t>
  </si>
  <si>
    <t>ID173</t>
  </si>
  <si>
    <t>DOS ANCLAS PIMIENTA NEGRA MOLIDA 25GR</t>
  </si>
  <si>
    <t>ID174</t>
  </si>
  <si>
    <t>LA PARMESANA CHIMICHURRI 15GR</t>
  </si>
  <si>
    <t>ID349</t>
  </si>
  <si>
    <t>LA PARMESANA COMINO 15GR</t>
  </si>
  <si>
    <t>ID350</t>
  </si>
  <si>
    <t>Disco Ssd Foresse 128gb Nvme Oem Fsb0c128g-b7c7200 Negro</t>
  </si>
  <si>
    <t>ID165</t>
  </si>
  <si>
    <t>PEPINO KG</t>
  </si>
  <si>
    <t>ID422</t>
  </si>
  <si>
    <t>BIZCOCHOS 9 DE ORO CON SALVADO</t>
  </si>
  <si>
    <t>ID074</t>
  </si>
  <si>
    <t>GALLETITAS BAGLEY REX 75GR</t>
  </si>
  <si>
    <t>ID215</t>
  </si>
  <si>
    <t>GALLETITAS COFLER COOKIES 120GR</t>
  </si>
  <si>
    <t>ID223</t>
  </si>
  <si>
    <t>GALLETITAS COFLER RELLENAS SABOR BON O BON 85GR</t>
  </si>
  <si>
    <t>ID224</t>
  </si>
  <si>
    <t>GALLETITAS COFLER RELLENAS SABOR CHOCO CREAMY 85GR</t>
  </si>
  <si>
    <t>ID225</t>
  </si>
  <si>
    <t>GALLETITAS COFLER RELLENAS SABOR CHOCOLATE 85GR</t>
  </si>
  <si>
    <t>ID226</t>
  </si>
  <si>
    <t>GALLETITAS FANTOCHE CHISPAS CHOCOLATE 155GR</t>
  </si>
  <si>
    <t>ID227</t>
  </si>
  <si>
    <t>GALLETITAS GAONA CRUNCHIPS 72 GR POCKET</t>
  </si>
  <si>
    <t>ID231</t>
  </si>
  <si>
    <t>GALLETITAS PARNOR BARRITAS CON MEMBRILLO 160GR</t>
  </si>
  <si>
    <t>ID237</t>
  </si>
  <si>
    <t>GASEOSA COCA COLA 1,5L ZERO</t>
  </si>
  <si>
    <t>ID249</t>
  </si>
  <si>
    <t>GASEOSA COCA COLA LATA ZERO 354ML</t>
  </si>
  <si>
    <t>ID254</t>
  </si>
  <si>
    <t>GASEOSA CUNNINGTON 1,5L CLASICA POMELO</t>
  </si>
  <si>
    <t>ID256</t>
  </si>
  <si>
    <t>GASEOSA CUNNINGTON 2,25L CLASICA POMELO</t>
  </si>
  <si>
    <t>ID261</t>
  </si>
  <si>
    <t>GASEOSA TONICA 1.5L PASO LOS TOROS</t>
  </si>
  <si>
    <t>ID275</t>
  </si>
  <si>
    <t>JUGO BAGGIO FRESH SABOR MANZANA 200ML</t>
  </si>
  <si>
    <t>ID321</t>
  </si>
  <si>
    <t>POWERADE NARANJA 500ML</t>
  </si>
  <si>
    <t>ID441</t>
  </si>
  <si>
    <t>LECHE LAS TRES NIÑAS 1L LIVIANA</t>
  </si>
  <si>
    <t>ID363</t>
  </si>
  <si>
    <t>SALCHICHAS LA CASONA 6u</t>
  </si>
  <si>
    <t>ID476</t>
  </si>
  <si>
    <t>JABON DE TOCADOR PLUSBELLE HUMECTACION</t>
  </si>
  <si>
    <t>ID308</t>
  </si>
  <si>
    <t>SEDAL ACONDICIONADOR 190ML CERAMIDAS</t>
  </si>
  <si>
    <t>ID495</t>
  </si>
  <si>
    <t>SEDAL SHAMPOO 190ML CREMA BALANCE</t>
  </si>
  <si>
    <t>ID496</t>
  </si>
  <si>
    <t>BOLSA VIRUTEX 45X60 20u</t>
  </si>
  <si>
    <t>ID077</t>
  </si>
  <si>
    <t>DESINFECTANTE AEROSOL LAVANDA CIF 260G 360CM3</t>
  </si>
  <si>
    <t>ID159</t>
  </si>
  <si>
    <t>JABON EN POLVO ACE MATIC 400GR</t>
  </si>
  <si>
    <t>ID313</t>
  </si>
  <si>
    <t>LAMPAZO (VIRULANA)</t>
  </si>
  <si>
    <t>ID355</t>
  </si>
  <si>
    <t>QUERUBIN JABON LIQUIDO DOYPACK 800ML</t>
  </si>
  <si>
    <t>ID449</t>
  </si>
  <si>
    <t>SOPAPA CMT GOMA NEGRA MEDIANA</t>
  </si>
  <si>
    <t>ID502</t>
  </si>
  <si>
    <t>ADHESIVO LA GOTITA GEL 3GR</t>
  </si>
  <si>
    <t>ID010</t>
  </si>
  <si>
    <t>PILAS EVEREADY AAA BP x2</t>
  </si>
  <si>
    <t>ID429</t>
  </si>
  <si>
    <t>POMADA Wassington Brillo Y Protección COLOR NEGRO</t>
  </si>
  <si>
    <t>ID435</t>
  </si>
  <si>
    <t>SACACORCHO MOZO FARY HOME DOBLE IMPULSO</t>
  </si>
  <si>
    <t>ID470</t>
  </si>
  <si>
    <t>VINO CAFAYATE MALBEC 750CC</t>
  </si>
  <si>
    <t>ID522</t>
  </si>
  <si>
    <t>VINO CAJA TINTO TERMIDOR 1L</t>
  </si>
  <si>
    <t>ID524</t>
  </si>
  <si>
    <t>VINO SALONERA 700ML</t>
  </si>
  <si>
    <t>ID533</t>
  </si>
  <si>
    <t>VINO TORO BOTELLA 750CC</t>
  </si>
  <si>
    <t>ID536</t>
  </si>
  <si>
    <t>BATERIA 9V 1 PILA VINNIC ALCALINA</t>
  </si>
  <si>
    <t>ID596</t>
  </si>
  <si>
    <t>MÁQUINA DE AFEITAR DESECHABLE PRESTOBARBA3 GILLETTE TRIPLE HOJA</t>
  </si>
  <si>
    <t>ID597</t>
  </si>
  <si>
    <t>ADHESIVO INSTANTANEO LA GOTITA GEL 2ML</t>
  </si>
  <si>
    <t>ID599</t>
  </si>
  <si>
    <t>ACEITE 900CC LEGITIMO GIRASOL</t>
  </si>
  <si>
    <t>ID001</t>
  </si>
  <si>
    <t>ATUN GOMES DE COSTA LOMO EN ACEITE 170GR</t>
  </si>
  <si>
    <t>ID061</t>
  </si>
  <si>
    <t>BISCOCHUELO EXQUISITA VAINILLA 540GR</t>
  </si>
  <si>
    <t>ID072</t>
  </si>
  <si>
    <t>FIDEOS MATARAZZO 500GR (BUCATTINI) 500 GR</t>
  </si>
  <si>
    <t>ID199</t>
  </si>
  <si>
    <t>FIDEOS MATARAZZO 500GR (CODITOS RAYADOS) 500 GR</t>
  </si>
  <si>
    <t>ID200</t>
  </si>
  <si>
    <t>JUGO EN POLVO SABOR A MULTIFRUTA ARCOR 15G 1L</t>
  </si>
  <si>
    <t>ID327</t>
  </si>
  <si>
    <t>JUGO EN POLVO ARCOR SABOR A NARANJA BANANA 15G 1L</t>
  </si>
  <si>
    <t>ID328</t>
  </si>
  <si>
    <t>JUGO EN POLVO BC SABOR A NARANJA 7G 1L</t>
  </si>
  <si>
    <t>ID330</t>
  </si>
  <si>
    <t>JUGO EN POLVO NARANJA DULCE TANG x 15GR</t>
  </si>
  <si>
    <t>ID341</t>
  </si>
  <si>
    <t>NATURA MAYONESA SACHET 125GR</t>
  </si>
  <si>
    <t>ID395</t>
  </si>
  <si>
    <t>OBLEAS BAUDUCCO SABOR CHOCOLATE 140GR</t>
  </si>
  <si>
    <t>ID399</t>
  </si>
  <si>
    <t>PATE DE FOIE SWIFT 90GR</t>
  </si>
  <si>
    <t>ID420</t>
  </si>
  <si>
    <t>BULL DOG REGALIZ BILLIKEN ACIDO SABOR FRUTILLA 75GR</t>
  </si>
  <si>
    <t>ID557</t>
  </si>
  <si>
    <t>SIDRA LA VICTORIA 720ML</t>
  </si>
  <si>
    <t>ID498</t>
  </si>
  <si>
    <t>CERVEZA X LATA AMSTEL LAGER 473CC</t>
  </si>
  <si>
    <t>ID125</t>
  </si>
  <si>
    <t>CERVEZA X LATA AMSTEL LAGER 710CC</t>
  </si>
  <si>
    <t>ID126</t>
  </si>
  <si>
    <t>CERVEZA X LATA BUDWEISER 473CC</t>
  </si>
  <si>
    <t>ID131</t>
  </si>
  <si>
    <t>CERVEZA X LATA HEINEKEN 473CC</t>
  </si>
  <si>
    <t>ID132</t>
  </si>
  <si>
    <t>CERVEZA X LATA QUILMES STOUT 473CC</t>
  </si>
  <si>
    <t>ID137</t>
  </si>
  <si>
    <t>ALICANTE OREGANO 25GR</t>
  </si>
  <si>
    <t>ID040</t>
  </si>
  <si>
    <t>DOS ANCLAS AJO DESH POLVO 20GR</t>
  </si>
  <si>
    <t xml:space="preserve">CONDIMENTOS </t>
  </si>
  <si>
    <t>ID169</t>
  </si>
  <si>
    <t>AJO X UNIDAD</t>
  </si>
  <si>
    <t>ID014</t>
  </si>
  <si>
    <t>CALABAZA KG</t>
  </si>
  <si>
    <t>ID107</t>
  </si>
  <si>
    <t>LECHUGA X KG</t>
  </si>
  <si>
    <t>ID364</t>
  </si>
  <si>
    <t>REPOLLO X KG</t>
  </si>
  <si>
    <t>ID466</t>
  </si>
  <si>
    <t>GALLETAS MINI PITUSAS SABOR LIMON 160GR</t>
  </si>
  <si>
    <t>ID208</t>
  </si>
  <si>
    <t>GASEOSA MANAOS 3L (LIMA LIMON)</t>
  </si>
  <si>
    <t>ID264</t>
  </si>
  <si>
    <t>JUGO BAGGIO CAJA 1,5 LITROS MANZANA</t>
  </si>
  <si>
    <t>ID318</t>
  </si>
  <si>
    <t>JUGO BAGGIO CAJA 1,5 LITROS MULTIFRUTA</t>
  </si>
  <si>
    <t>ID319</t>
  </si>
  <si>
    <t>GOMITAS EUCALIPTO BILLIKEN 150GR</t>
  </si>
  <si>
    <t>ID279</t>
  </si>
  <si>
    <t>POSTRE BON O BON 95GR</t>
  </si>
  <si>
    <t>ID440</t>
  </si>
  <si>
    <t>SALCHICHAS PATY CLASICA 12U</t>
  </si>
  <si>
    <t>ID478</t>
  </si>
  <si>
    <t>DESINFECTANTE LYSOFORM BONUS 420CC</t>
  </si>
  <si>
    <t>ID160</t>
  </si>
  <si>
    <t>ESENCIAL SUAVISANTE PARA ROPA FRESCURA SILVESTRE 900cc</t>
  </si>
  <si>
    <t>ID187</t>
  </si>
  <si>
    <t>LYSOFORM DESINFECTANTE DE AMBIENTES Y SUPERFICIES 300g/420cm3</t>
  </si>
  <si>
    <t>ID376</t>
  </si>
  <si>
    <t>GLOBOS CANDELA BOMBITAS 100un</t>
  </si>
  <si>
    <t>ID277</t>
  </si>
  <si>
    <t>SUPREMA DE PECHUGA DE POLLO X KG</t>
  </si>
  <si>
    <t>PROMOS</t>
  </si>
  <si>
    <t>ID504</t>
  </si>
  <si>
    <t>PEDIR YA</t>
  </si>
  <si>
    <t>NACHOS SABOR QUESO DORITOS X 40 GR</t>
  </si>
  <si>
    <t>ID391</t>
  </si>
  <si>
    <t>VINO COLON CABERNET SAUVIGNON</t>
  </si>
  <si>
    <t>ID526</t>
  </si>
  <si>
    <t>VINO COLON MALBEC 750CC</t>
  </si>
  <si>
    <t>ID527</t>
  </si>
  <si>
    <t>VINO COLON SYRAH 750CC</t>
  </si>
  <si>
    <t>ID528</t>
  </si>
  <si>
    <t>CALDO MAGGI GALLINA 12U</t>
  </si>
  <si>
    <t>ID111</t>
  </si>
  <si>
    <t>CALDO MAGGI VERDURA 12U</t>
  </si>
  <si>
    <t>ID112</t>
  </si>
  <si>
    <t>JUGO EN POLVO CLIGHT SABOR A ANANÁ 8G 1L</t>
  </si>
  <si>
    <t>ID331</t>
  </si>
  <si>
    <t>JUGO EN POLVO CLIGHT SABOR A NARANJA 8G 1L</t>
  </si>
  <si>
    <t>ID332</t>
  </si>
  <si>
    <t>JUGO EN POLVO CLIGHT SABOR A NARANJA DULCE 8G 1L</t>
  </si>
  <si>
    <t>ID333</t>
  </si>
  <si>
    <t>KING FOOD GATOS ADULTOS Y EN MANTENIMIENTO 500GR</t>
  </si>
  <si>
    <t>ID346</t>
  </si>
  <si>
    <t>PAN PARA HAMBURGUESAS BRIOSH 210 GR</t>
  </si>
  <si>
    <t>ID405</t>
  </si>
  <si>
    <t>PAN PARA PANCHOS BIMBO 6U 210GR</t>
  </si>
  <si>
    <t>ID407</t>
  </si>
  <si>
    <t>PROCENEX LIMPIADOR PISOS 900ML</t>
  </si>
  <si>
    <t>ID444</t>
  </si>
  <si>
    <t>QUESO RALLADO LA PAULINA 40GR</t>
  </si>
  <si>
    <t>ID456</t>
  </si>
  <si>
    <t>TERMA POMELO ROSADO 1,75L</t>
  </si>
  <si>
    <t>ID509</t>
  </si>
  <si>
    <t>YERBA LA TRANQUERA 500GR</t>
  </si>
  <si>
    <t>ID545</t>
  </si>
  <si>
    <t>VINO SUCESION ABEL MICHEL TORINO TINTO 1.125L</t>
  </si>
  <si>
    <t>ID569</t>
  </si>
  <si>
    <t>GANCIA 450ML</t>
  </si>
  <si>
    <t>ID244</t>
  </si>
  <si>
    <t>Adaptador Bluetooth 4.0 Edr Usb 2.0 Dongle Muy Compatible</t>
  </si>
  <si>
    <t>ID006</t>
  </si>
  <si>
    <t>Adaptador Dvi 24 + 1 Macho A Hdmi Hembra 1080p Evox</t>
  </si>
  <si>
    <t>ID007</t>
  </si>
  <si>
    <t>Adaptador Ficha Americana a Pata Redonda color Negro</t>
  </si>
  <si>
    <t>ID008</t>
  </si>
  <si>
    <t>Adaptador Receptor Bluetooth 5.0 Usb Dongle Escritorio Full</t>
  </si>
  <si>
    <t>ID009</t>
  </si>
  <si>
    <t>AURICULARES IN EAR AU-11007 ROJO</t>
  </si>
  <si>
    <t>ID063</t>
  </si>
  <si>
    <t>AURICULARES IN EAR AU-11012 CYAN</t>
  </si>
  <si>
    <t>ID064</t>
  </si>
  <si>
    <t>Bluetooth Estéreo Usb Adaptador Receptor (PENDRIVE MP3 BLUETOOTH)</t>
  </si>
  <si>
    <t>ID075</t>
  </si>
  <si>
    <t>Cable A/v Audio Y Video Play Ps2 Ps3 Tv 3 Rca 1,8 Metros</t>
  </si>
  <si>
    <t>ID093</t>
  </si>
  <si>
    <t>Cable Audio Mini Plug 3.5 A Mini Plug 3.5mm Stereo</t>
  </si>
  <si>
    <t>ID094</t>
  </si>
  <si>
    <t>Cable Audio Mini Plug 3.5 Stereo A 2 Rca 1.8 Mts Auxiliar</t>
  </si>
  <si>
    <t>ID095</t>
  </si>
  <si>
    <t>Cable Auxiliar 3.5 A 3.5 De Goma x unidad</t>
  </si>
  <si>
    <t>ID096</t>
  </si>
  <si>
    <t>CABLE CARGA USB V3 NEGRO 1.8M  MP3/PLAY 3 CON FILTRO</t>
  </si>
  <si>
    <t>ID098</t>
  </si>
  <si>
    <t>Cable Cargador 1m Para Ipad Pro/air/mini Iphone 5/6/7/8/x/11 Blanco</t>
  </si>
  <si>
    <t>ID099</t>
  </si>
  <si>
    <t>Cable RCA 3 A 3 Plug 1.8m Negro GE 33608 Audio Video</t>
  </si>
  <si>
    <t>ID100</t>
  </si>
  <si>
    <t>Cable Rca A Rca 3x3 Audio Video Macho-macho 1,5 Mts</t>
  </si>
  <si>
    <t>ID101</t>
  </si>
  <si>
    <t>Cable Rca Premium Audio Video 1.50mts Nuevo!</t>
  </si>
  <si>
    <t>ID102</t>
  </si>
  <si>
    <t>Cable Sata Power De Alimentación Para Disco Rigido 15cm</t>
  </si>
  <si>
    <t>ID103</t>
  </si>
  <si>
    <t>Cable Spliter Molex 1 A 5 Sata 15 Pines - Awg18 Hdd Sdd</t>
  </si>
  <si>
    <t>ID104</t>
  </si>
  <si>
    <t>Cable Usb C Carga Rápida Para iPhone 11 12 13 14 Compatible Color Blanco</t>
  </si>
  <si>
    <t>ID105</t>
  </si>
  <si>
    <t>Cable USB Tipo C para Iphone Android 65w Usb A y C 4 en 1 tipo IP nylon carga rápida</t>
  </si>
  <si>
    <t>ID106</t>
  </si>
  <si>
    <t>CARGADOR OMEGA MG557 LINEA PREMIUM 2.4A 2 USB</t>
  </si>
  <si>
    <t>ID113</t>
  </si>
  <si>
    <t>CARGADOR RAPIDO DE AUTO KBOD DOBLE USB 15W 3.1A KB-CAR-X10</t>
  </si>
  <si>
    <t>ID114</t>
  </si>
  <si>
    <t>Carry Disk Externo Case Nvme M2 Ssd Usb C 3.1 Disco Adaptado Negro</t>
  </si>
  <si>
    <t>ID115</t>
  </si>
  <si>
    <t>Disco Sólido M.2 Pcie 256gb Ssd 2280 Oem Phison Wd Sk Hynix Color: Verde</t>
  </si>
  <si>
    <t>ID164</t>
  </si>
  <si>
    <t>Disco Ssd Western Digital Oem Sn740 256gb M.2 Pcie 4x4 Nvme Negro</t>
  </si>
  <si>
    <t>ID166</t>
  </si>
  <si>
    <t>Enchufe Adaptador Multinorma Premium  110/220V 10A 2 Puertos 3 Patas</t>
  </si>
  <si>
    <t>ID185</t>
  </si>
  <si>
    <t>EXTERNAL CASE 2,5" HDD/SSD USB 3.0</t>
  </si>
  <si>
    <t>ID188</t>
  </si>
  <si>
    <t>Fichas Macho + Hembra 10 Amp 220v Prolongacion Alargue</t>
  </si>
  <si>
    <t>ID194</t>
  </si>
  <si>
    <t>Glass Vidrio Templado Para Samsung S20 Fe Full Cubre 100%</t>
  </si>
  <si>
    <t>ID276</t>
  </si>
  <si>
    <t>Google ONN TV Full HD 8GB 1.5GB RAM con control por voz color negro</t>
  </si>
  <si>
    <t>ID281</t>
  </si>
  <si>
    <t>Grabadora Regrabadora Cd/dvd Dvd-rw Lg Sata Ii+ Cable Sata Sata</t>
  </si>
  <si>
    <t>ID282</t>
  </si>
  <si>
    <t>HIKSEMI MD202 Carry Disk Externo Case M.2 10Gbps NVMe &amp; SATA SSD Usb NEGRO</t>
  </si>
  <si>
    <t>ID302</t>
  </si>
  <si>
    <t>Joystick Inalámbrico Compatible Con PC/PS3 Mando Color Negro</t>
  </si>
  <si>
    <t>ID316</t>
  </si>
  <si>
    <t>Lámpara Led High Power E27 30w = 170w Candela Blanco Frío</t>
  </si>
  <si>
    <t>ID354</t>
  </si>
  <si>
    <t>Lector Tarjeta Memoria Micro Sd Usb 2.0 Hc Tf Card Reader</t>
  </si>
  <si>
    <t>ID365</t>
  </si>
  <si>
    <t>Memoria Micro Sd 64 Gb Hiksemi Con Adaptador Clase 10</t>
  </si>
  <si>
    <t>ID383</t>
  </si>
  <si>
    <t>Modulo Mp3 Usb/sd/fm/aux/bluetooth 3.0 Con App + Cr Flac For</t>
  </si>
  <si>
    <t>ID390</t>
  </si>
  <si>
    <t>Portalampara Adaptador E27 Tecla Enchufe Velador Luz Noche Blanco</t>
  </si>
  <si>
    <t>ID439</t>
  </si>
  <si>
    <t>Receptor Adaptador Bluetooth Usb P/auto Micrófono Manos Libres Inalambrico Señal</t>
  </si>
  <si>
    <t>ID462</t>
  </si>
  <si>
    <t>RECEPTOR BLUEETOOTH NICTOM Adaptador Audio Aux Musica Auto Parlant</t>
  </si>
  <si>
    <t>ID463</t>
  </si>
  <si>
    <t>Receptor Manos Libres Bluetooth Aux Musica Auto Con Bateria SEISA BT-350</t>
  </si>
  <si>
    <t>ID464</t>
  </si>
  <si>
    <t>Repuesto Hacha Soldada Cab. Redonda Tramontina N° 2 S/ Mango</t>
  </si>
  <si>
    <t>ID467</t>
  </si>
  <si>
    <t>Samsung S20 FE – 6GB liberado¡¡¡ 128GB – Excelente estado – Potente y fluido</t>
  </si>
  <si>
    <t>ID493</t>
  </si>
  <si>
    <t>Smartwatch NT04 Negro Inteligente Ritmo Cardiaco Notificaciones Bluetooth</t>
  </si>
  <si>
    <t>ID499</t>
  </si>
  <si>
    <t>Tarjeta De Memoria Patriot Micro Sd 64gb Lx Series Classe 10</t>
  </si>
  <si>
    <t>ID505</t>
  </si>
  <si>
    <t>Tomacorriente Enchufe Inteligente Wifi Smart 10a 220v Smart Demasled</t>
  </si>
  <si>
    <t>ID512</t>
  </si>
  <si>
    <t>Transmisor Receptor Bluetooth Audio Miniplug 3.5mm RCA KN319 BT</t>
  </si>
  <si>
    <t>ID517</t>
  </si>
  <si>
    <t>Xiaomi Redmi 15C 5G modelo 2508CRN2BE – Excelente Estado</t>
  </si>
  <si>
    <t>ID542</t>
  </si>
  <si>
    <t>Budin Pudding 100 Ducados Limon Con Semillas De Amapola 300GR</t>
  </si>
  <si>
    <t>ID081</t>
  </si>
  <si>
    <t>Budin Pudding 100 Ducados Naranja Con Cascaras De Naranja 300GR</t>
  </si>
  <si>
    <t>ID082</t>
  </si>
  <si>
    <t>Budin Pudding 100 Ducados Relleno Frutos Del Bosque 300GR</t>
  </si>
  <si>
    <t>ID083</t>
  </si>
  <si>
    <t>BUDIN ZUPAY CON CHIPS 170GR</t>
  </si>
  <si>
    <t>ID084</t>
  </si>
  <si>
    <t>GALLETITAS BISCOCHITOS CON GRASA JORGITO 200GR</t>
  </si>
  <si>
    <t>ID218</t>
  </si>
  <si>
    <t>GALLETITAS SURTIDAS DIVERSION 400GR</t>
  </si>
  <si>
    <t>ID241</t>
  </si>
  <si>
    <t>GALLETITAS TRAVIATA</t>
  </si>
  <si>
    <t>ID243</t>
  </si>
  <si>
    <t>ENERGIZANTE SPEED LATA 250CC</t>
  </si>
  <si>
    <t>ID186</t>
  </si>
  <si>
    <t>GASEOSA COCA COLA 3L</t>
  </si>
  <si>
    <t>ID251</t>
  </si>
  <si>
    <t>GASEOSA SPRITE CLASICA 500CC</t>
  </si>
  <si>
    <t>ID273</t>
  </si>
  <si>
    <t>JUGO BAGGIO CAJA 1,5 LITROS NARANJA</t>
  </si>
  <si>
    <t>ID320</t>
  </si>
  <si>
    <t>LECHE ILOLAY CHOCOLATADA 1LT</t>
  </si>
  <si>
    <t>ID360</t>
  </si>
  <si>
    <t xml:space="preserve">AXE BLACK 48h </t>
  </si>
  <si>
    <t>ID065</t>
  </si>
  <si>
    <t>CREMA DENTAL DOBLE PROTECCION ODOL x 90</t>
  </si>
  <si>
    <t>ID154</t>
  </si>
  <si>
    <t>CREMA DENTAL TRIPLE ACCION  COLGATE x 180</t>
  </si>
  <si>
    <t>ID155</t>
  </si>
  <si>
    <t>JABON BLANCO GRAN FEDERAL 150GR</t>
  </si>
  <si>
    <t>ID305</t>
  </si>
  <si>
    <t>JABON BLANCO ZORR0 CLASICO 150GR</t>
  </si>
  <si>
    <t>ID306</t>
  </si>
  <si>
    <t>JABON BLANCO ZORR0 FLORAL 150GR</t>
  </si>
  <si>
    <t>ID307</t>
  </si>
  <si>
    <t>ROLLOS DE COCINA X 3 ELEGANTE 50 PAÑOS POR ROLLO</t>
  </si>
  <si>
    <t>ID468</t>
  </si>
  <si>
    <t>PILAS ENERGIZER MAX D BP x2</t>
  </si>
  <si>
    <t>ID428</t>
  </si>
  <si>
    <t>WD 40 ACEITE LUBRICANTE MULTIUSO DESOXIDANTE AFLOJATODO 155G</t>
  </si>
  <si>
    <t>ID540</t>
  </si>
  <si>
    <t>VINO RESERVA DE ANDES MALBEC</t>
  </si>
  <si>
    <t>ID531</t>
  </si>
  <si>
    <t>ID532</t>
  </si>
  <si>
    <t>ALFAJOR GUAYMALLEN DULCE DE LECHE 38GR</t>
  </si>
  <si>
    <t>ID022</t>
  </si>
  <si>
    <t>ACEITUNAS 190GR NUCETE VERDES DESCAROZADAS</t>
  </si>
  <si>
    <t>ID003</t>
  </si>
  <si>
    <t>ACEITUNAS 220GR NUCETE VERDES DESCAROZADAS</t>
  </si>
  <si>
    <t>ID004</t>
  </si>
  <si>
    <t>CUMANÁ ATUN DESMENUZADO AL NATURAL 170GR</t>
  </si>
  <si>
    <t>ID157</t>
  </si>
  <si>
    <t>JUGO EN POLVO MANDARINA TANG X 15GR</t>
  </si>
  <si>
    <t>ID337</t>
  </si>
  <si>
    <t>PAN DULCE LOS DOS CHINOS CON CHIPS DE CHOCOLATE 400GR</t>
  </si>
  <si>
    <t>ID402</t>
  </si>
  <si>
    <t>QUESO RALLADO LA PAULINA 150GR</t>
  </si>
  <si>
    <t>ID455</t>
  </si>
  <si>
    <t>SALSA DE TOMATE LISTA ARCOR PIZZA 340GR</t>
  </si>
  <si>
    <t>ID486</t>
  </si>
  <si>
    <t>YERBA NOBLEZA GAUCHA 500GR</t>
  </si>
  <si>
    <t>ID546</t>
  </si>
  <si>
    <t>YERBA TARAGUI 500GR</t>
  </si>
  <si>
    <t>ID549</t>
  </si>
  <si>
    <t>CERVEZA X LATA QUILMES CLASICA 710CC</t>
  </si>
  <si>
    <t>ID135</t>
  </si>
  <si>
    <t>CERVEZA X LATA QUILMES IPA 473CC</t>
  </si>
  <si>
    <t>ID136</t>
  </si>
  <si>
    <t>CERVEZA X LATA STELLA ARTOIS 473CC</t>
  </si>
  <si>
    <t>ID139</t>
  </si>
  <si>
    <t>Amazon Fire tv Stick Lite</t>
  </si>
  <si>
    <t>ID046</t>
  </si>
  <si>
    <t>SANDIA KG</t>
  </si>
  <si>
    <t>ID494</t>
  </si>
  <si>
    <t>TOMATE PERITA KG</t>
  </si>
  <si>
    <t>ID514</t>
  </si>
  <si>
    <t>BUDIN ZUPAY CON FRUTAS 170GR</t>
  </si>
  <si>
    <t>ID085</t>
  </si>
  <si>
    <t>GASEOSA CUNNINGTON 2,25L CLASICA INDIAN TONIC</t>
  </si>
  <si>
    <t>ID258</t>
  </si>
  <si>
    <t>GASEOSA CUNNINGTON 2,25L CLASICA NARANJA</t>
  </si>
  <si>
    <t>ID260</t>
  </si>
  <si>
    <t>LEVITE MANZANA 1.5L</t>
  </si>
  <si>
    <t>ID370</t>
  </si>
  <si>
    <t>LEVITE NARANJA 1.5L</t>
  </si>
  <si>
    <t>ID371</t>
  </si>
  <si>
    <t>CHOCOLATE CRUNCH NESTLE 80GR</t>
  </si>
  <si>
    <t>ID147</t>
  </si>
  <si>
    <t>HELADO DE AGUA FRUTILLA PALITO GRIDO</t>
  </si>
  <si>
    <t>ID296</t>
  </si>
  <si>
    <t>PECHUGA DE POLLO CONGELADA VENTA AL PESO</t>
  </si>
  <si>
    <t>ID421</t>
  </si>
  <si>
    <t>SALCHICHAS SWIFT 12u</t>
  </si>
  <si>
    <t>ID481</t>
  </si>
  <si>
    <t>SALCHICHAS SWIFT 6u</t>
  </si>
  <si>
    <t>ID482</t>
  </si>
  <si>
    <t>SALCHICHAS UNION GANADERA 6u</t>
  </si>
  <si>
    <t>ID483</t>
  </si>
  <si>
    <t>FERNET BRANCA 750ML + GASEOSA COCA COLA 2,25L</t>
  </si>
  <si>
    <t>ID193</t>
  </si>
  <si>
    <t>PROMO TORTAS FRITAS (HARINA 000, LEVADURA 10GR, GRASA 500GR)</t>
  </si>
  <si>
    <t>ID445</t>
  </si>
  <si>
    <t>PAPAS FRITAS CORTE TRADICIONAL 55GR</t>
  </si>
  <si>
    <t>ID415</t>
  </si>
  <si>
    <t>RUEDITAS PEP SABOR PIZZA 40GR</t>
  </si>
  <si>
    <t>ID469</t>
  </si>
  <si>
    <t>SUPERCONOS KRACHITOSSNACKS 50GR</t>
  </si>
  <si>
    <t>ID503</t>
  </si>
  <si>
    <t>VINO CAJA BLANCO TORO 1L</t>
  </si>
  <si>
    <t>ID523</t>
  </si>
  <si>
    <t>VINO SALONERA BOTELLON 1,125L</t>
  </si>
  <si>
    <t>ID534</t>
  </si>
  <si>
    <t>ALFAJOR HAMLET CHOCOMANI 34,5GR</t>
  </si>
  <si>
    <t>ID023</t>
  </si>
  <si>
    <t>GASEOSA MANAOS 3L (POMELO)</t>
  </si>
  <si>
    <t>ID266</t>
  </si>
  <si>
    <t>VINO TORO BOTELLON</t>
  </si>
  <si>
    <t>ID537</t>
  </si>
  <si>
    <t>HUEVO X 1/2 DOCENA</t>
  </si>
  <si>
    <t>ID303</t>
  </si>
  <si>
    <t>GOMITAS 80GR</t>
  </si>
  <si>
    <t>ID278</t>
  </si>
  <si>
    <t>CERVEZA X LATA ANDES IPA ANDINA 473CC</t>
  </si>
  <si>
    <t>ID127</t>
  </si>
  <si>
    <t>CERVEZA X LATA BRAHMA CLASICA 473CC</t>
  </si>
  <si>
    <t>ID130</t>
  </si>
  <si>
    <t>Fecha</t>
  </si>
  <si>
    <t>Efectivo</t>
  </si>
  <si>
    <t>Posnet</t>
  </si>
  <si>
    <t>Transferencia</t>
  </si>
  <si>
    <t>Total</t>
  </si>
  <si>
    <t>Tickets</t>
  </si>
  <si>
    <t>Ticket</t>
  </si>
  <si>
    <t>Hora</t>
  </si>
  <si>
    <t>Producto</t>
  </si>
  <si>
    <t>Cantidad</t>
  </si>
  <si>
    <t>Precio Unit</t>
  </si>
  <si>
    <t>Vendedor</t>
  </si>
  <si>
    <t>Subtotal</t>
  </si>
  <si>
    <t>0001</t>
  </si>
  <si>
    <t>4:23:00 p. m.</t>
  </si>
  <si>
    <t>─── TOTAL TICKET ───</t>
  </si>
  <si>
    <t>💵 EFECTIVO</t>
  </si>
  <si>
    <t>0002</t>
  </si>
  <si>
    <t>4:27:00 p. m.</t>
  </si>
  <si>
    <t>0003</t>
  </si>
  <si>
    <t>─── TOTAL TICKET N° 0003 ───</t>
  </si>
  <si>
    <t>0004</t>
  </si>
  <si>
    <t>5:35:00 p. m.</t>
  </si>
  <si>
    <t>─── TOTAL TICKET N° 0004 ───</t>
  </si>
  <si>
    <t>0005</t>
  </si>
  <si>
    <t>1:21:00 a. m.</t>
  </si>
  <si>
    <t>HAMBURGUESAS PATY EXPRESS 4u</t>
  </si>
  <si>
    <t>─── TOTAL TICKET N° 0005 ───</t>
  </si>
  <si>
    <t>0006</t>
  </si>
  <si>
    <t>2:08:00 a. m.</t>
  </si>
  <si>
    <t>─── TOTAL TICKET N° 0006 ───</t>
  </si>
  <si>
    <t>0007</t>
  </si>
  <si>
    <t>11:15:00 a. m.</t>
  </si>
  <si>
    <t>PAN KG</t>
  </si>
  <si>
    <t>─── TOTAL TICKET N° 0007 ───</t>
  </si>
  <si>
    <t>0008</t>
  </si>
  <si>
    <t>1:31:00 p. m.</t>
  </si>
  <si>
    <t>─── TOTAL TICKET N° 0008 ───</t>
  </si>
  <si>
    <t>0009</t>
  </si>
  <si>
    <t>2:02:00 p. m.</t>
  </si>
  <si>
    <t>TOMATE CHERRY KG (100gr)</t>
  </si>
  <si>
    <t>─── TOTAL TICKET N° 0009 ───</t>
  </si>
  <si>
    <t>0010</t>
  </si>
  <si>
    <t>2:26:00 p. m.</t>
  </si>
  <si>
    <t>─── TOTAL TICKET N° 0010 ───</t>
  </si>
  <si>
    <t>0011</t>
  </si>
  <si>
    <t>6:46:00 p. m.</t>
  </si>
  <si>
    <t>PAN KG (300gr)</t>
  </si>
  <si>
    <t>─── TOTAL TICKET N° 0011 ───</t>
  </si>
  <si>
    <t>0012</t>
  </si>
  <si>
    <t>7:42:00 p. m.</t>
  </si>
  <si>
    <t>─── TOTAL TICKET N° 0012 ───</t>
  </si>
  <si>
    <t>0013</t>
  </si>
  <si>
    <t>7:44:00 p. m.</t>
  </si>
  <si>
    <t>─── TOTAL TICKET N° 0013 ───</t>
  </si>
  <si>
    <t>0014</t>
  </si>
  <si>
    <t>7:52:00 p. m.</t>
  </si>
  <si>
    <t>JUGO EN POLVO MANDARINA TANG x 15GR</t>
  </si>
  <si>
    <t>JUGO EN POLVO UVA TANG x 15GR</t>
  </si>
  <si>
    <t>JUGO EN POLVO MANZANA TANG x 15GR</t>
  </si>
  <si>
    <t>─── TOTAL TICKET N° 0014 ───</t>
  </si>
  <si>
    <t>0015</t>
  </si>
  <si>
    <t>7:56:00 p. m.</t>
  </si>
  <si>
    <t>ZANAHORIA KG (450gr)</t>
  </si>
  <si>
    <t>─── TOTAL TICKET N° 0015 ───</t>
  </si>
  <si>
    <t>0016</t>
  </si>
  <si>
    <t>HAMBURGUESAS BURGER SWIFT 4u</t>
  </si>
  <si>
    <t>─── TOTAL TICKET N° 0016 ───</t>
  </si>
  <si>
    <t>0017</t>
  </si>
  <si>
    <t>8:03:00 p. m.</t>
  </si>
  <si>
    <t>SUPREMA DE PECHUGA DE POLLO X KG (1570gr)</t>
  </si>
  <si>
    <t>─── TOTAL TICKET N° 0017 ───</t>
  </si>
  <si>
    <t>0018</t>
  </si>
  <si>
    <t>8:16:00 p. m.</t>
  </si>
  <si>
    <t>─── TOTAL TICKET N° 0018 ───</t>
  </si>
  <si>
    <t>0019</t>
  </si>
  <si>
    <t>8:49:00 p. m.</t>
  </si>
  <si>
    <t>─── TOTAL TICKET N° 0019 ───</t>
  </si>
  <si>
    <t>0020</t>
  </si>
  <si>
    <t>8:58:00 p. m.</t>
  </si>
  <si>
    <t>TOMATE REDONDO KG (210gr)</t>
  </si>
  <si>
    <t>SUPREMA DE PECHUGA DE POLLO X KG (625gr)</t>
  </si>
  <si>
    <t>QUESO CREMOSO LA PAULINA DOBLE CREMA x 250GR</t>
  </si>
  <si>
    <t>FANTOCHE mini NEGRO X6u</t>
  </si>
  <si>
    <t>─── TOTAL TICKET N° 0020 ───</t>
  </si>
  <si>
    <t>0021</t>
  </si>
  <si>
    <t>9:00:00 p. m.</t>
  </si>
  <si>
    <t>CEBOLLA KG (250gr)</t>
  </si>
  <si>
    <t>─── TOTAL TICKET N° 0021 ───</t>
  </si>
  <si>
    <t>0022</t>
  </si>
  <si>
    <t>9:01:00 p. m.</t>
  </si>
  <si>
    <t>─── TOTAL TICKET N° 0022 ───</t>
  </si>
  <si>
    <t>0023</t>
  </si>
  <si>
    <t>9:59:00 p. m.</t>
  </si>
  <si>
    <t>─── TOTAL TICKET N° 0023 ───</t>
  </si>
  <si>
    <t>0024</t>
  </si>
  <si>
    <t>─── TOTAL TICKET N° 0024 ───</t>
  </si>
  <si>
    <t>0025</t>
  </si>
  <si>
    <t>─── TOTAL TICKET N° 0025 ───</t>
  </si>
  <si>
    <t>💳 POSNET</t>
  </si>
  <si>
    <t>0026</t>
  </si>
  <si>
    <t>─── TOTAL TICKET N° 0026 ───</t>
  </si>
  <si>
    <t>📱 TRANSFERENCIA</t>
  </si>
  <si>
    <t>0027</t>
  </si>
  <si>
    <t>TOMATE CHERRY KG (55gr)</t>
  </si>
  <si>
    <t>─── TOTAL TICKET N° 0027 ───</t>
  </si>
  <si>
    <t>0028</t>
  </si>
  <si>
    <t>─── TOTAL TICKET N° 0028 ───</t>
  </si>
  <si>
    <t>0029</t>
  </si>
  <si>
    <t>─── TOTAL TICKET N° 0029 ───</t>
  </si>
  <si>
    <t>0030</t>
  </si>
  <si>
    <t>─── TOTAL TICKET N° 0030 ───==</t>
  </si>
  <si>
    <t>0031</t>
  </si>
  <si>
    <t>CEBOLLA KG (355gr)</t>
  </si>
  <si>
    <t>─── TOTAL TICKET N° 0031 ───</t>
  </si>
  <si>
    <t>0032</t>
  </si>
  <si>
    <t>─── TOTAL TICKET N° 0032 ───</t>
  </si>
  <si>
    <t>0033</t>
  </si>
  <si>
    <t>─── TOTAL TICKET N° 0033 ───</t>
  </si>
  <si>
    <t>0034</t>
  </si>
  <si>
    <t>PAN KG (500gr)</t>
  </si>
  <si>
    <t>─── TOTAL TICKET N° 0034 ───</t>
  </si>
  <si>
    <t>0035</t>
  </si>
  <si>
    <t>TOMATE CHERRY KG (18gr)</t>
  </si>
  <si>
    <t>─── TOTAL TICKET N° 0035 ───</t>
  </si>
  <si>
    <t>Víctor</t>
  </si>
  <si>
    <t>0036</t>
  </si>
  <si>
    <t>─── TOTAL TICKET N° 0036 ───</t>
  </si>
  <si>
    <t>0037</t>
  </si>
  <si>
    <t>QUESO LA PAULINA BARRA SANDWICH 1KG (270gr)</t>
  </si>
  <si>
    <t>─── TOTAL TICKET N° 0037 ───</t>
  </si>
  <si>
    <t>0038</t>
  </si>
  <si>
    <t>─── TOTAL TICKET N° 0038 ───</t>
  </si>
  <si>
    <t>0039</t>
  </si>
  <si>
    <t>─── TOTAL TICKET N° 0039 ───</t>
  </si>
  <si>
    <t>0040</t>
  </si>
  <si>
    <t>─── TOTAL TICKET N° 0040 ───</t>
  </si>
  <si>
    <t>0041</t>
  </si>
  <si>
    <t>─── TOTAL TICKET N° 0041 ───</t>
  </si>
  <si>
    <t>0042</t>
  </si>
  <si>
    <t>CALABAZA KG (1800gr)</t>
  </si>
  <si>
    <t>ZANAHORIA KG (900gr)</t>
  </si>
  <si>
    <t>─── TOTAL TICKET N° 0042 ───</t>
  </si>
  <si>
    <t>Sebastian</t>
  </si>
  <si>
    <t>0043</t>
  </si>
  <si>
    <t>─── TOTAL TICKET N° 0043 ───</t>
  </si>
  <si>
    <t>0044</t>
  </si>
  <si>
    <t>─── TOTAL TICKET N° 0044 ───</t>
  </si>
  <si>
    <t>0045</t>
  </si>
  <si>
    <t>─── TOTAL TICKET N° 0045 ───</t>
  </si>
  <si>
    <t>0046</t>
  </si>
  <si>
    <t>─── TOTAL TICKET N° 0046 ───</t>
  </si>
  <si>
    <t>0047</t>
  </si>
  <si>
    <t>LIMON KG (100gr)</t>
  </si>
  <si>
    <t>─── TOTAL TICKET N° 0047 ───</t>
  </si>
  <si>
    <t>0048</t>
  </si>
  <si>
    <t>─── TOTAL TICKET N° 0048 ───</t>
  </si>
  <si>
    <t>0049</t>
  </si>
  <si>
    <t>─── TOTAL TICKET N° 0049 ───</t>
  </si>
  <si>
    <t>0050</t>
  </si>
  <si>
    <t>─── TOTAL TICKET N° 0050 ───</t>
  </si>
  <si>
    <t>0051</t>
  </si>
  <si>
    <t>CEBOLLA KG (1000gr)</t>
  </si>
  <si>
    <t>─── TOTAL TICKET N° 0051 ───</t>
  </si>
  <si>
    <t>0052</t>
  </si>
  <si>
    <t>─── TOTAL TICKET N° 0052 ───</t>
  </si>
  <si>
    <t>0053</t>
  </si>
  <si>
    <t>─── TOTAL TICKET N° 0053 ───</t>
  </si>
  <si>
    <t>0054</t>
  </si>
  <si>
    <t>TOMATE REDONDO KG (500gr)</t>
  </si>
  <si>
    <t>─── TOTAL TICKET N° 0054 ───</t>
  </si>
  <si>
    <t>0055</t>
  </si>
  <si>
    <t>QUESO CREMOSO LA PAULINA DOBLE CREMA x KG (650gr)</t>
  </si>
  <si>
    <t>─── TOTAL TICKET N° 0055 ───</t>
  </si>
  <si>
    <t>0056</t>
  </si>
  <si>
    <t>─── TOTAL TICKET N° 0056 ───</t>
  </si>
  <si>
    <t>0057</t>
  </si>
  <si>
    <t>SUPREMA DE PECHUGA DE POLLO X KG (155gr)</t>
  </si>
  <si>
    <t>LIMON KG (150gr)</t>
  </si>
  <si>
    <t>TOMATE REDONDO KG (200gr)</t>
  </si>
  <si>
    <t>─── TOTAL TICKET N° 0057 ───</t>
  </si>
  <si>
    <t>0058</t>
  </si>
  <si>
    <t>BANANA KG (420gr)</t>
  </si>
  <si>
    <t>NARANJAS KG (400gr)</t>
  </si>
  <si>
    <t>─── TOTAL TICKET N° 0058 ───</t>
  </si>
  <si>
    <t>0059</t>
  </si>
  <si>
    <t>─── TOTAL TICKET N° 0059 ───</t>
  </si>
  <si>
    <t>0060</t>
  </si>
  <si>
    <t>SUPREMA DE PECHUGA DE POLLO X KG (900gr)</t>
  </si>
  <si>
    <t>─── TOTAL TICKET N° 0060 ───</t>
  </si>
  <si>
    <t>0061</t>
  </si>
  <si>
    <t>─── TOTAL TICKET N° 0061 ───</t>
  </si>
  <si>
    <t>0062</t>
  </si>
  <si>
    <t>CALABAZA KG (2000gr)</t>
  </si>
  <si>
    <t>PAPA LAVADA KG (600gr)</t>
  </si>
  <si>
    <t>CEBOLLA KG (500gr)</t>
  </si>
  <si>
    <t>─── TOTAL TICKET N° 0062 ───</t>
  </si>
  <si>
    <t>0063</t>
  </si>
  <si>
    <t>JUGO EN POLVO ARCOR SABOR A MULTIFRUTA 15G 1L</t>
  </si>
  <si>
    <t>─── TOTAL TICKET N° 0063 ───</t>
  </si>
  <si>
    <t>0064</t>
  </si>
  <si>
    <t>─── TOTAL TICKET N° 0064 ───</t>
  </si>
  <si>
    <t>0065</t>
  </si>
  <si>
    <t>PAN KG (1000gr)</t>
  </si>
  <si>
    <t>ATUN GOMES DE COSTA LOMO EN ACEITE 170GR [PRECIO ESP: $5000→$5500]</t>
  </si>
  <si>
    <t>AZUCAR LEDESMA 1KG (1000gr)</t>
  </si>
  <si>
    <t>PAN DULCE LOS DOS CHINOS CON FRUTAS 400GR [PRECIO ESP: $7000→$5000]</t>
  </si>
  <si>
    <t>─── TOTAL TICKET N° 0065 ───</t>
  </si>
  <si>
    <t>0066</t>
  </si>
  <si>
    <t>QUESO CREMOSO LA PAULINA DOBLE CREMA x KG (300gr)</t>
  </si>
  <si>
    <t>─── TOTAL TICKET N° 0066 ───</t>
  </si>
  <si>
    <t>0067</t>
  </si>
  <si>
    <t>ARROZ 1 KG PRIMOR (1000gr)</t>
  </si>
  <si>
    <t>─── TOTAL TICKET N° 0067 ───</t>
  </si>
  <si>
    <t>0068</t>
  </si>
  <si>
    <t>REPOLLO KG (1200gr)</t>
  </si>
  <si>
    <t>JUGO EN POLVO POMELO ROSADO TANG x 15GR</t>
  </si>
  <si>
    <t>─── TOTAL TICKET N° 0068 ───</t>
  </si>
  <si>
    <t>0069</t>
  </si>
  <si>
    <t>NARANJAS KG (1000gr)</t>
  </si>
  <si>
    <t>─── TOTAL TICKET N° 0069 ───</t>
  </si>
  <si>
    <t>0070</t>
  </si>
  <si>
    <t>PAN KG (425gr)</t>
  </si>
  <si>
    <t>─── TOTAL TICKET N° 0070 ───</t>
  </si>
  <si>
    <t>0071</t>
  </si>
  <si>
    <t>─── TOTAL TICKET N° 0071 ───</t>
  </si>
  <si>
    <t>0072</t>
  </si>
  <si>
    <t>─── TOTAL TICKET N° 0072 ───</t>
  </si>
  <si>
    <t>0073</t>
  </si>
  <si>
    <t>SUPREMA DE PECHUGA DE POLLO X KG (575gr)</t>
  </si>
  <si>
    <t>─── TOTAL TICKET N° 0073 ───</t>
  </si>
  <si>
    <t>0074</t>
  </si>
  <si>
    <t>─── TOTAL TICKET N° 0074 ───</t>
  </si>
  <si>
    <t>0075</t>
  </si>
  <si>
    <t>PAN X KG (500gr)</t>
  </si>
  <si>
    <t>─── TOTAL TICKET N° 0075 ───</t>
  </si>
  <si>
    <t>0076</t>
  </si>
  <si>
    <t>SUPREMA DE PECHUGA DE POLLO X KG (1000gr)</t>
  </si>
  <si>
    <t>─── TOTAL TICKET N° 0076 ───</t>
  </si>
  <si>
    <t>0077</t>
  </si>
  <si>
    <t>─── TOTAL TICKET N° 0077 ───</t>
  </si>
  <si>
    <t>0078</t>
  </si>
  <si>
    <t>─── TOTAL TICKET N° 0078 ───</t>
  </si>
  <si>
    <t>0079</t>
  </si>
  <si>
    <t>─── TOTAL TICKET N° 0079 ───</t>
  </si>
  <si>
    <t>0080</t>
  </si>
  <si>
    <t>─── TOTAL TICKET N° 0080 ───</t>
  </si>
  <si>
    <t>0081</t>
  </si>
  <si>
    <t>PROCENEX</t>
  </si>
  <si>
    <t>─── TOTAL TICKET N° 0081 ───</t>
  </si>
  <si>
    <t>0082</t>
  </si>
  <si>
    <t>─── TOTAL TICKET N° 0082 ───</t>
  </si>
  <si>
    <t>0083</t>
  </si>
  <si>
    <t>TOMATE REDONDO KG (660gr)</t>
  </si>
  <si>
    <t>REMOLACHA X KG (1165gr)</t>
  </si>
  <si>
    <t>─── TOTAL TICKET N° 0083 ───</t>
  </si>
  <si>
    <t>0084</t>
  </si>
  <si>
    <t>PAN X KG (555gr)</t>
  </si>
  <si>
    <t>─── TOTAL TICKET N° 0084 ───</t>
  </si>
  <si>
    <t>0085</t>
  </si>
  <si>
    <t>─── TOTAL TICKET N° 0085 ───</t>
  </si>
  <si>
    <t>0086</t>
  </si>
  <si>
    <t>─── TOTAL TICKET N° 0086 ───</t>
  </si>
  <si>
    <t>0087</t>
  </si>
  <si>
    <t>─── TOTAL TICKET N° 0087 ───</t>
  </si>
  <si>
    <t>0088</t>
  </si>
  <si>
    <t>ZANAHORIA X KG (450gr)</t>
  </si>
  <si>
    <t>TOMATE REDONDO KG (325gr)</t>
  </si>
  <si>
    <t>CEBOLLA X KG (365gr)</t>
  </si>
  <si>
    <t>LIMON KG (265gr)</t>
  </si>
  <si>
    <t>─── TOTAL TICKET N° 0088 ───</t>
  </si>
  <si>
    <t>0089</t>
  </si>
  <si>
    <t>SALCHICHAS PATY CLASICA 12u</t>
  </si>
  <si>
    <t>─── TOTAL TICKET N° 0089 ───</t>
  </si>
  <si>
    <t>0090</t>
  </si>
  <si>
    <t>TOMATE REDONDO KG (360gr)</t>
  </si>
  <si>
    <t>LECHUGA X KG (1205gr)</t>
  </si>
  <si>
    <t>─── TOTAL TICKET N° 0090 ───</t>
  </si>
  <si>
    <t>0091</t>
  </si>
  <si>
    <t>─── TOTAL TICKET N° 0091 ───</t>
  </si>
  <si>
    <t>0092</t>
  </si>
  <si>
    <t>─── TOTAL TICKET N° 0092 ───</t>
  </si>
  <si>
    <t>0093</t>
  </si>
  <si>
    <t>PAN X KG (1000gr)</t>
  </si>
  <si>
    <t>─── TOTAL TICKET N° 0093 ───</t>
  </si>
  <si>
    <t>0094</t>
  </si>
  <si>
    <t>─── TOTAL TICKET N° 0094 ───</t>
  </si>
  <si>
    <t>0095</t>
  </si>
  <si>
    <t>─── TOTAL TICKET N° 0095 ───</t>
  </si>
  <si>
    <t>0096</t>
  </si>
  <si>
    <t>─── TOTAL TICKET N° 0096 ───</t>
  </si>
  <si>
    <t>0097</t>
  </si>
  <si>
    <t>─── TOTAL TICKET N° 0097 ───</t>
  </si>
  <si>
    <t>0098</t>
  </si>
  <si>
    <t>PAN X KG (540gr)</t>
  </si>
  <si>
    <t>─── TOTAL TICKET N° 0098 ───</t>
  </si>
  <si>
    <t>0099</t>
  </si>
  <si>
    <t>─── TOTAL TICKET N° 0099 ───</t>
  </si>
  <si>
    <t>0100</t>
  </si>
  <si>
    <t>─── TOTAL TICKET N° 0100 ───</t>
  </si>
  <si>
    <t>0101</t>
  </si>
  <si>
    <t>─── TOTAL TICKET N° 0101 ───</t>
  </si>
  <si>
    <t>0102</t>
  </si>
  <si>
    <t>─── TOTAL TICKET N° 0102 ───</t>
  </si>
  <si>
    <t>0103</t>
  </si>
  <si>
    <t>CHOCOLATE NESTLE CLASSIC DUO 80GR [PRECIO ESP: $7000→$7000]</t>
  </si>
  <si>
    <t>─── TOTAL TICKET N° 0103 ───</t>
  </si>
  <si>
    <t>0104</t>
  </si>
  <si>
    <t>─── TOTAL TICKET N° 0104 ───</t>
  </si>
  <si>
    <t>0105</t>
  </si>
  <si>
    <t>─── TOTAL TICKET N° 0105 ───</t>
  </si>
  <si>
    <t>0106</t>
  </si>
  <si>
    <t>TOMATE REDONDO KG (170gr)</t>
  </si>
  <si>
    <t>─── TOTAL TICKET N° 0106 ───</t>
  </si>
  <si>
    <t>0107</t>
  </si>
  <si>
    <t>GASEOSA MANAOS 3L (COLA) [PRECIO ESP: $4500→$4000]</t>
  </si>
  <si>
    <t>─── TOTAL TICKET N° 0107 ───</t>
  </si>
  <si>
    <t>0108</t>
  </si>
  <si>
    <t>PAN X KG (485gr)</t>
  </si>
  <si>
    <t>─── TOTAL TICKET N° 0108 ───</t>
  </si>
  <si>
    <t>0109</t>
  </si>
  <si>
    <t>PAPA LAVADA KG (1500gr)</t>
  </si>
  <si>
    <t>─── TOTAL TICKET N° 0109 ───</t>
  </si>
  <si>
    <t>0110</t>
  </si>
  <si>
    <t>─── TOTAL TICKET N° 0110 ───</t>
  </si>
  <si>
    <t>0111</t>
  </si>
  <si>
    <t>─── TOTAL TICKET N° 0111 ───</t>
  </si>
  <si>
    <t>0112</t>
  </si>
  <si>
    <t>PAN X KG (515gr)</t>
  </si>
  <si>
    <t>─── TOTAL TICKET N° 0112 ───</t>
  </si>
  <si>
    <t>💵 TRANSFERENCIA</t>
  </si>
  <si>
    <t>0113</t>
  </si>
  <si>
    <t>─── TOTAL TICKET N° 0113 ───</t>
  </si>
  <si>
    <t>0114</t>
  </si>
  <si>
    <t>─── TOTAL TICKET N° 0114 ───</t>
  </si>
  <si>
    <t>0115</t>
  </si>
  <si>
    <t>NARANJA X KG (325gr)</t>
  </si>
  <si>
    <t>─── TOTAL TICKET N° 0115 ───</t>
  </si>
  <si>
    <t>0116</t>
  </si>
  <si>
    <t>─── TOTAL TICKET N° 0116 ───</t>
  </si>
  <si>
    <t>0117</t>
  </si>
  <si>
    <t>PAN X KG (600gr)</t>
  </si>
  <si>
    <t>SALCHICHAS PALADINI 6u [PRECIO ESP: $3200→$2100]</t>
  </si>
  <si>
    <t>─── TOTAL TICKET N° 0117 ───</t>
  </si>
  <si>
    <t>0118</t>
  </si>
  <si>
    <t>─── TOTAL TICKET N° 0118 ───</t>
  </si>
  <si>
    <t>0119</t>
  </si>
  <si>
    <t>CEBOLLA X KG (200gr)</t>
  </si>
  <si>
    <t>TOMATE REDONDO KG (100gr)</t>
  </si>
  <si>
    <t>─── TOTAL TICKET N° 0119 ───</t>
  </si>
  <si>
    <t>0120</t>
  </si>
  <si>
    <t>NARANJA X KG (200gr)</t>
  </si>
  <si>
    <t>─── TOTAL TICKET N° 0120 ───</t>
  </si>
  <si>
    <t>0121</t>
  </si>
  <si>
    <t>─── TOTAL TICKET N° 0121 ───</t>
  </si>
  <si>
    <t>0122</t>
  </si>
  <si>
    <t>─── TOTAL TICKET N° 0122 ───</t>
  </si>
  <si>
    <t>0123</t>
  </si>
  <si>
    <t>PAPA LAVADA KG (1400gr)</t>
  </si>
  <si>
    <t>─── TOTAL TICKET N° 0123 ───</t>
  </si>
  <si>
    <t>0124</t>
  </si>
  <si>
    <t>─── TOTAL TICKET N° 0124 ───</t>
  </si>
  <si>
    <t>0125</t>
  </si>
  <si>
    <t>─── TOTAL TICKET N° 0125 ───</t>
  </si>
  <si>
    <t>0126</t>
  </si>
  <si>
    <t>─── TOTAL TICKET N° 0126 ───</t>
  </si>
  <si>
    <t>0127</t>
  </si>
  <si>
    <t>─── TOTAL TICKET N° 0127 ───</t>
  </si>
  <si>
    <t>0128</t>
  </si>
  <si>
    <t>ZANAHORIA X KG (170gr)</t>
  </si>
  <si>
    <t>CERVEZA X LATA ANDES ROJA 473CC [PRECIO ESP: $4000→$4300]</t>
  </si>
  <si>
    <t>─── TOTAL TICKET N° 0128 ───</t>
  </si>
  <si>
    <t>0129</t>
  </si>
  <si>
    <t>─── TOTAL TICKET N° 0129 ───</t>
  </si>
  <si>
    <t>0130</t>
  </si>
  <si>
    <t>─── TOTAL TICKET N° 0130 ───</t>
  </si>
  <si>
    <t>0131</t>
  </si>
  <si>
    <t>─── TOTAL TICKET N° 0131 ───</t>
  </si>
  <si>
    <t>0132</t>
  </si>
  <si>
    <t>ALFAJOR GENIO TRIPLE BLANCO 60GR [PRECIO ESP: $1000→$800]</t>
  </si>
  <si>
    <t>─── TOTAL TICKET N° 0132 ───</t>
  </si>
  <si>
    <t>0133</t>
  </si>
  <si>
    <t>─── TOTAL TICKET N° 0133 ───</t>
  </si>
  <si>
    <t>0134</t>
  </si>
  <si>
    <t>─── TOTAL TICKET N° 0134 ───</t>
  </si>
  <si>
    <t>0135</t>
  </si>
  <si>
    <t>TOMATE REDONDO KG (350gr)</t>
  </si>
  <si>
    <t>─── TOTAL TICKET N° 0135 ───</t>
  </si>
  <si>
    <t>💵 POSNET</t>
  </si>
  <si>
    <t>0136</t>
  </si>
  <si>
    <t>─── TOTAL TICKET N° 0136 ───</t>
  </si>
  <si>
    <t>0137</t>
  </si>
  <si>
    <t>PAN X KG (750gr)</t>
  </si>
  <si>
    <t>─── TOTAL TICKET N° 0137 ───</t>
  </si>
  <si>
    <t>0138</t>
  </si>
  <si>
    <t>─── TOTAL TICKET N° 0138 ───</t>
  </si>
  <si>
    <t>0139</t>
  </si>
  <si>
    <t>─── TOTAL TICKET N° 0139 ───</t>
  </si>
  <si>
    <t>0140</t>
  </si>
  <si>
    <t>TOMATE REDONDO KG (630gr)</t>
  </si>
  <si>
    <t>LECHUGA X KG (1100gr)</t>
  </si>
  <si>
    <t>PAN PARA HAMBURGUESAS BIMBO 4u 210GR</t>
  </si>
  <si>
    <t>─── TOTAL TICKET N° 0140 ───</t>
  </si>
  <si>
    <t>0141</t>
  </si>
  <si>
    <t>─── TOTAL TICKET N° 0141 ───</t>
  </si>
  <si>
    <t>0142</t>
  </si>
  <si>
    <t>TOMATE REDONDO KG (345gr)</t>
  </si>
  <si>
    <t>─── TOTAL TICKET N° 0142 ───</t>
  </si>
  <si>
    <t>0143</t>
  </si>
  <si>
    <t>─── TOTAL TICKET N° 0143 ───</t>
  </si>
  <si>
    <t>0144</t>
  </si>
  <si>
    <t>─── TOTAL TICKET N° 0144 ───</t>
  </si>
  <si>
    <t>0145</t>
  </si>
  <si>
    <t>─── TOTAL TICKET N° 0145 ───</t>
  </si>
  <si>
    <t>0146</t>
  </si>
  <si>
    <t>─── TOTAL TICKET N° 0146 ───</t>
  </si>
  <si>
    <t>0147</t>
  </si>
  <si>
    <t>─── TOTAL TICKET N° 0147 ───</t>
  </si>
  <si>
    <t>0148</t>
  </si>
  <si>
    <t>─── TOTAL TICKET N° 0148 ───</t>
  </si>
  <si>
    <t>0149</t>
  </si>
  <si>
    <t>─── TOTAL TICKET N° 0149 ───</t>
  </si>
  <si>
    <t>0150</t>
  </si>
  <si>
    <t>─── TOTAL TICKET N° 0150 ───</t>
  </si>
  <si>
    <t>0151</t>
  </si>
  <si>
    <t>PAN X KG (215gr)</t>
  </si>
  <si>
    <t>TOMATE REDONDO KG (290gr)</t>
  </si>
  <si>
    <t>─── TOTAL TICKET N° 0151 ───</t>
  </si>
  <si>
    <t>0152</t>
  </si>
  <si>
    <t>─── TOTAL TICKET N° 0152 ───</t>
  </si>
  <si>
    <t>0153</t>
  </si>
  <si>
    <t>─── TOTAL TICKET N° 0153 ───</t>
  </si>
  <si>
    <t>0154</t>
  </si>
  <si>
    <t>─── TOTAL TICKET N° 0154 ───</t>
  </si>
  <si>
    <t>0155</t>
  </si>
  <si>
    <t>─── TOTAL TICKET N° 0155 ───</t>
  </si>
  <si>
    <t>0156</t>
  </si>
  <si>
    <t>HUEVO X 1/2 DOCENA [PRECIO ESP: $2500→$3500]</t>
  </si>
  <si>
    <t>─── TOTAL TICKET N° 0156 ───</t>
  </si>
  <si>
    <t>Sebastián</t>
  </si>
  <si>
    <t>0157</t>
  </si>
  <si>
    <t>SUPREMA DE PECHUGA DE POLLO X KG (236gr)</t>
  </si>
  <si>
    <t>PAN X KG (125gr)</t>
  </si>
  <si>
    <t>─── TOTAL TICKET N° 0157 ───</t>
  </si>
  <si>
    <t>0158</t>
  </si>
  <si>
    <t>CEBOLLA X KG (1000gr)</t>
  </si>
  <si>
    <t>─── TOTAL TICKET N° 0158 ───</t>
  </si>
  <si>
    <t>0159</t>
  </si>
  <si>
    <t>TOMATE REDONDO KG (280gr)</t>
  </si>
  <si>
    <t>LECHUGA X KG (857gr)</t>
  </si>
  <si>
    <t>─── TOTAL TICKET N° 0159 ───</t>
  </si>
  <si>
    <t>0160</t>
  </si>
  <si>
    <t>TOMATE REDONDO KG (820gr)</t>
  </si>
  <si>
    <t>─── TOTAL TICKET N° 0160 ───</t>
  </si>
  <si>
    <t>0161</t>
  </si>
  <si>
    <t>SUPREMA DE PECHUGA DE POLLO X KG (440gr)</t>
  </si>
  <si>
    <t>LECHUGA X KG (1150gr)</t>
  </si>
  <si>
    <t>─── TOTAL TICKET N° 0161 ───</t>
  </si>
  <si>
    <t>0162</t>
  </si>
  <si>
    <t>─── TOTAL TICKET N° 0162 ───</t>
  </si>
  <si>
    <t>0163</t>
  </si>
  <si>
    <t>─── TOTAL TICKET N° 0163 ───</t>
  </si>
  <si>
    <t>0164</t>
  </si>
  <si>
    <t>─── TOTAL TICKET N° 0164 ───</t>
  </si>
  <si>
    <t>0165</t>
  </si>
  <si>
    <t>─── TOTAL TICKET N° 0165 ───</t>
  </si>
  <si>
    <t>0166</t>
  </si>
  <si>
    <t>─── TOTAL TICKET N° 0166 ───</t>
  </si>
  <si>
    <t>0167</t>
  </si>
  <si>
    <t>─── TOTAL TICKET N° 0167 ───</t>
  </si>
  <si>
    <t>0168</t>
  </si>
  <si>
    <t>─── TOTAL TICKET N° 0168 ───</t>
  </si>
  <si>
    <t>0169</t>
  </si>
  <si>
    <t>─── TOTAL TICKET N° 0169 ───</t>
  </si>
  <si>
    <t>0170</t>
  </si>
  <si>
    <t>─── TOTAL TICKET N° 0170 ───</t>
  </si>
  <si>
    <t>0171</t>
  </si>
  <si>
    <t>CEBOLLA X KG (580gr)</t>
  </si>
  <si>
    <t>─── TOTAL TICKET N° 0171 ───</t>
  </si>
  <si>
    <t>0172</t>
  </si>
  <si>
    <t>TOMATE REDONDO KG (340gr)</t>
  </si>
  <si>
    <t>NARANJA X KG (380gr)</t>
  </si>
  <si>
    <t>─── TOTAL TICKET N° 0172 ───</t>
  </si>
  <si>
    <t>0173</t>
  </si>
  <si>
    <t>─── TOTAL TICKET N° 0173 ───</t>
  </si>
  <si>
    <t>0174</t>
  </si>
  <si>
    <t>AJO X UNIDAD (1000gr)</t>
  </si>
  <si>
    <t>LIMON KG (225gr)</t>
  </si>
  <si>
    <t>─── TOTAL TICKET N° 0174 ───</t>
  </si>
  <si>
    <t>0175</t>
  </si>
  <si>
    <t>─── TOTAL TICKET N° 0175 ───</t>
  </si>
  <si>
    <t>0176</t>
  </si>
  <si>
    <t>PAN X KG (315gr)</t>
  </si>
  <si>
    <t>TOMATE REDONDO KG (335gr)</t>
  </si>
  <si>
    <t>─── TOTAL TICKET N° 0176 ───</t>
  </si>
  <si>
    <t>0177</t>
  </si>
  <si>
    <t>─── TOTAL TICKET N° 0177 ───</t>
  </si>
  <si>
    <t>0178</t>
  </si>
  <si>
    <t>─── TOTAL TICKET N° 0178 ───</t>
  </si>
  <si>
    <t>0179</t>
  </si>
  <si>
    <t>─── TOTAL TICKET N° 0179 ───</t>
  </si>
  <si>
    <t>0180</t>
  </si>
  <si>
    <t>─── TOTAL TICKET N° 0180 ───</t>
  </si>
  <si>
    <t>0181</t>
  </si>
  <si>
    <t>─── TOTAL TICKET N° 0181 ───</t>
  </si>
  <si>
    <t>0182</t>
  </si>
  <si>
    <t>LECHUGA X KG (860gr)</t>
  </si>
  <si>
    <t>─── TOTAL TICKET N° 0182 ───</t>
  </si>
  <si>
    <t>0183</t>
  </si>
  <si>
    <t>─── TOTAL TICKET N° 0183 ───</t>
  </si>
  <si>
    <t>0184</t>
  </si>
  <si>
    <t>─── TOTAL TICKET N° 0184 ───</t>
  </si>
  <si>
    <t>0185</t>
  </si>
  <si>
    <t>ALITAS DE POLLO X KG (870gr)</t>
  </si>
  <si>
    <t>PAPA LAVADA KG (200gr)</t>
  </si>
  <si>
    <t>CALABAZA KG (500gr)</t>
  </si>
  <si>
    <t>CEBOLLA X KG (310gr)</t>
  </si>
  <si>
    <t>PAN X KG (75gr)</t>
  </si>
  <si>
    <t>─── TOTAL TICKET N° 0185 ───</t>
  </si>
  <si>
    <t>0186</t>
  </si>
  <si>
    <t>─── TOTAL TICKET N° 0186 ───</t>
  </si>
  <si>
    <t>0187</t>
  </si>
  <si>
    <t>QUESO CREMOSO LA PAULINA DOBLE CREMA x KG (800gr)</t>
  </si>
  <si>
    <t>TOMATE REDONDO KG (320gr)</t>
  </si>
  <si>
    <t>─── TOTAL TICKET N° 0187 ───</t>
  </si>
  <si>
    <t>0188</t>
  </si>
  <si>
    <t>─── TOTAL TICKET N° 0188 ───</t>
  </si>
  <si>
    <t>0189</t>
  </si>
  <si>
    <t>TOMATE CHERRY KG (255gr)</t>
  </si>
  <si>
    <t>PAN X KG (550gr)</t>
  </si>
  <si>
    <t>LECHUGA X KG (557gr)</t>
  </si>
  <si>
    <t>─── TOTAL TICKET N° 0189 ───</t>
  </si>
  <si>
    <t>0190</t>
  </si>
  <si>
    <t>LECHUGA X KG (268gr)</t>
  </si>
  <si>
    <t>─── TOTAL TICKET N° 0190 ───</t>
  </si>
  <si>
    <t>0191</t>
  </si>
  <si>
    <t>LECHUGA X KG (1200gr)</t>
  </si>
  <si>
    <t>TOMATE CHERRY KG (1300gr)</t>
  </si>
  <si>
    <t>BANANA X KG (2000gr)</t>
  </si>
  <si>
    <t>─── TOTAL TICKET N° 0191 ───</t>
  </si>
  <si>
    <t>0192</t>
  </si>
  <si>
    <t>LECHUGA X KG (1210gr)</t>
  </si>
  <si>
    <t>1.21</t>
  </si>
  <si>
    <t>TOMATE CHERRY KG (510gr)</t>
  </si>
  <si>
    <t>0.51</t>
  </si>
  <si>
    <t>LIMON KG (285gr)</t>
  </si>
  <si>
    <t>─── TOTAL TICKET N° 0192 ───</t>
  </si>
  <si>
    <t>0193</t>
  </si>
  <si>
    <t>─── TOTAL TICKET N° 0193 ───</t>
  </si>
  <si>
    <t>0194</t>
  </si>
  <si>
    <t>─── TOTAL TICKET N° 0194 ───</t>
  </si>
  <si>
    <t>0195</t>
  </si>
  <si>
    <t>SUPREMA DE PECHUGA DE POLLO X KG (270gr)</t>
  </si>
  <si>
    <t>PAN X KG (730gr)</t>
  </si>
  <si>
    <t>─── TOTAL TICKET N° 0195 ───</t>
  </si>
  <si>
    <t>0196</t>
  </si>
  <si>
    <t>─── TOTAL TICKET N° 0196 ───</t>
  </si>
  <si>
    <t>0197</t>
  </si>
  <si>
    <t>PAPA LAVADA KG (890gr)</t>
  </si>
  <si>
    <t>─── TOTAL TICKET N° 0197 ───</t>
  </si>
  <si>
    <t>0198</t>
  </si>
  <si>
    <t>SUPREMA DE PECHUGA DE POLLO X KG (1041gr)</t>
  </si>
  <si>
    <t>─── TOTAL TICKET N° 0198 ───</t>
  </si>
  <si>
    <t>0199</t>
  </si>
  <si>
    <t>PAN X KG (700gr)</t>
  </si>
  <si>
    <t>─── TOTAL TICKET N° 0199 ───</t>
  </si>
  <si>
    <t>0200</t>
  </si>
  <si>
    <t>SUPREMA DE PECHUGA DE POLLO X KG (2157gr)</t>
  </si>
  <si>
    <t>TOMATE REDONDO KG (700gr)</t>
  </si>
  <si>
    <t>LECHUGA X KG (771gr)</t>
  </si>
  <si>
    <t>─── TOTAL TICKET N° 0200 ───</t>
  </si>
  <si>
    <t>0201</t>
  </si>
  <si>
    <t>─── TOTAL TICKET N° 0201 ───</t>
  </si>
  <si>
    <t>0202</t>
  </si>
  <si>
    <t>─── TOTAL TICKET N° 0202 ───</t>
  </si>
  <si>
    <t>0203</t>
  </si>
  <si>
    <t>─── TOTAL TICKET N° 0203 ───</t>
  </si>
  <si>
    <t>0204</t>
  </si>
  <si>
    <t>─── TOTAL TICKET N° 0204 ───</t>
  </si>
  <si>
    <t>0205</t>
  </si>
  <si>
    <t>─── TOTAL TICKET N° 0205 ───</t>
  </si>
  <si>
    <t>0206</t>
  </si>
  <si>
    <t>TOMATE CHERRY KG (1000gr)</t>
  </si>
  <si>
    <t>─── TOTAL TICKET N° 0206 ───</t>
  </si>
  <si>
    <t>0207</t>
  </si>
  <si>
    <t>─── TOTAL TICKET N° 0207 ───</t>
  </si>
  <si>
    <t>0208</t>
  </si>
  <si>
    <t>─── TOTAL TICKET N° 0208 ───</t>
  </si>
  <si>
    <t>0209</t>
  </si>
  <si>
    <t>─── TOTAL TICKET N° 0209 ───</t>
  </si>
  <si>
    <t>0210</t>
  </si>
  <si>
    <t>─── TOTAL TICKET N° 0210 ───</t>
  </si>
  <si>
    <t>0211</t>
  </si>
  <si>
    <t>ZANAHORIA X KG (1000gr)</t>
  </si>
  <si>
    <t>─── TOTAL TICKET N° 0211 ───</t>
  </si>
  <si>
    <t>0212</t>
  </si>
  <si>
    <t>─── TOTAL TICKET N° 0212 ───</t>
  </si>
  <si>
    <t>0213</t>
  </si>
  <si>
    <t>─── TOTAL TICKET N° 0213 ───</t>
  </si>
  <si>
    <t>0214</t>
  </si>
  <si>
    <t>LIMON KG (260gr)</t>
  </si>
  <si>
    <t>─── TOTAL TICKET N° 0214 ───</t>
  </si>
  <si>
    <t>0215</t>
  </si>
  <si>
    <t>─── TOTAL TICKET N° 0215 ───</t>
  </si>
  <si>
    <t>0216</t>
  </si>
  <si>
    <t>─── TOTAL TICKET N° 0216 ───</t>
  </si>
  <si>
    <t>0217</t>
  </si>
  <si>
    <t>─── TOTAL TICKET N° 0217 ───</t>
  </si>
  <si>
    <t>0218</t>
  </si>
  <si>
    <t>─── TOTAL TICKET N° 0218 ───</t>
  </si>
  <si>
    <t>0219</t>
  </si>
  <si>
    <t>─── TOTAL TICKET N° 0219 ───</t>
  </si>
  <si>
    <t>0220</t>
  </si>
  <si>
    <t>PAN X KG (410gr)</t>
  </si>
  <si>
    <t>─── TOTAL TICKET N° 0220 ───</t>
  </si>
  <si>
    <t>0221</t>
  </si>
  <si>
    <t>─── TOTAL TICKET N° 0221 ───</t>
  </si>
  <si>
    <t>0222</t>
  </si>
  <si>
    <t>─── TOTAL TICKET N° 0222 ───</t>
  </si>
  <si>
    <t>0223</t>
  </si>
  <si>
    <t>─── TOTAL TICKET N° 0223 ───</t>
  </si>
  <si>
    <t>0224</t>
  </si>
  <si>
    <t>LECHUGA X KG (600gr)</t>
  </si>
  <si>
    <t>─── TOTAL TICKET N° 0224 ───</t>
  </si>
  <si>
    <t>0225</t>
  </si>
  <si>
    <t>PAN X KG (800gr)</t>
  </si>
  <si>
    <t>─── TOTAL TICKET N° 0225 ───</t>
  </si>
  <si>
    <t>0226</t>
  </si>
  <si>
    <t>─── TOTAL TICKET N° 0226 ───</t>
  </si>
  <si>
    <t>0227</t>
  </si>
  <si>
    <t>─── TOTAL TICKET N° 0227 ───</t>
  </si>
  <si>
    <t>0228</t>
  </si>
  <si>
    <t>─── TOTAL TICKET N° 0228 ───</t>
  </si>
  <si>
    <t>0229</t>
  </si>
  <si>
    <t>LIMON KG (430gr)</t>
  </si>
  <si>
    <t>─── TOTAL TICKET N° 0229 ───</t>
  </si>
  <si>
    <t>0230</t>
  </si>
  <si>
    <t>QUESO SAINT LA PAULINA CREMOSO X KG (500gr)</t>
  </si>
  <si>
    <t>─── TOTAL TICKET N° 0230 ───</t>
  </si>
  <si>
    <t>0231</t>
  </si>
  <si>
    <t>SUPREMA DE PECHUGA DE POLLO X KG (975gr)</t>
  </si>
  <si>
    <t>TOMATE REDONDO KG (680gr)</t>
  </si>
  <si>
    <t>BANANA X KG (233gr)</t>
  </si>
  <si>
    <t>─── TOTAL TICKET N° 0231 ───</t>
  </si>
  <si>
    <t>0232</t>
  </si>
  <si>
    <t>─── TOTAL TICKET N° 0232 ───</t>
  </si>
  <si>
    <t>0233</t>
  </si>
  <si>
    <t>─── TOTAL TICKET N° 0233 ───</t>
  </si>
  <si>
    <t>0234</t>
  </si>
  <si>
    <t>─── TOTAL TICKET N° 0234 ───</t>
  </si>
  <si>
    <t>0235</t>
  </si>
  <si>
    <t>─── TOTAL TICKET N° 0235 ───</t>
  </si>
  <si>
    <t>0236</t>
  </si>
  <si>
    <t>TOMATE CHERRY KG (400gr)</t>
  </si>
  <si>
    <t>─── TOTAL TICKET N° 0236 ───</t>
  </si>
  <si>
    <t>0237</t>
  </si>
  <si>
    <t>ZANAHORIA X KG (400gr)</t>
  </si>
  <si>
    <t>CALABAZA KG (1000gr)</t>
  </si>
  <si>
    <t>─── TOTAL TICKET N° 0237 ───</t>
  </si>
  <si>
    <t>0238</t>
  </si>
  <si>
    <t>─── TOTAL TICKET N° 0238 ───</t>
  </si>
  <si>
    <t>0239</t>
  </si>
  <si>
    <t>─── TOTAL TICKET N° 0239 ───</t>
  </si>
  <si>
    <t>0240</t>
  </si>
  <si>
    <t>─── TOTAL TICKET N° 0240 ───</t>
  </si>
  <si>
    <t>0241</t>
  </si>
  <si>
    <t>─── TOTAL TICKET N° 0241 ───</t>
  </si>
  <si>
    <t>0242</t>
  </si>
  <si>
    <t>LECHUGA X KG (714gr)</t>
  </si>
  <si>
    <t>TOMATE CHERRY KG (136gr)</t>
  </si>
  <si>
    <t>LIMON KG (140gr)</t>
  </si>
  <si>
    <t>─── TOTAL TICKET N° 0242 ───</t>
  </si>
  <si>
    <t>0243</t>
  </si>
  <si>
    <t>─── TOTAL TICKET N° 0243 ───</t>
  </si>
  <si>
    <t>0244</t>
  </si>
  <si>
    <t>─── TOTAL TICKET N° 0244 ───</t>
  </si>
  <si>
    <t>0245</t>
  </si>
  <si>
    <t>─── TOTAL TICKET N° 0245 ───</t>
  </si>
  <si>
    <t>0246</t>
  </si>
  <si>
    <t>─── TOTAL TICKET N° 0246 ───</t>
  </si>
  <si>
    <t>0247</t>
  </si>
  <si>
    <t>LIMON KG (143gr)</t>
  </si>
  <si>
    <t>─── TOTAL TICKET N° 0247 ───</t>
  </si>
  <si>
    <t>0248</t>
  </si>
  <si>
    <t>─── TOTAL TICKET N° 0248 ───</t>
  </si>
  <si>
    <t>0249</t>
  </si>
  <si>
    <t>─── TOTAL TICKET N° 0249 ───</t>
  </si>
  <si>
    <t>0250</t>
  </si>
  <si>
    <t>─── TOTAL TICKET N° 0250 ───</t>
  </si>
  <si>
    <t>⚙️ CONFIG SISTEMA — Almacén Copihue</t>
  </si>
  <si>
    <t>CLAVE</t>
  </si>
  <si>
    <t>LUN</t>
  </si>
  <si>
    <t>MAR</t>
  </si>
  <si>
    <t>MIÉ</t>
  </si>
  <si>
    <t>JUE</t>
  </si>
  <si>
    <t>VIE</t>
  </si>
  <si>
    <t>SÁB</t>
  </si>
  <si>
    <t>DOM</t>
  </si>
  <si>
    <t>NOTAS</t>
  </si>
  <si>
    <t>── HORARIO LOCAL ──</t>
  </si>
  <si>
    <t>Horario apertura local</t>
  </si>
  <si>
    <t>11:30</t>
  </si>
  <si>
    <t>Hora de apertura. Dejar vacío si ese día no abre</t>
  </si>
  <si>
    <t>Horario cierre local</t>
  </si>
  <si>
    <t>22</t>
  </si>
  <si>
    <t>Hora de cierre (número o HH:MM)</t>
  </si>
  <si>
    <t>── OFERTAS RELÁMPAGO ──</t>
  </si>
  <si>
    <t>Hora inicio oferta</t>
  </si>
  <si>
    <t>Hora de inicio de ofertas relámpago (ej: 10)</t>
  </si>
  <si>
    <t>Hora cierre oferta</t>
  </si>
  <si>
    <t>Hora de cierre de ofertas relámpago (ej: 20)</t>
  </si>
  <si>
    <t>Dias ofertas relampago</t>
  </si>
  <si>
    <t>1=activo ese día, vacío=no activo</t>
  </si>
  <si>
    <t>── DESTACADAS ──</t>
  </si>
  <si>
    <t>Dias ofertas destacadas</t>
  </si>
  <si>
    <t>── ESPECIALES ──</t>
  </si>
  <si>
    <t>Dias ofertas especiales</t>
  </si>
  <si>
    <t>─ ULTIMAS UNIDADES ──</t>
  </si>
  <si>
    <t>Dias ofertas UNIDADES</t>
  </si>
  <si>
    <t>📌 INSTRUCCIONES: Completá los valores por día. Para horario podés usar número (22) o formato HH:MM (22:00). Celda vacía = no aplica ese día.</t>
  </si>
  <si>
    <t>VENDEDOR ACTIVAR OFERTAS SOLO DESPUES DE LAS 19:00</t>
  </si>
  <si>
    <t>FECHA/HORA</t>
  </si>
  <si>
    <t>PRODUCTO</t>
  </si>
  <si>
    <t>add</t>
  </si>
  <si>
    <t>N. Stock</t>
  </si>
  <si>
    <t>PROVEEDOR</t>
  </si>
  <si>
    <t>Venta</t>
  </si>
  <si>
    <t>vencimiento</t>
  </si>
  <si>
    <t>QUESO RAYADO LA QUESERA 40GR</t>
  </si>
  <si>
    <t>ALFAJOR FULBITO CHOCOLATE 25GR</t>
  </si>
  <si>
    <t>ALFAJOR FULBITO MANI 25GR</t>
  </si>
  <si>
    <t>ALFAJOR MOGY NEGRO 38GR</t>
  </si>
  <si>
    <t>ALFAJOR MOGY BLANCO 38GR</t>
  </si>
  <si>
    <t>PAN PARA PANCHOS BIMBO 6u 210GR</t>
  </si>
  <si>
    <t>PAN DE MESA TIPO ARTESANO BIMBO X 500GR</t>
  </si>
  <si>
    <t>PAN PARA HAMBURGUESAS LACTAL 4u 210GR</t>
  </si>
  <si>
    <t>BASTONCITOS KRACHITOS 60GR</t>
  </si>
  <si>
    <t>CEBOLLA KG</t>
  </si>
  <si>
    <t>MANTECA EXTRA LA SERENISIMA 100GR</t>
  </si>
  <si>
    <t>QUESO LA PAULINA BARRA SANDWICH 1KG</t>
  </si>
  <si>
    <t>BANANA KG</t>
  </si>
  <si>
    <t>NARANJAS KG</t>
  </si>
  <si>
    <t>HAMBURGUESAS PATY CLASICO 4u 80GR c/u</t>
  </si>
  <si>
    <t>HAMBURGUESAS PATY CANCHA 2u</t>
  </si>
  <si>
    <t>BULL DOG 30GR</t>
  </si>
  <si>
    <t>SALCHICHAS PATY FUN 6U</t>
  </si>
  <si>
    <t>SALCHICHAS PATY CLASICA 6U</t>
  </si>
  <si>
    <t>ARROZ 1 KG PRIMOR</t>
  </si>
  <si>
    <t>NARANJA KG</t>
  </si>
  <si>
    <t>ARROZ 1 KG MOLINOS ALA LARGO FINO 1KG</t>
  </si>
  <si>
    <t>ARROZ 1 KG MOLINOS ALA NO SE PASA</t>
  </si>
  <si>
    <t>NACHOS SABOR QUESO DORITOS x 40 GRS</t>
  </si>
  <si>
    <t>REMOLACHA KG</t>
  </si>
  <si>
    <t>HAMBURGUESAS BURGER SWIFT 2u</t>
  </si>
  <si>
    <t>ZANAHORIA KG</t>
  </si>
  <si>
    <t>LECHUGA x KG</t>
  </si>
  <si>
    <t>PROMO TORTAS FRITAS</t>
  </si>
  <si>
    <t>CREMA DENTAL TRIPLE ACCION  COLGATE x 50</t>
  </si>
  <si>
    <t>SAL GRUESA 1 KG</t>
  </si>
  <si>
    <t>POETT</t>
  </si>
  <si>
    <t>VENTA APP PESO</t>
  </si>
  <si>
    <t>VENTA APP</t>
  </si>
  <si>
    <t>SALCHICHAS PALADINI 6u</t>
  </si>
  <si>
    <t>AJOxUNIDAD</t>
  </si>
  <si>
    <t>ALITAS DE POLLO</t>
  </si>
  <si>
    <t>ALITAS DE POLLO X KILO</t>
  </si>
  <si>
    <t>REPOLLO KG</t>
  </si>
  <si>
    <t>PAN PARA PANCHOS LACTAL 6u 210GR</t>
  </si>
  <si>
    <t>JUGO EN POLVO FRUTILLA ANANA BANANA TANG X 15GR</t>
  </si>
  <si>
    <t>JUGO EN POLVO NARANJA BANANA ARCOR X 15GR</t>
  </si>
  <si>
    <t>JUGO EN POLVO MANZANA ARCOR X 15GR</t>
  </si>
  <si>
    <t>MUNI PELADO SALADO KRACHITOS 110GR</t>
  </si>
  <si>
    <t>FANTOCHE mini BLANCO X6u</t>
  </si>
  <si>
    <t>SALCHICHAS LA CASONA 6U</t>
  </si>
  <si>
    <t>TOALLITAS LADYSOFT 8U</t>
  </si>
  <si>
    <t>BOLSA VIRUTEX 45X60 20U</t>
  </si>
  <si>
    <t>LECHUGA</t>
  </si>
  <si>
    <t>Máquina De Afeitar Desechable Prestobarba3 Gillette TRIPLE HOJA</t>
  </si>
  <si>
    <t>BERNJENA X KG</t>
  </si>
  <si>
    <t>TEST</t>
  </si>
  <si>
    <t>FECHA</t>
  </si>
  <si>
    <t>NOMBRE ANTES</t>
  </si>
  <si>
    <t>NOMBRE DESPUÉS</t>
  </si>
  <si>
    <t>STOCK ANTES</t>
  </si>
  <si>
    <t>STOCK DESPUÉS</t>
  </si>
  <si>
    <t>PRECIO ANTES</t>
  </si>
  <si>
    <t>PRECIO DESPUÉS</t>
  </si>
  <si>
    <t>CATEGORÍA ANTES</t>
  </si>
  <si>
    <t>CATEGORÍA DESPUÉS</t>
  </si>
  <si>
    <t>USUARIO</t>
  </si>
  <si>
    <t>POS</t>
  </si>
  <si>
    <t>BOLSA VIRUTEX 50X70 20u</t>
  </si>
  <si>
    <t>TELEFONO_WA</t>
  </si>
  <si>
    <t>MENSAJE</t>
  </si>
  <si>
    <t>ACTIVO</t>
  </si>
  <si>
    <t>Hola {nombre}! 🛒 Te hago el pedido:
{productos}
¡Gracias!</t>
  </si>
  <si>
    <t>NO</t>
  </si>
  <si>
    <t>4 HAMBURGUESAS SWIFT +  4 PANES MIMAGO + MAYONESA NATURA 237GR</t>
  </si>
  <si>
    <t>8 HAMBURGUESAS PATY + 8 PANES HAMB MIMAGO + MAYONESA HELLMANN´S 237G</t>
  </si>
  <si>
    <t>8 HAMBURGUESAS SWIFT + 8 PANES HAMB MIMAGO + MAYONESA HELLMANN´S 237G</t>
  </si>
  <si>
    <t>ALFAJOR BAGLEY X3 B&amp;N 73,5GR</t>
  </si>
  <si>
    <t>ALFAJOR COFLER CHOCO CREAMY 60GR</t>
  </si>
  <si>
    <t>ALFAJOR MILKA DULCE DE LECHE x3 70GR</t>
  </si>
  <si>
    <t>ALFAJOR NEVARES BLANCO 40GR</t>
  </si>
  <si>
    <t>ALFAJOR NEVARES NEGRO 40GR</t>
  </si>
  <si>
    <t>ALFAJOR TOFY NEGRO 46GR</t>
  </si>
  <si>
    <t>ALFAJOR TRI SHOT X3 60GR</t>
  </si>
  <si>
    <t>ALFAJOR TRIPLE OREO 56GR</t>
  </si>
  <si>
    <t>ARROZ DOS HERMANOS LARGO FINO 500GR</t>
  </si>
  <si>
    <t>BUDIN DON SATUR CON FRUTAS 190GR</t>
  </si>
  <si>
    <t>BUDIN NEVARES FANTASIA SABOR CHOCOLATE 180GR</t>
  </si>
  <si>
    <t>BUDIN POZO RELLENO CHOCOLATE 170GR</t>
  </si>
  <si>
    <t>BUDIN STEINHAUSER 250GR (TODOS)</t>
  </si>
  <si>
    <t>BUDIN VALENCIANO CON CHIPS 170GR</t>
  </si>
  <si>
    <t>BUDIN VALENCIANO CON FRUTAS 170GR</t>
  </si>
  <si>
    <t>BUDIN VALENCIANO VAINILLA 170GR</t>
  </si>
  <si>
    <t>BULL DOG REGALIZ BILLIKEN ACIDO SABOR FRAMBUESA 75GR</t>
  </si>
  <si>
    <t>Cable Rca A Rca 3x3 Audio Video Macho-macho 10 Mts</t>
  </si>
  <si>
    <t>CERVEZA X LATA BRAHMA DORADA 473CC</t>
  </si>
  <si>
    <t>CERVEZA X LATA BUDWEISER 710CC</t>
  </si>
  <si>
    <t>CERVEZA X LATA IMPERIAL 473CC</t>
  </si>
  <si>
    <t>CERVEZA X LATA PILSENER 473CC</t>
  </si>
  <si>
    <t>CERVEZA X LATA SCHNEIDER 710CC</t>
  </si>
  <si>
    <t>CHOCOLATADA LA SERENESIMA 200CC</t>
  </si>
  <si>
    <t>CHOCOLATE HAMLET LE&amp;COOK 45GR</t>
  </si>
  <si>
    <t>CHORIZO MC ENVASE 4u</t>
  </si>
  <si>
    <t>CHORIZO SWIFT ENVASE 4u</t>
  </si>
  <si>
    <t>CREMA DE LECHE 200CC LA PAULINA</t>
  </si>
  <si>
    <t xml:space="preserve">CREMA DE LECHE 200CC LAS 3 NIÑAS BATIR </t>
  </si>
  <si>
    <t>CREMA DENTAL ODOL DOBLE ACCION 70GR</t>
  </si>
  <si>
    <t>DON SATUR + JUGO BAGGIO 200CC + CHOCOLATADA 200CC + ALFAJOR COFLER BLOCK</t>
  </si>
  <si>
    <t>DULCE DE BOYSENBERRY MERMELADA LA PENINSULA 450GR</t>
  </si>
  <si>
    <t>DULCE DE LECHE TREGAR 400GR</t>
  </si>
  <si>
    <t>DULCE DE LECHE VERONICA 400GR</t>
  </si>
  <si>
    <t>DULCE DE ROSA MOSQUETA MERMELADA LA PENINSULA 450GR</t>
  </si>
  <si>
    <t>DULCE DE SAUCO MERMELADA LA PENINSULA 450GR</t>
  </si>
  <si>
    <t>DURAZNOS EN MITADES 820GR PESO NETO OKEY</t>
  </si>
  <si>
    <t>DURAZNOS x UNIDAD</t>
  </si>
  <si>
    <t>ESPONJA BEST</t>
  </si>
  <si>
    <t>FERNET 1882 750ML</t>
  </si>
  <si>
    <t>FIDEOS LUCCHETTI 500GR (ELECCION) + SALSA DE TOMATE ARCOR 340GR + SALCHICHAS  LA CASONA 6u</t>
  </si>
  <si>
    <t>GALLETAS TODDY ORIGINAL 126GR</t>
  </si>
  <si>
    <t>GALLETITA GAONA LIMON 220GR</t>
  </si>
  <si>
    <t>GALLETITAS 9 DE ORO PEPAS 200GR</t>
  </si>
  <si>
    <t>GALLETITAS DULCES CON CHIPS YAYITA FANTOCHE 275G</t>
  </si>
  <si>
    <t>GALLETITAS DULCES FANTOCHE PEPAS CON MERMELADA DE MEMBRILLO 350GR</t>
  </si>
  <si>
    <t>GALLETITAS DULCES TRIO ANGELADAS BAÑADAS 150GR</t>
  </si>
  <si>
    <t>GALLETITAS DULCES TRIO PEPAS BAÑADAS 150GR</t>
  </si>
  <si>
    <t>GALLETITAS GAONA ANILLOS AZUCARADOS 220GR</t>
  </si>
  <si>
    <t>GALLETITAS MANA SABOR VAINILLA 136 GR</t>
  </si>
  <si>
    <t>GALLETITAS MANTECADITAS 220GR</t>
  </si>
  <si>
    <t>GALLETITAS TEREPIN PEPAS MEMBRILLO 200GR</t>
  </si>
  <si>
    <t>GALLETITAS TRIO ANGELADAS 150GR</t>
  </si>
  <si>
    <t>GALLETITAS TRIO PEPAS 200GR</t>
  </si>
  <si>
    <t>GALLETITAS TRIO PEPAS 500GR</t>
  </si>
  <si>
    <t>GALLETITAS TRIO PEPAS ALEMANAS 300GR</t>
  </si>
  <si>
    <t>GANCIA 750ML</t>
  </si>
  <si>
    <t>GANCIA 950ML</t>
  </si>
  <si>
    <t>GARBANSOS LA CAMPAGNOLA 300GR</t>
  </si>
  <si>
    <t>GASEOSA CUNNINGTON 1,5L CLASICA INDIAN TONIC</t>
  </si>
  <si>
    <t>GASEOSA CUNNINGTON 1,5L CLASICA LIMA LIMON</t>
  </si>
  <si>
    <t>GASEOSA CUNNINGTON 1,5L CLASICA NARANJA</t>
  </si>
  <si>
    <t>GASEOSA CUNNINGTON 2,25L SUAVE COLA</t>
  </si>
  <si>
    <t>GASEOSA CUNNINGTON 2,25L SUAVE INDIAN TONIC</t>
  </si>
  <si>
    <t>GASEOSA CUNNINGTON 2,25L SUAVE NARANJA</t>
  </si>
  <si>
    <t>GASEOSA CUNNINGTON 2,25L SUAVE POMELO</t>
  </si>
  <si>
    <t>GASEOSA MANAOS 3L (GRANADINA)</t>
  </si>
  <si>
    <t>GASEOSA MANAOS 3L (LIMON)</t>
  </si>
  <si>
    <t>GASEOSA MANAOS 3L (MANZANA)</t>
  </si>
  <si>
    <t>GASEOSA MIRINDA 3L POMELO</t>
  </si>
  <si>
    <t>GASEOSA PASO DE LOS TOROS 2.25L POMELO</t>
  </si>
  <si>
    <t>GASEOSA PASO DE LOS TOROS BLACK 1,5L POMELO</t>
  </si>
  <si>
    <t>GASEOSA SEVEN UP 1,5L</t>
  </si>
  <si>
    <t>GRASA 1 KG</t>
  </si>
  <si>
    <t>HARINA 0000 + LEVADURA 10 GR + 500 GR GRASA VACUNA SWIFT</t>
  </si>
  <si>
    <t>HARINA 1KG INTEGRAL</t>
  </si>
  <si>
    <t>HARINA 1KG LEUDANTE BLANCA FLOR</t>
  </si>
  <si>
    <t>HUEVO X DOCENA</t>
  </si>
  <si>
    <t>HUEVO X MAPLE</t>
  </si>
  <si>
    <t>JENGIBRE 100 GR</t>
  </si>
  <si>
    <t>Joystick De Play 2 Nippongame Con Cable En Blister Negro</t>
  </si>
  <si>
    <t>Joystick Noganet NG-3004 negro con vibración para PlayStation 2</t>
  </si>
  <si>
    <t>Joystick Seisa SJ-802 PS2 PS1 Negro Con Vibración y Diseño Ergonómico</t>
  </si>
  <si>
    <t>Lampara Led E27 Autonoma 9w 6500k Blanco Frío</t>
  </si>
  <si>
    <t>LECHE VERONICA 1L</t>
  </si>
  <si>
    <t>LENTEJAS 400G CALLIERI</t>
  </si>
  <si>
    <t>LEVADURA 10GR LEVEX</t>
  </si>
  <si>
    <t>MAIZENA</t>
  </si>
  <si>
    <t>MANDARINA KG</t>
  </si>
  <si>
    <t>MANI KING SALADO CON PIEL 100GR</t>
  </si>
  <si>
    <t>MANI KING SALADO SIN PIEL 100GR</t>
  </si>
  <si>
    <t>MANTECA TEODORO 100GR</t>
  </si>
  <si>
    <t>MANZANA KG</t>
  </si>
  <si>
    <t>MARMOLADAS FANTOCHE 350GR CHOCOLATE COCO Y VAINILLA</t>
  </si>
  <si>
    <t>MAYONESA FIESTA 250GR</t>
  </si>
  <si>
    <t>MAYONESA HELLMANNS 475G</t>
  </si>
  <si>
    <t>MAYONESA HELLMANNS 950GR</t>
  </si>
  <si>
    <t>MAYONESA MAYOLIVA 475GR</t>
  </si>
  <si>
    <t>MELON KG</t>
  </si>
  <si>
    <t>MERLUZA AL NATURAL MARBELLA 340GR</t>
  </si>
  <si>
    <t>MERMELADA ARCOR FRUTILLA 454GR</t>
  </si>
  <si>
    <t>OBLITA CUBANITOS SABOR CHOCOLATE 5,5GR X UNIDAD</t>
  </si>
  <si>
    <t>OBLITA CUBANITOS SABOR DULCE DE LECHE 5,5GR X UNIDAD</t>
  </si>
  <si>
    <t>PAN DE FRUTA VALENCIANO 400GR</t>
  </si>
  <si>
    <t>PAN DULCE 100 DUCADOS SIN FRUTAS 400GR</t>
  </si>
  <si>
    <t>PAN DULCE CANTU TENTACION CON CHIPS DE CHOCOLATE 400GR</t>
  </si>
  <si>
    <t>PAN PARA HAMBURGUESAS MIMAGO 4u 240GR</t>
  </si>
  <si>
    <t>PAN PARA PANCHOS MIMAGO 6u 210GR</t>
  </si>
  <si>
    <t>PAPA COMUN KG</t>
  </si>
  <si>
    <t>PAPAS FRITAS CORTE AMERICANO 270GR</t>
  </si>
  <si>
    <t>PAPAS FRITAS CORTE TRADICIONAL 105GR</t>
  </si>
  <si>
    <t>PAPAS FRITAS PAY 55GR</t>
  </si>
  <si>
    <t>PAPAS LAYS 85GR</t>
  </si>
  <si>
    <t>PAPEL HIGIENICO FLORIPEL 4 ROLLOS</t>
  </si>
  <si>
    <t>PATA MUSLO</t>
  </si>
  <si>
    <t>PERAS KG</t>
  </si>
  <si>
    <t>POROTOS BLANCO INALPA VIDA sin sal agregada 300GR</t>
  </si>
  <si>
    <t>PURE DE PAPAS CHEF 100GR</t>
  </si>
  <si>
    <t>PURE DE PAPAS MAGGI 200GR</t>
  </si>
  <si>
    <t>QUESO CREMA UNTABLE TONADITA 300GR</t>
  </si>
  <si>
    <t>QUESO CREMOSO LA PAULINA TRADICIONAL x 250GR</t>
  </si>
  <si>
    <t>QUESO RALLADO LA QUESERA 100GR</t>
  </si>
  <si>
    <t>QUESO RALLADO ROSALAT 40GR</t>
  </si>
  <si>
    <t>QUESO UNTABLE LA PAULINA 190GR</t>
  </si>
  <si>
    <t>RAPIDITAS CLASICAS BIMBO BOLSA 275 GRS 1Ou</t>
  </si>
  <si>
    <t>ROLLO DE COCINA Okey 1x200 PAÑOS LP</t>
  </si>
  <si>
    <t>SALADIX HORNEADOS SABOR JAMON ARCOR 30GR</t>
  </si>
  <si>
    <t>SEDAL ACONDICIONADOR 190ML LISO PERFECTO</t>
  </si>
  <si>
    <t>SEDAL ACONDICIONADOR 340ML CERAMIDAS</t>
  </si>
  <si>
    <t>SEDAL ACONDICIONADOR 340ML LISO PERFECTO</t>
  </si>
  <si>
    <t>SEDAL SHAMPOO 190ML CERAMIDAS</t>
  </si>
  <si>
    <t>SEDAL SHAMPOO 190ML LISO PERFECTO</t>
  </si>
  <si>
    <t>SEDAL SHAMPOO 340ML CERAMIDAS</t>
  </si>
  <si>
    <t>SEDAL SHAMPOO 340ML LISO PERFECTO</t>
  </si>
  <si>
    <t>SUPREMAS DE POLLO CONGELADAS KG "Sur ave"  VENTA AL PESO PAQUETE (2u)</t>
  </si>
  <si>
    <t>TABLETA COFLER GRAFFITI 45GR</t>
  </si>
  <si>
    <t>TAPAS DE EMPANADAS 12u</t>
  </si>
  <si>
    <t>Tarjeta De Memoria Seisa Hc2-10060 64 Mb</t>
  </si>
  <si>
    <t>TE TARAGUI 50 SAQUITOS</t>
  </si>
  <si>
    <t>TUTUCA</t>
  </si>
  <si>
    <t>VINO CAJA BLANCO RESERO 1L</t>
  </si>
  <si>
    <t>VINO CAJA TINTO UVITA 1L</t>
  </si>
  <si>
    <t>VINO TINTO RESERO 1LT</t>
  </si>
  <si>
    <t>VIRULANA INOXY  ESPONJA DE ACERO 15GR</t>
  </si>
  <si>
    <t>Zapatilla 5 Tomas Enchufes 2 Puertos Usb Cable 1,5mt Color Blanco</t>
  </si>
  <si>
    <t>Reportes</t>
  </si>
  <si>
    <t>l</t>
  </si>
  <si>
    <t>m</t>
  </si>
  <si>
    <t>j</t>
  </si>
  <si>
    <t>v</t>
  </si>
  <si>
    <t>s</t>
  </si>
  <si>
    <t>d</t>
  </si>
  <si>
    <t/>
  </si>
  <si>
    <t>NECESITAMOS</t>
  </si>
  <si>
    <t>HORAS TRABAJADAS</t>
  </si>
  <si>
    <t>⚡ Relámpago: 57</t>
  </si>
  <si>
    <t>🔥 Destacadas: 28</t>
  </si>
  <si>
    <t>🎁 Especiales: 50</t>
  </si>
  <si>
    <t>📦 Total con oferta: 135</t>
  </si>
  <si>
    <t>DETALLE DE LOS PRODUCTOS AUTOMATIZADOS</t>
  </si>
  <si>
    <t>Cantidad de productos distintos con vencimiento.</t>
  </si>
  <si>
    <t>Todos los registros con vencimiento.</t>
  </si>
  <si>
    <t>VENCIDOS</t>
  </si>
  <si>
    <t>LISTADO DE PRODUCTOS CON VENCIMIENTO</t>
  </si>
  <si>
    <t>⚡</t>
  </si>
  <si>
    <t>🔥</t>
  </si>
  <si>
    <t>🎁</t>
  </si>
  <si>
    <t>%</t>
  </si>
  <si>
    <t>05/03</t>
  </si>
  <si>
    <t>24%</t>
  </si>
  <si>
    <t>06/03</t>
  </si>
  <si>
    <t>27%</t>
  </si>
  <si>
    <t>07/03</t>
  </si>
  <si>
    <t>30%</t>
  </si>
  <si>
    <t>08/03</t>
  </si>
  <si>
    <t>31%</t>
  </si>
  <si>
    <t>09/03</t>
  </si>
  <si>
    <t>32%</t>
  </si>
  <si>
    <t>10/03</t>
  </si>
  <si>
    <t>33%</t>
  </si>
  <si>
    <t>11/03</t>
  </si>
  <si>
    <t>?</t>
  </si>
  <si>
    <t>📈 Tendencia: +4 productos/día</t>
  </si>
  <si>
    <t>🏆 Proyección: Completas en 46 días</t>
  </si>
  <si>
    <t>HORA</t>
  </si>
  <si>
    <t>OFERTA</t>
  </si>
  <si>
    <t>ACCIÓN</t>
  </si>
  <si>
    <t>DÍA SEMANA</t>
  </si>
  <si>
    <t>VENDEDOR</t>
  </si>
  <si>
    <t>🟢 ACTIVADO</t>
  </si>
  <si>
    <t>Viernes</t>
  </si>
  <si>
    <t>DESTACADAS</t>
  </si>
  <si>
    <t>ESPECIALES</t>
  </si>
  <si>
    <t>RELAMPAGO</t>
  </si>
  <si>
    <t>🔴 DESACTIVADO</t>
  </si>
  <si>
    <t>Domingo</t>
  </si>
  <si>
    <t>Lunes</t>
  </si>
  <si>
    <t>Martes</t>
  </si>
  <si>
    <t>Miércoles</t>
  </si>
  <si>
    <t>EXPLICACION COMO FUNCIONA OFERTA RELAMPAGO (60 OFERTAS ROTATIVAS)</t>
  </si>
  <si>
    <t>Código EN COLUMNA RELAMPAGO</t>
  </si>
  <si>
    <t>Nombre</t>
  </si>
  <si>
    <t>Promoción</t>
  </si>
  <si>
    <t>Descuento Equivalente por Unidad</t>
  </si>
  <si>
    <t>2x1</t>
  </si>
  <si>
    <t>Llevás 2, pagás 1</t>
  </si>
  <si>
    <t>50% (pagás 50% por unidad)</t>
  </si>
  <si>
    <t>3x2</t>
  </si>
  <si>
    <t>Llevás 3, pagás 2</t>
  </si>
  <si>
    <t>33.33% (pagás ~66.67% por unidad)</t>
  </si>
  <si>
    <t>4x3</t>
  </si>
  <si>
    <t>Llevás 4, pagás 3</t>
  </si>
  <si>
    <t>25% (pagás 75% por unidad)</t>
  </si>
  <si>
    <t>5x4</t>
  </si>
  <si>
    <t>Llevás 5, pagás 4</t>
  </si>
  <si>
    <t>20% (pagás 80% por unidad)</t>
  </si>
  <si>
    <t>6x5</t>
  </si>
  <si>
    <t>Llevás 6, pagás 5</t>
  </si>
  <si>
    <t>16.67% (pagás ~83.33% por unidad)</t>
  </si>
  <si>
    <t>7x6</t>
  </si>
  <si>
    <t>Llevás 7, pagás 6</t>
  </si>
  <si>
    <t>14.29% (pagás ~85.71% por unidad)</t>
  </si>
  <si>
    <t>2da50</t>
  </si>
  <si>
    <t>2da unidad 50% OFF</t>
  </si>
  <si>
    <t>25% promedio por unidad</t>
  </si>
  <si>
    <t>DESCTO DIRECTO</t>
  </si>
  <si>
    <t>10% promedio por unidad</t>
  </si>
  <si>
    <t>15% promedio por unidad</t>
  </si>
  <si>
    <t>20% promedio por unidad</t>
  </si>
  <si>
    <t>EXPLICACION COMO FUNCIONA OFERTA DESTACADA (9 OFERTAS FIJAS)</t>
  </si>
  <si>
    <t>Código EN COLUMNA DESTACADA</t>
  </si>
  <si>
    <t>% directo del 15 al 70</t>
  </si>
  <si>
    <t>Directo %</t>
  </si>
  <si>
    <t>Descuento real %</t>
  </si>
  <si>
    <t>% (pagás % descuento por unidad)</t>
  </si>
  <si>
    <t>EXPLICACION COMO FUNCIONA OFERTA ESPECIAL (40 OFERTAS DE 10% FIJAS)</t>
  </si>
  <si>
    <t>Código EN COLUMNA ESPECIAL</t>
  </si>
  <si>
    <t>sin oferta</t>
  </si>
  <si>
    <t>no hay</t>
  </si>
  <si>
    <t>nada</t>
  </si>
  <si>
    <t>Oferta</t>
  </si>
  <si>
    <t>10% fijo</t>
  </si>
  <si>
    <t>10% Descuento. (pagás 90% por unidad)</t>
  </si>
  <si>
    <t>RELÁMPAGO:</t>
  </si>
  <si>
    <t>pensar asi...</t>
  </si>
  <si>
    <t>👉 "termino cobrando 50%, 75%, 85.71% DE UNA VENTA NORMAL"</t>
  </si>
  <si>
    <t>Convierte el código automáticamente:</t>
  </si>
  <si>
    <t>Código</t>
  </si>
  <si>
    <t>Promo</t>
  </si>
  <si>
    <t>Precio que cobra</t>
  </si>
  <si>
    <t>66.67%</t>
  </si>
  <si>
    <t>83.33%</t>
  </si>
  <si>
    <t>85.71%</t>
  </si>
  <si>
    <t>2da 50</t>
  </si>
  <si>
    <t>75% promedio</t>
  </si>
  <si>
    <t>90% promedio</t>
  </si>
  <si>
    <t>85% promedio</t>
  </si>
  <si>
    <t>80% promedio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</si>
</sst>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0.###"/>
    <numFmt numFmtId="165" formatCode="yyyy&quot;-&quot;mm&quot;-&quot;dd"/>
    <numFmt numFmtId="166" formatCode="0.#"/>
    <numFmt numFmtId="167" formatCode="d/M/yyyy"/>
    <numFmt numFmtId="168" formatCode="h:mm:ss am/pm"/>
    <numFmt numFmtId="169" formatCode="&quot;$&quot;#,##0"/>
    <numFmt numFmtId="170" formatCode="d/m/yyyy"/>
    <numFmt numFmtId="171" formatCode="d/m/yyyy h:mm"/>
    <numFmt numFmtId="172" formatCode="0000"/>
    <numFmt numFmtId="173" formatCode="m/d/yyyy h:mm:ss"/>
    <numFmt numFmtId="174" formatCode="d.m"/>
    <numFmt numFmtId="175" formatCode="yyyy-mm-dd"/>
    <numFmt numFmtId="176" formatCode="dd/mm/yyyy"/>
  </numFmts>
  <fonts count="41">
    <font>
      <sz val="10.0"/>
      <color rgb="FF000000"/>
      <name val="Arial"/>
      <scheme val="minor"/>
    </font>
    <font>
      <sz val="10.0"/>
      <color theme="1"/>
      <name val="Arial"/>
    </font>
    <font>
      <sz val="10.0"/>
      <color rgb="FF000000"/>
      <name val="Arial"/>
    </font>
    <font>
      <color theme="1"/>
      <name val="Arial"/>
      <scheme val="minor"/>
    </font>
    <font>
      <sz val="10.0"/>
      <color theme="1"/>
      <name val="Calibri"/>
    </font>
    <font>
      <sz val="10.0"/>
      <color rgb="FF000000"/>
      <name val="Calibri"/>
    </font>
    <font>
      <b/>
      <sz val="10.0"/>
      <color rgb="FF38761D"/>
      <name val="Calibri"/>
    </font>
    <font>
      <sz val="10.0"/>
      <color rgb="FFFF6D01"/>
      <name val="Calibri"/>
    </font>
    <font>
      <color theme="1"/>
      <name val="Calibri"/>
    </font>
    <font>
      <b/>
      <sz val="10.0"/>
      <color rgb="FFE69138"/>
      <name val="Calibri"/>
    </font>
    <font>
      <sz val="10.0"/>
      <color rgb="FF34A853"/>
      <name val="Calibri"/>
    </font>
    <font>
      <strike/>
      <color rgb="FFFF0000"/>
      <name val="Calibri"/>
    </font>
    <font>
      <b/>
      <sz val="10.0"/>
      <color rgb="FFCC0000"/>
      <name val="Calibri"/>
    </font>
    <font>
      <color theme="1"/>
      <name val="Arial"/>
    </font>
    <font>
      <b/>
      <color theme="1"/>
      <name val="Arial"/>
    </font>
    <font>
      <sz val="13.0"/>
      <color theme="1"/>
      <name val="Arial"/>
    </font>
    <font>
      <sz val="13.0"/>
      <color rgb="FF000000"/>
      <name val="Arial"/>
    </font>
    <font>
      <b/>
      <sz val="13.0"/>
      <color rgb="FFFFFFFF"/>
      <name val="Arial"/>
    </font>
    <font/>
    <font>
      <sz val="11.0"/>
      <color theme="1"/>
      <name val="Calibri"/>
    </font>
    <font>
      <b/>
      <color rgb="FFFFFFFF"/>
      <name val="Arial"/>
    </font>
    <font>
      <b/>
      <i/>
      <sz val="9.0"/>
      <color rgb="FFFFFFFF"/>
      <name val="Arial"/>
    </font>
    <font>
      <b/>
      <sz val="11.0"/>
      <color rgb="FFE65100"/>
      <name val="Arial"/>
    </font>
    <font>
      <i/>
      <sz val="9.0"/>
      <color rgb="FF757575"/>
      <name val="Arial"/>
    </font>
    <font>
      <color rgb="FFFFFFFF"/>
      <name val="Arial"/>
    </font>
    <font>
      <sz val="11.0"/>
      <color rgb="FFFFFFFF"/>
      <name val="Calibri"/>
    </font>
    <font>
      <b/>
      <sz val="11.0"/>
      <color rgb="FFFFFFFF"/>
      <name val="Arial"/>
    </font>
    <font>
      <color rgb="FF000000"/>
      <name val="Arial"/>
    </font>
    <font>
      <sz val="11.0"/>
      <color rgb="FF000000"/>
      <name val="Calibri"/>
    </font>
    <font>
      <b/>
      <sz val="11.0"/>
      <color rgb="FF000000"/>
      <name val="Arial"/>
    </font>
    <font>
      <i/>
      <sz val="9.0"/>
      <color rgb="FF1565C0"/>
      <name val="Arial"/>
    </font>
    <font>
      <sz val="25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9FAFB"/>
      <name val="Arial"/>
    </font>
    <font>
      <b/>
      <sz val="11.0"/>
      <color theme="1"/>
      <name val="Arial"/>
    </font>
    <font>
      <sz val="12.0"/>
      <color rgb="FF000000"/>
      <name val="Arial"/>
    </font>
    <font>
      <sz val="12.0"/>
      <color rgb="FF000000"/>
      <name val="Quote-cjk-patch"/>
    </font>
    <font>
      <sz val="12.0"/>
      <color theme="1"/>
      <name val="Arial"/>
    </font>
    <font>
      <sz val="12.0"/>
      <color theme="1"/>
      <name val="Quote-cjk-patch"/>
    </font>
    <font>
      <b/>
      <sz val="14.0"/>
      <color theme="1"/>
      <name val="Arial"/>
    </font>
  </fonts>
  <fills count="24">
    <fill>
      <patternFill patternType="none"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FFFFFF"/>
        <bgColor rgb="FFFFFFFF"/>
      </patternFill>
    </fill>
    <fill>
      <patternFill patternType="solid">
        <fgColor rgb="FFFFF3A3"/>
        <bgColor rgb="FFFFF3A3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0A3D0F"/>
        <bgColor rgb="FF0A3D0F"/>
      </patternFill>
    </fill>
    <fill>
      <patternFill patternType="solid">
        <fgColor rgb="FF1B5E20"/>
        <bgColor rgb="FF1B5E20"/>
      </patternFill>
    </fill>
    <fill>
      <patternFill patternType="solid">
        <fgColor rgb="FFF5F5F5"/>
        <bgColor rgb="FFF5F5F5"/>
      </patternFill>
    </fill>
    <fill>
      <patternFill patternType="solid">
        <fgColor rgb="FFFFF9C4"/>
        <bgColor rgb="FFFFF9C4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E3F2FD"/>
        <bgColor rgb="FFE3F2FD"/>
      </patternFill>
    </fill>
    <fill>
      <patternFill patternType="solid">
        <fgColor rgb="FFEFEFEF"/>
        <bgColor rgb="FFEFEFEF"/>
      </patternFill>
    </fill>
    <fill>
      <patternFill patternType="solid">
        <fgColor rgb="FF37474F"/>
        <bgColor rgb="FF37474F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1A237E"/>
        <bgColor rgb="FF1A237E"/>
      </patternFill>
    </fill>
    <fill>
      <patternFill patternType="solid">
        <fgColor rgb="FFA2C4C9"/>
        <bgColor rgb="FFA2C4C9"/>
      </patternFill>
    </fill>
    <fill>
      <patternFill patternType="solid">
        <fgColor theme="4"/>
        <bgColor theme="4"/>
      </patternFill>
    </fill>
    <fill>
      <patternFill patternType="solid">
        <fgColor rgb="FF34A853"/>
        <bgColor rgb="FF34A853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2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vertical="bottom"/>
    </xf>
    <xf borderId="1" fillId="2" fontId="1" numFmtId="0" xfId="0" applyAlignment="1" applyBorder="1" applyFont="1">
      <alignment vertical="bottom"/>
    </xf>
    <xf borderId="1" fillId="2" fontId="2" numFmtId="164" xfId="0" applyAlignment="1" applyBorder="1" applyFont="1" applyNumberFormat="1">
      <alignment vertical="bottom"/>
    </xf>
    <xf borderId="1" fillId="2" fontId="1" numFmtId="1" xfId="0" applyAlignment="1" applyBorder="1" applyFont="1" applyNumberFormat="1">
      <alignment vertical="bottom"/>
    </xf>
    <xf borderId="1" fillId="2" fontId="2" numFmtId="1" xfId="0" applyAlignment="1" applyBorder="1" applyFont="1" applyNumberFormat="1">
      <alignment vertical="bottom"/>
    </xf>
    <xf borderId="1" fillId="2" fontId="1" numFmtId="1" xfId="0" applyBorder="1" applyFont="1" applyNumberFormat="1"/>
    <xf borderId="1" fillId="2" fontId="1" numFmtId="0" xfId="0" applyBorder="1" applyFont="1"/>
    <xf borderId="1" fillId="2" fontId="1" numFmtId="165" xfId="0" applyBorder="1" applyFont="1" applyNumberFormat="1"/>
    <xf borderId="1" fillId="3" fontId="1" numFmtId="166" xfId="0" applyAlignment="1" applyBorder="1" applyFill="1" applyFont="1" applyNumberFormat="1">
      <alignment horizontal="right" readingOrder="0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1" fillId="0" fontId="4" numFmtId="0" xfId="0" applyAlignment="1" applyBorder="1" applyFont="1">
      <alignment horizontal="left" vertical="bottom"/>
    </xf>
    <xf borderId="1" fillId="0" fontId="4" numFmtId="1" xfId="0" applyAlignment="1" applyBorder="1" applyFont="1" applyNumberFormat="1">
      <alignment horizontal="right" vertical="bottom"/>
    </xf>
    <xf borderId="1" fillId="0" fontId="4" numFmtId="0" xfId="0" applyAlignment="1" applyBorder="1" applyFont="1">
      <alignment vertical="bottom"/>
    </xf>
    <xf borderId="1" fillId="0" fontId="5" numFmtId="0" xfId="0" applyAlignment="1" applyBorder="1" applyFont="1">
      <alignment vertical="bottom"/>
    </xf>
    <xf borderId="1" fillId="0" fontId="6" numFmtId="164" xfId="0" applyAlignment="1" applyBorder="1" applyFont="1" applyNumberFormat="1">
      <alignment horizontal="right" vertical="bottom"/>
    </xf>
    <xf borderId="1" fillId="0" fontId="5" numFmtId="1" xfId="0" applyAlignment="1" applyBorder="1" applyFont="1" applyNumberFormat="1">
      <alignment readingOrder="0" vertical="bottom"/>
    </xf>
    <xf borderId="1" fillId="0" fontId="4" numFmtId="1" xfId="0" applyAlignment="1" applyBorder="1" applyFont="1" applyNumberFormat="1">
      <alignment readingOrder="0"/>
    </xf>
    <xf borderId="1" fillId="0" fontId="4" numFmtId="0" xfId="0" applyBorder="1" applyFont="1"/>
    <xf borderId="1" fillId="3" fontId="4" numFmtId="0" xfId="0" applyBorder="1" applyFont="1"/>
    <xf borderId="1" fillId="3" fontId="4" numFmtId="1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1" fillId="0" fontId="4" numFmtId="165" xfId="0" applyBorder="1" applyFont="1" applyNumberFormat="1"/>
    <xf borderId="1" fillId="3" fontId="4" numFmtId="14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readingOrder="0"/>
    </xf>
    <xf borderId="1" fillId="0" fontId="3" numFmtId="0" xfId="0" applyBorder="1" applyFont="1"/>
    <xf borderId="1" fillId="0" fontId="4" numFmtId="0" xfId="0" applyAlignment="1" applyBorder="1" applyFont="1">
      <alignment horizontal="left"/>
    </xf>
    <xf borderId="1" fillId="0" fontId="4" numFmtId="1" xfId="0" applyBorder="1" applyFont="1" applyNumberFormat="1"/>
    <xf borderId="1" fillId="0" fontId="7" numFmtId="164" xfId="0" applyBorder="1" applyFont="1" applyNumberFormat="1"/>
    <xf borderId="1" fillId="3" fontId="4" numFmtId="0" xfId="0" applyAlignment="1" applyBorder="1" applyFont="1">
      <alignment horizontal="left"/>
    </xf>
    <xf borderId="1" fillId="3" fontId="4" numFmtId="164" xfId="0" applyAlignment="1" applyBorder="1" applyFont="1" applyNumberFormat="1">
      <alignment readingOrder="0"/>
    </xf>
    <xf borderId="1" fillId="0" fontId="5" numFmtId="1" xfId="0" applyAlignment="1" applyBorder="1" applyFont="1" applyNumberFormat="1">
      <alignment vertical="bottom"/>
    </xf>
    <xf borderId="1" fillId="0" fontId="5" numFmtId="0" xfId="0" applyAlignment="1" applyBorder="1" applyFont="1">
      <alignment horizontal="left" vertical="bottom"/>
    </xf>
    <xf borderId="1" fillId="0" fontId="5" numFmtId="1" xfId="0" applyAlignment="1" applyBorder="1" applyFont="1" applyNumberFormat="1">
      <alignment horizontal="right" vertical="bottom"/>
    </xf>
    <xf borderId="1" fillId="0" fontId="5" numFmtId="164" xfId="0" applyAlignment="1" applyBorder="1" applyFont="1" applyNumberFormat="1">
      <alignment readingOrder="0" vertical="bottom"/>
    </xf>
    <xf borderId="1" fillId="0" fontId="8" numFmtId="0" xfId="0" applyAlignment="1" applyBorder="1" applyFont="1">
      <alignment vertical="bottom"/>
    </xf>
    <xf borderId="1" fillId="0" fontId="8" numFmtId="1" xfId="0" applyAlignment="1" applyBorder="1" applyFont="1" applyNumberFormat="1">
      <alignment horizontal="right" vertical="bottom"/>
    </xf>
    <xf borderId="1" fillId="3" fontId="4" numFmtId="164" xfId="0" applyBorder="1" applyFont="1" applyNumberFormat="1"/>
    <xf borderId="1" fillId="3" fontId="4" numFmtId="1" xfId="0" applyBorder="1" applyFont="1" applyNumberFormat="1"/>
    <xf borderId="1" fillId="0" fontId="5" numFmtId="164" xfId="0" applyAlignment="1" applyBorder="1" applyFont="1" applyNumberFormat="1">
      <alignment vertical="bottom"/>
    </xf>
    <xf borderId="1" fillId="0" fontId="7" numFmtId="164" xfId="0" applyAlignment="1" applyBorder="1" applyFont="1" applyNumberFormat="1">
      <alignment readingOrder="0" vertical="bottom"/>
    </xf>
    <xf borderId="1" fillId="0" fontId="7" numFmtId="164" xfId="0" applyAlignment="1" applyBorder="1" applyFont="1" applyNumberFormat="1">
      <alignment readingOrder="0"/>
    </xf>
    <xf borderId="1" fillId="0" fontId="7" numFmtId="164" xfId="0" applyAlignment="1" applyBorder="1" applyFont="1" applyNumberFormat="1">
      <alignment vertical="bottom"/>
    </xf>
    <xf borderId="1" fillId="0" fontId="5" numFmtId="0" xfId="0" applyAlignment="1" applyBorder="1" applyFont="1">
      <alignment horizontal="left" readingOrder="0" vertical="bottom"/>
    </xf>
    <xf borderId="1" fillId="0" fontId="5" numFmtId="1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4" fontId="5" numFmtId="0" xfId="0" applyAlignment="1" applyBorder="1" applyFill="1" applyFont="1">
      <alignment horizontal="left" vertical="bottom"/>
    </xf>
    <xf borderId="1" fillId="4" fontId="5" numFmtId="1" xfId="0" applyAlignment="1" applyBorder="1" applyFont="1" applyNumberFormat="1">
      <alignment horizontal="right" vertical="bottom"/>
    </xf>
    <xf borderId="1" fillId="4" fontId="5" numFmtId="0" xfId="0" applyAlignment="1" applyBorder="1" applyFont="1">
      <alignment vertical="bottom"/>
    </xf>
    <xf borderId="1" fillId="4" fontId="5" numFmtId="1" xfId="0" applyAlignment="1" applyBorder="1" applyFont="1" applyNumberFormat="1">
      <alignment vertical="bottom"/>
    </xf>
    <xf borderId="1" fillId="4" fontId="4" numFmtId="1" xfId="0" applyBorder="1" applyFont="1" applyNumberFormat="1"/>
    <xf borderId="1" fillId="0" fontId="4" numFmtId="164" xfId="0" applyBorder="1" applyFont="1" applyNumberFormat="1"/>
    <xf borderId="1" fillId="0" fontId="9" numFmtId="164" xfId="0" applyAlignment="1" applyBorder="1" applyFont="1" applyNumberFormat="1">
      <alignment horizontal="right" vertical="bottom"/>
    </xf>
    <xf borderId="1" fillId="3" fontId="4" numFmtId="0" xfId="0" applyAlignment="1" applyBorder="1" applyFont="1">
      <alignment readingOrder="0"/>
    </xf>
    <xf borderId="1" fillId="3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3" fontId="4" numFmtId="0" xfId="0" applyAlignment="1" applyBorder="1" applyFont="1">
      <alignment horizontal="left" readingOrder="0"/>
    </xf>
    <xf borderId="1" fillId="3" fontId="5" numFmtId="0" xfId="0" applyAlignment="1" applyBorder="1" applyFont="1">
      <alignment horizontal="left" vertical="bottom"/>
    </xf>
    <xf borderId="1" fillId="3" fontId="5" numFmtId="1" xfId="0" applyAlignment="1" applyBorder="1" applyFont="1" applyNumberFormat="1">
      <alignment horizontal="right" vertical="bottom"/>
    </xf>
    <xf borderId="1" fillId="3" fontId="5" numFmtId="0" xfId="0" applyAlignment="1" applyBorder="1" applyFont="1">
      <alignment vertical="bottom"/>
    </xf>
    <xf borderId="1" fillId="3" fontId="1" numFmtId="0" xfId="0" applyAlignment="1" applyBorder="1" applyFont="1">
      <alignment vertical="bottom"/>
    </xf>
    <xf borderId="1" fillId="0" fontId="10" numFmtId="164" xfId="0" applyAlignment="1" applyBorder="1" applyFont="1" applyNumberFormat="1">
      <alignment readingOrder="0" vertical="bottom"/>
    </xf>
    <xf borderId="1" fillId="0" fontId="4" numFmtId="1" xfId="0" applyAlignment="1" applyBorder="1" applyFont="1" applyNumberFormat="1">
      <alignment vertical="bottom"/>
    </xf>
    <xf borderId="1" fillId="0" fontId="4" numFmtId="0" xfId="0" applyAlignment="1" applyBorder="1" applyFont="1">
      <alignment horizontal="right" readingOrder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0" xfId="0" applyBorder="1" applyFont="1"/>
    <xf borderId="1" fillId="0" fontId="5" numFmtId="164" xfId="0" applyAlignment="1" applyBorder="1" applyFont="1" applyNumberFormat="1">
      <alignment horizontal="right" vertical="bottom"/>
    </xf>
    <xf borderId="1" fillId="0" fontId="8" numFmtId="0" xfId="0" applyAlignment="1" applyBorder="1" applyFont="1">
      <alignment horizontal="left" vertical="bottom"/>
    </xf>
    <xf borderId="1" fillId="0" fontId="4" numFmtId="164" xfId="0" applyAlignment="1" applyBorder="1" applyFont="1" applyNumberFormat="1">
      <alignment readingOrder="0"/>
    </xf>
    <xf borderId="1" fillId="3" fontId="11" numFmtId="0" xfId="0" applyAlignment="1" applyBorder="1" applyFont="1">
      <alignment horizontal="left" vertical="bottom"/>
    </xf>
    <xf borderId="1" fillId="3" fontId="11" numFmtId="1" xfId="0" applyAlignment="1" applyBorder="1" applyFont="1" applyNumberFormat="1">
      <alignment horizontal="right" vertical="bottom"/>
    </xf>
    <xf borderId="1" fillId="3" fontId="11" numFmtId="0" xfId="0" applyAlignment="1" applyBorder="1" applyFont="1">
      <alignment vertical="bottom"/>
    </xf>
    <xf borderId="1" fillId="3" fontId="11" numFmtId="164" xfId="0" applyAlignment="1" applyBorder="1" applyFont="1" applyNumberFormat="1">
      <alignment horizontal="right" vertical="bottom"/>
    </xf>
    <xf borderId="1" fillId="3" fontId="11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right" vertical="bottom"/>
    </xf>
    <xf borderId="1" fillId="0" fontId="4" numFmtId="164" xfId="0" applyAlignment="1" applyBorder="1" applyFont="1" applyNumberFormat="1">
      <alignment horizontal="right" vertical="bottom"/>
    </xf>
    <xf borderId="1" fillId="3" fontId="4" numFmtId="0" xfId="0" applyAlignment="1" applyBorder="1" applyFont="1">
      <alignment vertical="bottom"/>
    </xf>
    <xf borderId="1" fillId="0" fontId="12" numFmtId="164" xfId="0" applyAlignment="1" applyBorder="1" applyFont="1" applyNumberFormat="1">
      <alignment horizontal="right" vertical="bottom"/>
    </xf>
    <xf borderId="0" fillId="0" fontId="2" numFmtId="0" xfId="0" applyFont="1"/>
    <xf borderId="0" fillId="0" fontId="2" numFmtId="164" xfId="0" applyFont="1" applyNumberFormat="1"/>
    <xf borderId="0" fillId="0" fontId="3" numFmtId="166" xfId="0" applyAlignment="1" applyFont="1" applyNumberFormat="1">
      <alignment horizontal="right"/>
    </xf>
    <xf borderId="1" fillId="0" fontId="13" numFmtId="167" xfId="0" applyBorder="1" applyFont="1" applyNumberFormat="1"/>
    <xf borderId="1" fillId="0" fontId="13" numFmtId="0" xfId="0" applyBorder="1" applyFont="1"/>
    <xf borderId="0" fillId="0" fontId="13" numFmtId="167" xfId="0" applyFont="1" applyNumberFormat="1"/>
    <xf borderId="0" fillId="0" fontId="13" numFmtId="0" xfId="0" applyFont="1"/>
    <xf borderId="0" fillId="0" fontId="14" numFmtId="0" xfId="0" applyFont="1"/>
    <xf borderId="1" fillId="5" fontId="15" numFmtId="4" xfId="0" applyBorder="1" applyFill="1" applyFont="1" applyNumberFormat="1"/>
    <xf borderId="1" fillId="5" fontId="15" numFmtId="167" xfId="0" applyBorder="1" applyFont="1" applyNumberFormat="1"/>
    <xf borderId="1" fillId="5" fontId="15" numFmtId="168" xfId="0" applyBorder="1" applyFont="1" applyNumberFormat="1"/>
    <xf borderId="1" fillId="5" fontId="15" numFmtId="0" xfId="0" applyBorder="1" applyFont="1"/>
    <xf borderId="1" fillId="5" fontId="15" numFmtId="169" xfId="0" applyBorder="1" applyFont="1" applyNumberFormat="1"/>
    <xf borderId="1" fillId="6" fontId="15" numFmtId="0" xfId="0" applyBorder="1" applyFill="1" applyFont="1"/>
    <xf borderId="0" fillId="0" fontId="15" numFmtId="0" xfId="0" applyFont="1"/>
    <xf borderId="1" fillId="0" fontId="15" numFmtId="49" xfId="0" applyBorder="1" applyFont="1" applyNumberFormat="1"/>
    <xf borderId="1" fillId="0" fontId="16" numFmtId="170" xfId="0" applyAlignment="1" applyBorder="1" applyFont="1" applyNumberFormat="1">
      <alignment horizontal="right" vertical="bottom"/>
    </xf>
    <xf borderId="1" fillId="0" fontId="16" numFmtId="0" xfId="0" applyAlignment="1" applyBorder="1" applyFont="1">
      <alignment horizontal="right" vertical="bottom"/>
    </xf>
    <xf borderId="1" fillId="0" fontId="16" numFmtId="0" xfId="0" applyAlignment="1" applyBorder="1" applyFont="1">
      <alignment vertical="bottom"/>
    </xf>
    <xf borderId="1" fillId="0" fontId="16" numFmtId="4" xfId="0" applyAlignment="1" applyBorder="1" applyFont="1" applyNumberFormat="1">
      <alignment horizontal="right" vertical="bottom"/>
    </xf>
    <xf borderId="1" fillId="0" fontId="16" numFmtId="169" xfId="0" applyAlignment="1" applyBorder="1" applyFont="1" applyNumberFormat="1">
      <alignment horizontal="right" vertical="bottom"/>
    </xf>
    <xf borderId="1" fillId="0" fontId="15" numFmtId="0" xfId="0" applyBorder="1" applyFont="1"/>
    <xf borderId="1" fillId="0" fontId="16" numFmtId="171" xfId="0" applyAlignment="1" applyBorder="1" applyFont="1" applyNumberFormat="1">
      <alignment horizontal="right" vertical="bottom"/>
    </xf>
    <xf borderId="1" fillId="0" fontId="16" numFmtId="20" xfId="0" applyAlignment="1" applyBorder="1" applyFont="1" applyNumberFormat="1">
      <alignment horizontal="right" vertical="bottom"/>
    </xf>
    <xf borderId="1" fillId="0" fontId="16" numFmtId="0" xfId="0" applyAlignment="1" applyBorder="1" applyFont="1">
      <alignment horizontal="center" vertical="bottom"/>
    </xf>
    <xf borderId="1" fillId="0" fontId="16" numFmtId="4" xfId="0" applyAlignment="1" applyBorder="1" applyFont="1" applyNumberFormat="1">
      <alignment horizontal="left" readingOrder="0" vertical="bottom"/>
    </xf>
    <xf borderId="1" fillId="0" fontId="15" numFmtId="172" xfId="0" applyBorder="1" applyFont="1" applyNumberFormat="1"/>
    <xf borderId="1" fillId="0" fontId="15" numFmtId="167" xfId="0" applyBorder="1" applyFont="1" applyNumberFormat="1"/>
    <xf borderId="1" fillId="0" fontId="15" numFmtId="168" xfId="0" applyBorder="1" applyFont="1" applyNumberFormat="1"/>
    <xf borderId="1" fillId="0" fontId="15" numFmtId="4" xfId="0" applyBorder="1" applyFont="1" applyNumberFormat="1"/>
    <xf borderId="1" fillId="0" fontId="15" numFmtId="169" xfId="0" applyBorder="1" applyFont="1" applyNumberFormat="1"/>
    <xf borderId="1" fillId="0" fontId="15" numFmtId="173" xfId="0" applyBorder="1" applyFont="1" applyNumberFormat="1"/>
    <xf borderId="1" fillId="0" fontId="15" numFmtId="20" xfId="0" applyBorder="1" applyFont="1" applyNumberFormat="1"/>
    <xf borderId="1" fillId="0" fontId="15" numFmtId="4" xfId="0" applyAlignment="1" applyBorder="1" applyFont="1" applyNumberFormat="1">
      <alignment readingOrder="0"/>
    </xf>
    <xf borderId="1" fillId="0" fontId="15" numFmtId="49" xfId="0" applyAlignment="1" applyBorder="1" applyFont="1" applyNumberFormat="1">
      <alignment readingOrder="0"/>
    </xf>
    <xf borderId="1" fillId="0" fontId="15" numFmtId="167" xfId="0" applyAlignment="1" applyBorder="1" applyFont="1" applyNumberFormat="1">
      <alignment readingOrder="0"/>
    </xf>
    <xf borderId="1" fillId="0" fontId="15" numFmtId="168" xfId="0" applyAlignment="1" applyBorder="1" applyFont="1" applyNumberFormat="1">
      <alignment readingOrder="0"/>
    </xf>
    <xf borderId="1" fillId="0" fontId="15" numFmtId="0" xfId="0" applyAlignment="1" applyBorder="1" applyFont="1">
      <alignment readingOrder="0"/>
    </xf>
    <xf borderId="1" fillId="0" fontId="15" numFmtId="169" xfId="0" applyAlignment="1" applyBorder="1" applyFont="1" applyNumberFormat="1">
      <alignment readingOrder="0"/>
    </xf>
    <xf borderId="1" fillId="0" fontId="15" numFmtId="0" xfId="0" applyAlignment="1" applyBorder="1" applyFont="1">
      <alignment readingOrder="0"/>
    </xf>
    <xf borderId="1" fillId="0" fontId="15" numFmtId="173" xfId="0" applyAlignment="1" applyBorder="1" applyFont="1" applyNumberFormat="1">
      <alignment readingOrder="0"/>
    </xf>
    <xf borderId="1" fillId="0" fontId="15" numFmtId="20" xfId="0" applyAlignment="1" applyBorder="1" applyFont="1" applyNumberFormat="1">
      <alignment readingOrder="0"/>
    </xf>
    <xf borderId="0" fillId="0" fontId="15" numFmtId="4" xfId="0" applyFont="1" applyNumberFormat="1"/>
    <xf borderId="1" fillId="0" fontId="15" numFmtId="174" xfId="0" applyAlignment="1" applyBorder="1" applyFont="1" applyNumberFormat="1">
      <alignment readingOrder="0"/>
    </xf>
    <xf borderId="0" fillId="0" fontId="15" numFmtId="49" xfId="0" applyAlignment="1" applyFont="1" applyNumberFormat="1">
      <alignment readingOrder="0"/>
    </xf>
    <xf borderId="0" fillId="0" fontId="15" numFmtId="167" xfId="0" applyAlignment="1" applyFont="1" applyNumberFormat="1">
      <alignment readingOrder="0"/>
    </xf>
    <xf borderId="0" fillId="0" fontId="15" numFmtId="168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0" fontId="15" numFmtId="4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0" fontId="15" numFmtId="169" xfId="0" applyFont="1" applyNumberFormat="1"/>
    <xf borderId="0" fillId="0" fontId="15" numFmtId="173" xfId="0" applyAlignment="1" applyFont="1" applyNumberFormat="1">
      <alignment readingOrder="0"/>
    </xf>
    <xf borderId="0" fillId="0" fontId="15" numFmtId="20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2" numFmtId="4" xfId="0" applyFont="1" applyNumberFormat="1"/>
    <xf borderId="2" fillId="7" fontId="17" numFmtId="0" xfId="0" applyAlignment="1" applyBorder="1" applyFill="1" applyFont="1">
      <alignment horizontal="center"/>
    </xf>
    <xf borderId="3" fillId="0" fontId="18" numFmtId="0" xfId="0" applyBorder="1" applyFont="1"/>
    <xf borderId="4" fillId="0" fontId="18" numFmtId="0" xfId="0" applyBorder="1" applyFont="1"/>
    <xf borderId="0" fillId="0" fontId="19" numFmtId="0" xfId="0" applyAlignment="1" applyFont="1">
      <alignment vertical="bottom"/>
    </xf>
    <xf borderId="1" fillId="8" fontId="20" numFmtId="0" xfId="0" applyAlignment="1" applyBorder="1" applyFill="1" applyFont="1">
      <alignment horizontal="center"/>
    </xf>
    <xf borderId="1" fillId="8" fontId="20" numFmtId="0" xfId="0" applyAlignment="1" applyBorder="1" applyFont="1">
      <alignment horizontal="center"/>
    </xf>
    <xf borderId="1" fillId="8" fontId="21" numFmtId="0" xfId="0" applyAlignment="1" applyBorder="1" applyFont="1">
      <alignment shrinkToFit="0" wrapText="1"/>
    </xf>
    <xf borderId="1" fillId="8" fontId="19" numFmtId="0" xfId="0" applyBorder="1" applyFont="1"/>
    <xf borderId="1" fillId="0" fontId="19" numFmtId="0" xfId="0" applyBorder="1" applyFont="1"/>
    <xf borderId="0" fillId="0" fontId="19" numFmtId="0" xfId="0" applyAlignment="1" applyFont="1">
      <alignment vertical="bottom"/>
    </xf>
    <xf borderId="1" fillId="9" fontId="13" numFmtId="0" xfId="0" applyAlignment="1" applyBorder="1" applyFill="1" applyFont="1">
      <alignment shrinkToFit="0" wrapText="1"/>
    </xf>
    <xf borderId="1" fillId="10" fontId="22" numFmtId="0" xfId="0" applyAlignment="1" applyBorder="1" applyFill="1" applyFont="1">
      <alignment horizontal="center"/>
    </xf>
    <xf borderId="1" fillId="10" fontId="22" numFmtId="0" xfId="0" applyAlignment="1" applyBorder="1" applyFont="1">
      <alignment horizontal="center"/>
    </xf>
    <xf borderId="1" fillId="10" fontId="22" numFmtId="20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shrinkToFit="0" wrapText="1"/>
    </xf>
    <xf borderId="1" fillId="3" fontId="13" numFmtId="0" xfId="0" applyAlignment="1" applyBorder="1" applyFont="1">
      <alignment shrinkToFit="0" wrapText="1"/>
    </xf>
    <xf borderId="1" fillId="8" fontId="19" numFmtId="0" xfId="0" applyBorder="1" applyFont="1"/>
    <xf borderId="1" fillId="11" fontId="24" numFmtId="0" xfId="0" applyAlignment="1" applyBorder="1" applyFill="1" applyFont="1">
      <alignment shrinkToFit="0" wrapText="1"/>
    </xf>
    <xf borderId="1" fillId="11" fontId="25" numFmtId="0" xfId="0" applyAlignment="1" applyBorder="1" applyFont="1">
      <alignment readingOrder="0"/>
    </xf>
    <xf borderId="1" fillId="0" fontId="23" numFmtId="0" xfId="0" applyAlignment="1" applyBorder="1" applyFont="1">
      <alignment shrinkToFit="0" wrapText="1"/>
    </xf>
    <xf borderId="1" fillId="11" fontId="26" numFmtId="0" xfId="0" applyAlignment="1" applyBorder="1" applyFont="1">
      <alignment horizontal="center" readingOrder="0"/>
    </xf>
    <xf borderId="1" fillId="8" fontId="21" numFmtId="0" xfId="0" applyAlignment="1" applyBorder="1" applyFont="1">
      <alignment readingOrder="0" shrinkToFit="0" wrapText="1"/>
    </xf>
    <xf borderId="1" fillId="0" fontId="19" numFmtId="0" xfId="0" applyBorder="1" applyFont="1"/>
    <xf borderId="1" fillId="12" fontId="27" numFmtId="0" xfId="0" applyAlignment="1" applyBorder="1" applyFill="1" applyFont="1">
      <alignment shrinkToFit="0" wrapText="1"/>
    </xf>
    <xf borderId="1" fillId="12" fontId="28" numFmtId="0" xfId="0" applyBorder="1" applyFont="1"/>
    <xf borderId="1" fillId="12" fontId="28" numFmtId="0" xfId="0" applyAlignment="1" applyBorder="1" applyFont="1">
      <alignment readingOrder="0"/>
    </xf>
    <xf borderId="1" fillId="12" fontId="29" numFmtId="0" xfId="0" applyAlignment="1" applyBorder="1" applyFont="1">
      <alignment horizontal="center" readingOrder="0"/>
    </xf>
    <xf borderId="1" fillId="8" fontId="28" numFmtId="0" xfId="0" applyBorder="1" applyFont="1"/>
    <xf borderId="1" fillId="13" fontId="27" numFmtId="0" xfId="0" applyAlignment="1" applyBorder="1" applyFill="1" applyFont="1">
      <alignment shrinkToFit="0" wrapText="1"/>
    </xf>
    <xf borderId="1" fillId="13" fontId="28" numFmtId="0" xfId="0" applyAlignment="1" applyBorder="1" applyFont="1">
      <alignment readingOrder="0"/>
    </xf>
    <xf borderId="1" fillId="13" fontId="29" numFmtId="0" xfId="0" applyAlignment="1" applyBorder="1" applyFont="1">
      <alignment horizontal="center" readingOrder="0"/>
    </xf>
    <xf borderId="1" fillId="14" fontId="13" numFmtId="0" xfId="0" applyAlignment="1" applyBorder="1" applyFill="1" applyFont="1">
      <alignment shrinkToFit="0" wrapText="1"/>
    </xf>
    <xf borderId="1" fillId="14" fontId="19" numFmtId="0" xfId="0" applyAlignment="1" applyBorder="1" applyFont="1">
      <alignment readingOrder="0"/>
    </xf>
    <xf borderId="1" fillId="14" fontId="27" numFmtId="0" xfId="0" applyAlignment="1" applyBorder="1" applyFont="1">
      <alignment readingOrder="0" shrinkToFit="0" wrapText="1"/>
    </xf>
    <xf borderId="1" fillId="14" fontId="29" numFmtId="0" xfId="0" applyAlignment="1" applyBorder="1" applyFont="1">
      <alignment horizontal="center" readingOrder="0"/>
    </xf>
    <xf borderId="2" fillId="15" fontId="30" numFmtId="0" xfId="0" applyAlignment="1" applyBorder="1" applyFill="1" applyFont="1">
      <alignment horizontal="center" shrinkToFit="0" wrapText="1"/>
    </xf>
    <xf borderId="0" fillId="0" fontId="31" numFmtId="0" xfId="0" applyAlignment="1" applyFont="1">
      <alignment horizontal="center" readingOrder="0" vertical="bottom"/>
    </xf>
    <xf borderId="0" fillId="16" fontId="13" numFmtId="0" xfId="0" applyFill="1" applyFont="1"/>
    <xf borderId="1" fillId="16" fontId="13" numFmtId="0" xfId="0" applyBorder="1" applyFont="1"/>
    <xf borderId="1" fillId="16" fontId="13" numFmtId="165" xfId="0" applyBorder="1" applyFont="1" applyNumberFormat="1"/>
    <xf borderId="1" fillId="0" fontId="13" numFmtId="173" xfId="0" applyBorder="1" applyFont="1" applyNumberFormat="1"/>
    <xf borderId="1" fillId="0" fontId="13" numFmtId="165" xfId="0" applyBorder="1" applyFont="1" applyNumberFormat="1"/>
    <xf borderId="1" fillId="0" fontId="13" numFmtId="0" xfId="0" applyAlignment="1" applyBorder="1" applyFont="1">
      <alignment readingOrder="0"/>
    </xf>
    <xf borderId="1" fillId="0" fontId="13" numFmtId="175" xfId="0" applyBorder="1" applyFont="1" applyNumberFormat="1"/>
    <xf borderId="1" fillId="0" fontId="2" numFmtId="173" xfId="0" applyAlignment="1" applyBorder="1" applyFont="1" applyNumberFormat="1">
      <alignment readingOrder="0"/>
    </xf>
    <xf borderId="1" fillId="0" fontId="13" numFmtId="175" xfId="0" applyAlignment="1" applyBorder="1" applyFont="1" applyNumberFormat="1">
      <alignment readingOrder="0"/>
    </xf>
    <xf borderId="0" fillId="17" fontId="32" numFmtId="0" xfId="0" applyAlignment="1" applyFill="1" applyFont="1">
      <alignment readingOrder="0"/>
    </xf>
    <xf borderId="0" fillId="0" fontId="3" numFmtId="173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3" numFmtId="0" xfId="0" applyAlignment="1" applyFont="1">
      <alignment readingOrder="0"/>
    </xf>
    <xf borderId="1" fillId="0" fontId="7" numFmtId="1" xfId="0" applyAlignment="1" applyBorder="1" applyFont="1" applyNumberFormat="1">
      <alignment vertical="bottom"/>
    </xf>
    <xf borderId="1" fillId="0" fontId="13" numFmtId="0" xfId="0" applyAlignment="1" applyBorder="1" applyFont="1">
      <alignment vertical="bottom"/>
    </xf>
    <xf borderId="0" fillId="0" fontId="5" numFmtId="0" xfId="0" applyAlignment="1" applyFont="1">
      <alignment vertical="bottom"/>
    </xf>
    <xf borderId="0" fillId="0" fontId="5" numFmtId="1" xfId="0" applyAlignment="1" applyFont="1" applyNumberFormat="1">
      <alignment horizontal="right" vertical="bottom"/>
    </xf>
    <xf borderId="0" fillId="0" fontId="5" numFmtId="1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0" fontId="4" numFmtId="0" xfId="0" applyFont="1"/>
    <xf borderId="0" fillId="3" fontId="4" numFmtId="0" xfId="0" applyFont="1"/>
    <xf borderId="0" fillId="0" fontId="7" numFmtId="1" xfId="0" applyAlignment="1" applyFont="1" applyNumberFormat="1">
      <alignment vertical="bottom"/>
    </xf>
    <xf borderId="1" fillId="0" fontId="7" numFmtId="1" xfId="0" applyBorder="1" applyFont="1" applyNumberFormat="1"/>
    <xf borderId="0" fillId="0" fontId="3" numFmtId="0" xfId="0" applyFont="1"/>
    <xf borderId="1" fillId="4" fontId="13" numFmtId="0" xfId="0" applyBorder="1" applyFont="1"/>
    <xf borderId="1" fillId="18" fontId="13" numFmtId="0" xfId="0" applyBorder="1" applyFill="1" applyFont="1"/>
    <xf borderId="0" fillId="0" fontId="27" numFmtId="0" xfId="0" applyFont="1"/>
    <xf borderId="0" fillId="19" fontId="13" numFmtId="0" xfId="0" applyFill="1" applyFont="1"/>
    <xf borderId="0" fillId="0" fontId="34" numFmtId="0" xfId="0" applyFont="1"/>
    <xf borderId="0" fillId="20" fontId="32" numFmtId="0" xfId="0" applyAlignment="1" applyFill="1" applyFont="1">
      <alignment readingOrder="0"/>
    </xf>
    <xf borderId="0" fillId="0" fontId="3" numFmtId="176" xfId="0" applyAlignment="1" applyFont="1" applyNumberFormat="1">
      <alignment readingOrder="0"/>
    </xf>
    <xf borderId="0" fillId="0" fontId="3" numFmtId="21" xfId="0" applyAlignment="1" applyFont="1" applyNumberFormat="1">
      <alignment readingOrder="0"/>
    </xf>
    <xf borderId="1" fillId="21" fontId="35" numFmtId="0" xfId="0" applyBorder="1" applyFill="1" applyFont="1"/>
    <xf borderId="2" fillId="22" fontId="13" numFmtId="0" xfId="0" applyAlignment="1" applyBorder="1" applyFill="1" applyFont="1">
      <alignment horizontal="center"/>
    </xf>
    <xf borderId="1" fillId="11" fontId="36" numFmtId="0" xfId="0" applyAlignment="1" applyBorder="1" applyFont="1">
      <alignment horizontal="center"/>
    </xf>
    <xf borderId="1" fillId="11" fontId="37" numFmtId="0" xfId="0" applyAlignment="1" applyBorder="1" applyFont="1">
      <alignment horizontal="left"/>
    </xf>
    <xf borderId="1" fillId="0" fontId="37" numFmtId="0" xfId="0" applyAlignment="1" applyBorder="1" applyFont="1">
      <alignment horizontal="center"/>
    </xf>
    <xf borderId="1" fillId="0" fontId="37" numFmtId="0" xfId="0" applyBorder="1" applyFont="1"/>
    <xf borderId="1" fillId="0" fontId="36" numFmtId="0" xfId="0" applyAlignment="1" applyBorder="1" applyFont="1">
      <alignment horizontal="center"/>
    </xf>
    <xf borderId="1" fillId="0" fontId="36" numFmtId="9" xfId="0" applyBorder="1" applyFont="1" applyNumberFormat="1"/>
    <xf borderId="1" fillId="0" fontId="36" numFmtId="0" xfId="0" applyBorder="1" applyFont="1"/>
    <xf borderId="2" fillId="12" fontId="13" numFmtId="0" xfId="0" applyAlignment="1" applyBorder="1" applyFont="1">
      <alignment horizontal="center"/>
    </xf>
    <xf borderId="1" fillId="12" fontId="36" numFmtId="0" xfId="0" applyAlignment="1" applyBorder="1" applyFont="1">
      <alignment horizontal="center"/>
    </xf>
    <xf borderId="1" fillId="12" fontId="37" numFmtId="0" xfId="0" applyAlignment="1" applyBorder="1" applyFont="1">
      <alignment horizontal="left"/>
    </xf>
    <xf borderId="2" fillId="23" fontId="13" numFmtId="0" xfId="0" applyAlignment="1" applyBorder="1" applyFill="1" applyFont="1">
      <alignment horizontal="center" vertical="bottom"/>
    </xf>
    <xf borderId="1" fillId="23" fontId="38" numFmtId="0" xfId="0" applyAlignment="1" applyBorder="1" applyFont="1">
      <alignment horizontal="center" vertical="bottom"/>
    </xf>
    <xf borderId="1" fillId="23" fontId="39" numFmtId="0" xfId="0" applyAlignment="1" applyBorder="1" applyFont="1">
      <alignment vertical="bottom"/>
    </xf>
    <xf borderId="1" fillId="0" fontId="38" numFmtId="0" xfId="0" applyAlignment="1" applyBorder="1" applyFont="1">
      <alignment horizontal="center" vertical="bottom"/>
    </xf>
    <xf borderId="1" fillId="0" fontId="38" numFmtId="0" xfId="0" applyAlignment="1" applyBorder="1" applyFont="1">
      <alignment vertical="bottom"/>
    </xf>
    <xf borderId="1" fillId="0" fontId="39" numFmtId="0" xfId="0" applyAlignment="1" applyBorder="1" applyFont="1">
      <alignment horizontal="center" vertical="bottom"/>
    </xf>
    <xf borderId="2" fillId="11" fontId="40" numFmtId="0" xfId="0" applyAlignment="1" applyBorder="1" applyFont="1">
      <alignment horizontal="center"/>
    </xf>
    <xf borderId="0" fillId="14" fontId="13" numFmtId="0" xfId="0" applyAlignment="1" applyFont="1">
      <alignment horizontal="center" vertical="center"/>
    </xf>
    <xf borderId="5" fillId="0" fontId="18" numFmtId="0" xfId="0" applyBorder="1" applyFont="1"/>
    <xf borderId="6" fillId="5" fontId="40" numFmtId="0" xfId="0" applyAlignment="1" applyBorder="1" applyFont="1">
      <alignment horizontal="center" vertical="center"/>
    </xf>
    <xf borderId="2" fillId="0" fontId="40" numFmtId="0" xfId="0" applyAlignment="1" applyBorder="1" applyFont="1">
      <alignment horizontal="center" vertical="center"/>
    </xf>
    <xf borderId="1" fillId="0" fontId="40" numFmtId="0" xfId="0" applyAlignment="1" applyBorder="1" applyFont="1">
      <alignment horizontal="center"/>
    </xf>
    <xf borderId="1" fillId="0" fontId="40" numFmtId="9" xfId="0" applyAlignment="1" applyBorder="1" applyFont="1" applyNumberFormat="1">
      <alignment horizontal="center"/>
    </xf>
  </cellXfs>
  <cellStyles count="1">
    <cellStyle xfId="0" name="Normal" builtinId="0"/>
  </cellStyles>
  <dxfs count="19">
    <dxf>
      <font/>
      <fill>
        <patternFill patternType="solid">
          <fgColor rgb="FFFF6D01"/>
          <bgColor rgb="FFFF6D01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>
        <b/>
        <color rgb="FFCC0000"/>
      </font>
      <fill>
        <patternFill patternType="solid">
          <fgColor rgb="FFFFFFFF"/>
          <bgColor rgb="FFFFFFFF"/>
        </patternFill>
      </fill>
      <border/>
    </dxf>
    <dxf>
      <font>
        <b/>
        <color rgb="FFE69138"/>
      </font>
      <fill>
        <patternFill patternType="solid">
          <fgColor rgb="FFFFFFFF"/>
          <bgColor rgb="FFFFFFFF"/>
        </patternFill>
      </fill>
      <border/>
    </dxf>
    <dxf>
      <font>
        <b/>
        <color theme="8"/>
      </font>
      <fill>
        <patternFill patternType="solid">
          <fgColor rgb="FFFFFFFF"/>
          <bgColor rgb="FFFFFFFF"/>
        </patternFill>
      </fill>
      <border/>
    </dxf>
    <dxf>
      <font>
        <b/>
        <color rgb="FF38761D"/>
      </font>
      <fill>
        <patternFill patternType="solid">
          <fgColor rgb="FFFFFFFF"/>
          <bgColor rgb="FFFFFFFF"/>
        </patternFill>
      </fill>
      <border/>
    </dxf>
    <dxf>
      <font>
        <strike/>
        <color rgb="FFFF0000"/>
      </font>
      <fill>
        <patternFill patternType="solid">
          <fgColor rgb="FFFFFFFF"/>
          <bgColor rgb="FFFFFFFF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6D01"/>
          <bgColor rgb="FFFF6D01"/>
        </patternFill>
      </fill>
      <border/>
    </dxf>
    <dxf>
      <font/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34A853"/>
      </font>
      <fill>
        <patternFill patternType="solid">
          <fgColor rgb="FFFFFFFF"/>
          <bgColor rgb="FFFFFFFF"/>
        </patternFill>
      </fill>
      <border/>
    </dxf>
    <dxf>
      <font>
        <color rgb="FFFBBC04"/>
      </font>
      <fill>
        <patternFill patternType="solid">
          <fgColor rgb="FFFFFFFF"/>
          <bgColor rgb="FFFFFFFF"/>
        </patternFill>
      </fill>
      <border/>
    </dxf>
    <dxf>
      <font>
        <color rgb="FFFF6D01"/>
      </font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>
        <color rgb="FFFFFFFF"/>
      </font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Victor Alvarez" id="{3f406c79-ecc2-49dc-9619-047c1628747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3-03T18:47:59.00" personId="{3f406c79-ecc2-49dc-9619-047c16287474}" id="{6e2b0fab-c8e0-4406-b271-9a3b2ce5d4dd}" done="0">
    <x18tc:text xml:space="preserve">ULTIMO DIA PARA PENSAR TUPEDIDO PRODCUTO/PROVEEDOR</x18tc:text>
  </x18tc:threadedComment>
  <x18tc:threadedComment ref="N1" dT="2026-03-10T21:18:38.00" personId="{3f406c79-ecc2-49dc-9619-047c16287474}" id="{fac077e3-366d-4fed-8bfb-da7e6dd6a832}" done="1">
    <x18tc:text xml:space="preserve">ALGORITMO DE LA PAGINA DE VENTAS.HTML COMPLETA ESTA COLUMNA SEGUN ESTADISTICAS DE CADA PRODUCTO.
MODIFICA AUTOMATICAMENTE
SOLUMNAS N Y O</x18tc:text>
  </x18tc:threadedComment>
  <x18tc:threadedComment ref="A1" dT="2026-03-03T18:46:57.00" personId="{3f406c79-ecc2-49dc-9619-047c16287474}" id="{1bd4076c-058a-44e0-87f4-5f3b3291babe}" done="0">
    <x18tc:text xml:space="preserve">USADOS PARA CONTENEDOR ULTIMAS UNIDADES EVITA QUE SE REPITAN MAS DE DOS DIAS EL MISMO PRODUCTO</x18tc:text>
  </x18tc:threadedComment>
  <x18tc:threadedComment ref="A1" dT="2026-02-26T20:28:02.00" personId="{3f406c79-ecc2-49dc-9619-047c16287474}" id="{7dd2813e-1417-45bd-8c54-db2c9299e314}" done="0">
    <x18tc:text xml:space="preserve">PRODCUTO EN CAT. PROMOS Y TIENE STOCK. AQUI HACE QUE LA OFERTA SE VEA ASI:
(EJEMPLO):
ANTES 2000 Y AHORA 1600</x18tc:text>
  </x18tc:threadedComment>
  <x18tc:threadedComment ref="P1" dT="2026-03-10T21:21:04.00" personId="{3f406c79-ecc2-49dc-9619-047c16287474}" id="{647e5974-21ee-46f7-82c5-f700effdee5e}" done="0">
    <x18tc:text xml:space="preserve">COLUMNA P ES LLENADA AUTOMATICAMENTE POR PAGINA VENTAS.HTML QUE LO OBTIENE DEL HISTORIASL DE PRODUCTOS INGRESADOS</x18tc:text>
  </x18tc:threadedComment>
  <x18tc:threadedComment ref="A1" dT="2026-02-26T20:28:42.00" personId="{3f406c79-ecc2-49dc-9619-047c16287474}" id="{5770c9a3-51ec-4951-9886-9dd6538fed89}" done="0">
    <x18tc:text xml:space="preserve">ERA PARA LANZAR MENSAJES EMERGENTE CON ANTOJOS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58.75"/>
    <col customWidth="1" min="2" max="2" width="7.38"/>
    <col customWidth="1" min="3" max="3" width="15.13"/>
    <col customWidth="1" min="4" max="4" width="12.63"/>
    <col customWidth="1" min="5" max="5" width="16.88"/>
    <col customWidth="1" min="6" max="6" width="6.75"/>
    <col customWidth="1" min="7" max="7" width="9.5"/>
    <col customWidth="1" min="8" max="8" width="9.0"/>
    <col customWidth="1" min="9" max="9" width="7.25"/>
    <col customWidth="1" min="10" max="10" width="18.38"/>
    <col customWidth="1" min="11" max="11" width="25.75"/>
    <col customWidth="1" min="12" max="12" width="6.5"/>
    <col customWidth="1" min="13" max="13" width="11.13"/>
    <col customWidth="1" min="14" max="14" width="14.0"/>
    <col customWidth="1" min="15" max="15" width="9.63"/>
    <col customWidth="1" min="16" max="16" width="10.13"/>
    <col customWidth="1" min="17" max="17" width="8.0"/>
    <col customWidth="1" min="18" max="18" width="8.13"/>
    <col customWidth="1" min="19" max="19" width="5.38"/>
    <col customWidth="1" min="20" max="20" width="12.38"/>
    <col customWidth="1" min="21" max="21" width="12.0"/>
    <col customWidth="1" min="22" max="22" width="8.0"/>
    <col customWidth="1" min="23" max="23" width="8.88"/>
    <col customWidth="1" min="24" max="24" width="7.5"/>
    <col customWidth="1" min="25" max="25" width="8.5"/>
    <col customWidth="1" min="26" max="26" width="8.38"/>
    <col customWidth="1" min="27" max="27" width="11.25"/>
    <col customWidth="1" min="28" max="28" width="13.63"/>
    <col customWidth="1" min="29" max="29" width="13.0"/>
    <col customWidth="1" min="30" max="30" width="13.75"/>
    <col customWidth="1" min="31" max="31" width="15.25"/>
    <col customWidth="1" min="32" max="32" width="13.38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7" t="s">
        <v>10</v>
      </c>
      <c r="L1" s="2" t="s">
        <v>11</v>
      </c>
      <c r="M1" s="7" t="s">
        <v>12</v>
      </c>
      <c r="N1" s="6" t="s">
        <v>13</v>
      </c>
      <c r="O1" s="7" t="s">
        <v>14</v>
      </c>
      <c r="P1" s="8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9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1" t="s">
        <v>33</v>
      </c>
    </row>
    <row r="2" ht="15.75" customHeight="1">
      <c r="A2" s="12" t="s">
        <v>34</v>
      </c>
      <c r="B2" s="13">
        <v>2600.0</v>
      </c>
      <c r="C2" s="14" t="s">
        <v>35</v>
      </c>
      <c r="D2" s="15" t="s">
        <v>36</v>
      </c>
      <c r="E2" s="14"/>
      <c r="F2" s="16">
        <v>14.0</v>
      </c>
      <c r="G2" s="17">
        <v>10.0</v>
      </c>
      <c r="H2" s="17">
        <v>0.0</v>
      </c>
      <c r="I2" s="18">
        <v>0.0</v>
      </c>
      <c r="J2" s="19" t="str">
        <f t="shared" ref="J2:J8" si="1">IF(
A2="",
"",
IF(
F2=0,
"sin stock",
IF(
NOT(OR(I2=0,I2=1)),
"ERROR ESPECIAL",
IF(
NOT(ISNUMBER(MATCH(G2,{0;1;2;3;4;5;6;10;11;12;13;14},0))),
"ERROR RELAMPAGO",
IF(
OR(H2&gt;70,AND(H2&gt;0,H2&lt;15)),
"ERROR DESTACADA",
IF(
(I2=1)+(H2&gt;0)+(G2&gt;0)&gt;1,
"ERROR DOBLE OFERTA",
IF(
I2=1,
"especial",
IF(
H2&gt;0,
"destacada",
IF(
G2&gt;0,
IF(
OR(
AND(G2&lt;=6,F2&lt;(G2+1)),
AND(G2=10,F2&lt;2),
AND(G2&gt;=11,F2&lt;1)
),
"REPONER "&amp;
IF(G2&lt;=6,G2+1-F2,
IF(G2=10,2-F2,
1-
F2)
)&amp;
" PARA PROMO",
IF(
G2&lt;=6,
"relampago "&amp;(G2+1)&amp;"x"&amp;G2,
IF(
G2=10,
"2da50off",
IF(
G2&gt;=11,
"relampago "&amp;CHOOSE(G2-10,10,15,20,25)&amp;"%",
"relampago"
)
)
)
),
"sin oferta"
)
)
)
)
)
)
)
)
)</f>
        <v>2da50off</v>
      </c>
      <c r="K2" s="20">
        <f t="shared" ref="K2:K64" si="2">IF(AND(C2="PROMOS", F2&gt;=1),
   "COMBO ACTIVADO EN CAT. PROMOS",
   IF(OR(F2&lt;=0, B2&lt;=0),
      "SIN STOCK / CARGAR STOCK",
      IF(B2="",
         "CARGAR PRECIO",
         IF(AND(ISNUMBER(G2), G2&gt;0),
            B2 * VLOOKUP(G2, {1,0.5; 2,0.6667; 3,0.75; 4,0.8; 5,0.8333; 6,0.8571; 10,0.75}, 2, FALSE),
            IF(AND(ISNUMBER(H2), H2&gt;0),
               B2 * (1 - H2/100),
               IF(I2=1,
                  B2 * 0.9,
                  "NORMAL / SIN OFERTA"
               )
            )
         )
      )
   )
)</f>
        <v>1950</v>
      </c>
      <c r="L2" s="15"/>
      <c r="M2" s="20">
        <v>1.0</v>
      </c>
      <c r="N2" s="21">
        <v>1.0</v>
      </c>
      <c r="O2" s="22">
        <v>4.0</v>
      </c>
      <c r="P2" s="23" t="str">
        <f>IFERROR(__xludf.DUMMYFUNCTION("IFERROR(
  INDEX(
    QUERY(
      Historial!A:I,
      ""select I where B = '""&amp;A2&amp;""' order by A desc limit 1"",
      0
    ),
    1
  ),
  """"
)"),"")</f>
        <v/>
      </c>
      <c r="Q2" s="19" t="s">
        <v>37</v>
      </c>
      <c r="R2" s="24">
        <v>46086.86398835648</v>
      </c>
      <c r="S2" s="20" t="str">
        <f>IFERROR(__xludf.DUMMYFUNCTION("IFERROR(
  INDEX(
    QUERY(
      Historial!A:G,
      ""select G where B = '""&amp;A2&amp;""' order by A desc limit 1"",
      0
    ),
    1
  ),
  """"
)"),"")</f>
        <v/>
      </c>
      <c r="T2" s="20" t="str">
        <f t="shared" ref="T2:T600" si="3">IF(P2="","",IF(P2-TODAY()&lt;0,"🔴 VENCIDO",IF(P2-TODAY()&lt;=7,"⚠️ PRONTO",IF(P2-TODAY()&lt;=30,"🟡 POR VENCER","✅ OK"))))</f>
        <v/>
      </c>
      <c r="U2" s="20" t="str">
        <f t="shared" ref="U2:U600" si="4">IF(P2="","",IF(P2-TODAY()&lt;0,"VENCIDO",IF(P2-TODAY()&lt;=30,P2-TODAY()&amp;" días","")))</f>
        <v/>
      </c>
      <c r="V2" s="25">
        <v>0.0</v>
      </c>
      <c r="W2" s="26">
        <v>5.0</v>
      </c>
      <c r="X2" s="26">
        <v>0.067</v>
      </c>
      <c r="Y2" s="26">
        <v>208.955223880597</v>
      </c>
      <c r="Z2" s="26">
        <v>7.0</v>
      </c>
      <c r="AA2" s="26">
        <v>1.206</v>
      </c>
      <c r="AB2" s="26">
        <v>0.0</v>
      </c>
      <c r="AC2" s="27"/>
      <c r="AD2" s="26">
        <v>208.955223880597</v>
      </c>
      <c r="AE2" s="10" t="s">
        <v>38</v>
      </c>
      <c r="AF2" s="10" t="s">
        <v>39</v>
      </c>
      <c r="AG2" s="27"/>
    </row>
    <row r="3" ht="15.75" customHeight="1">
      <c r="A3" s="28" t="s">
        <v>40</v>
      </c>
      <c r="B3" s="29">
        <v>2700.0</v>
      </c>
      <c r="C3" s="14" t="s">
        <v>35</v>
      </c>
      <c r="D3" s="15" t="s">
        <v>41</v>
      </c>
      <c r="E3" s="19" t="s">
        <v>42</v>
      </c>
      <c r="F3" s="30">
        <v>11.0</v>
      </c>
      <c r="G3" s="17">
        <v>10.0</v>
      </c>
      <c r="H3" s="17">
        <v>0.0</v>
      </c>
      <c r="I3" s="18">
        <v>0.0</v>
      </c>
      <c r="J3" s="19" t="str">
        <f t="shared" si="1"/>
        <v>2da50off</v>
      </c>
      <c r="K3" s="20">
        <f t="shared" si="2"/>
        <v>2025</v>
      </c>
      <c r="L3" s="15"/>
      <c r="M3" s="20"/>
      <c r="N3" s="21">
        <v>0.0</v>
      </c>
      <c r="O3" s="22">
        <v>2.0</v>
      </c>
      <c r="P3" s="23">
        <f>IFERROR(__xludf.DUMMYFUNCTION("IFERROR(
  INDEX(
    QUERY(
      Historial!A:I,
      ""select I where B = '""&amp;A3&amp;""' order by A desc limit 1"",
      0
    ),
    1
  ),
  """"
)"),46133.0)</f>
        <v>46133</v>
      </c>
      <c r="Q3" s="19" t="s">
        <v>43</v>
      </c>
      <c r="R3" s="24">
        <v>46087.0</v>
      </c>
      <c r="S3" s="20" t="str">
        <f>IFERROR(__xludf.DUMMYFUNCTION("IFERROR(
  INDEX(
    QUERY(
      Historial!A:G,
      ""select G where B = '""&amp;A3&amp;""' order by A desc limit 1"",
      0
    ),
    1
  ),
  """"
)"),"")</f>
        <v/>
      </c>
      <c r="T3" s="20" t="str">
        <f t="shared" si="3"/>
        <v>✅ OK</v>
      </c>
      <c r="U3" s="20" t="str">
        <f t="shared" si="4"/>
        <v/>
      </c>
      <c r="V3" s="25">
        <v>0.0</v>
      </c>
      <c r="W3" s="26">
        <v>0.0</v>
      </c>
      <c r="X3" s="26">
        <v>0.0</v>
      </c>
      <c r="Y3" s="27"/>
      <c r="Z3" s="26">
        <v>21.0</v>
      </c>
      <c r="AA3" s="26">
        <v>0.0</v>
      </c>
      <c r="AB3" s="26">
        <v>0.0</v>
      </c>
      <c r="AC3" s="26">
        <v>41.0</v>
      </c>
      <c r="AD3" s="27"/>
      <c r="AE3" s="10" t="s">
        <v>38</v>
      </c>
      <c r="AF3" s="10" t="s">
        <v>44</v>
      </c>
      <c r="AG3" s="27"/>
    </row>
    <row r="4" ht="15.75" customHeight="1">
      <c r="A4" s="12" t="s">
        <v>45</v>
      </c>
      <c r="B4" s="13">
        <v>2000.0</v>
      </c>
      <c r="C4" s="14" t="s">
        <v>35</v>
      </c>
      <c r="D4" s="15" t="s">
        <v>46</v>
      </c>
      <c r="E4" s="14" t="s">
        <v>47</v>
      </c>
      <c r="F4" s="16">
        <v>23.0</v>
      </c>
      <c r="G4" s="17">
        <v>10.0</v>
      </c>
      <c r="H4" s="17">
        <v>0.0</v>
      </c>
      <c r="I4" s="18">
        <v>0.0</v>
      </c>
      <c r="J4" s="19" t="str">
        <f t="shared" si="1"/>
        <v>2da50off</v>
      </c>
      <c r="K4" s="20">
        <f t="shared" si="2"/>
        <v>1500</v>
      </c>
      <c r="L4" s="15"/>
      <c r="M4" s="20">
        <v>1.0</v>
      </c>
      <c r="N4" s="21">
        <v>0.0</v>
      </c>
      <c r="O4" s="22">
        <v>3.0</v>
      </c>
      <c r="P4" s="23">
        <f>IFERROR(__xludf.DUMMYFUNCTION("IFERROR(
  INDEX(
    QUERY(
      Historial!A:I,
      ""select I where B = '""&amp;A4&amp;""' order by A desc limit 1"",
      0
    ),
    1
  ),
  """"
)"),46404.0)</f>
        <v>46404</v>
      </c>
      <c r="Q4" s="19" t="s">
        <v>48</v>
      </c>
      <c r="R4" s="24">
        <v>46088.0</v>
      </c>
      <c r="S4" s="20">
        <f>IFERROR(__xludf.DUMMYFUNCTION("IFERROR(
  INDEX(
    QUERY(
      Historial!A:G,
      ""select G where B = '""&amp;A4&amp;""' order by A desc limit 1"",
      0
    ),
    1
  ),
  """"
)"),1000.0)</f>
        <v>1000</v>
      </c>
      <c r="T4" s="20" t="str">
        <f t="shared" si="3"/>
        <v>✅ OK</v>
      </c>
      <c r="U4" s="20" t="str">
        <f t="shared" si="4"/>
        <v/>
      </c>
      <c r="V4" s="25">
        <v>0.0</v>
      </c>
      <c r="W4" s="26">
        <v>0.0</v>
      </c>
      <c r="X4" s="26">
        <v>0.0</v>
      </c>
      <c r="Y4" s="27"/>
      <c r="Z4" s="26">
        <v>10.0</v>
      </c>
      <c r="AA4" s="26">
        <v>0.0</v>
      </c>
      <c r="AB4" s="26">
        <v>0.0</v>
      </c>
      <c r="AC4" s="26">
        <v>312.0</v>
      </c>
      <c r="AD4" s="27"/>
      <c r="AE4" s="10" t="s">
        <v>38</v>
      </c>
      <c r="AF4" s="10" t="s">
        <v>44</v>
      </c>
      <c r="AG4" s="27"/>
    </row>
    <row r="5" ht="15.75" customHeight="1">
      <c r="A5" s="28" t="s">
        <v>49</v>
      </c>
      <c r="B5" s="29">
        <v>2700.0</v>
      </c>
      <c r="C5" s="14" t="s">
        <v>35</v>
      </c>
      <c r="D5" s="15" t="s">
        <v>50</v>
      </c>
      <c r="E5" s="19" t="s">
        <v>47</v>
      </c>
      <c r="F5" s="30">
        <v>11.0</v>
      </c>
      <c r="G5" s="17">
        <v>10.0</v>
      </c>
      <c r="H5" s="17">
        <v>0.0</v>
      </c>
      <c r="I5" s="18">
        <v>0.0</v>
      </c>
      <c r="J5" s="19" t="str">
        <f t="shared" si="1"/>
        <v>2da50off</v>
      </c>
      <c r="K5" s="20">
        <f t="shared" si="2"/>
        <v>2025</v>
      </c>
      <c r="L5" s="15"/>
      <c r="M5" s="20"/>
      <c r="N5" s="21">
        <v>1.0</v>
      </c>
      <c r="O5" s="22">
        <v>2.0</v>
      </c>
      <c r="P5" s="23">
        <f>IFERROR(__xludf.DUMMYFUNCTION("IFERROR(
  INDEX(
    QUERY(
      Historial!A:I,
      ""select I where B = '""&amp;A5&amp;""' order by A desc limit 1"",
      0
    ),
    1
  ),
  """"
)"),46324.0)</f>
        <v>46324</v>
      </c>
      <c r="Q5" s="19" t="s">
        <v>51</v>
      </c>
      <c r="R5" s="24">
        <v>46089.0</v>
      </c>
      <c r="S5" s="20">
        <f>IFERROR(__xludf.DUMMYFUNCTION("IFERROR(
  INDEX(
    QUERY(
      Historial!A:G,
      ""select G where B = '""&amp;A5&amp;""' order by A desc limit 1"",
      0
    ),
    1
  ),
  """"
)"),1500.0)</f>
        <v>1500</v>
      </c>
      <c r="T5" s="20" t="str">
        <f t="shared" si="3"/>
        <v>✅ OK</v>
      </c>
      <c r="U5" s="20" t="str">
        <f t="shared" si="4"/>
        <v/>
      </c>
      <c r="V5" s="25">
        <v>0.0</v>
      </c>
      <c r="W5" s="26">
        <v>1.0</v>
      </c>
      <c r="X5" s="26">
        <v>0.013</v>
      </c>
      <c r="Y5" s="26">
        <v>846.1538461538462</v>
      </c>
      <c r="Z5" s="26">
        <v>14.0</v>
      </c>
      <c r="AA5" s="26">
        <v>0.13</v>
      </c>
      <c r="AB5" s="26">
        <v>0.0</v>
      </c>
      <c r="AC5" s="26">
        <v>232.0</v>
      </c>
      <c r="AD5" s="26">
        <v>846.1538461538462</v>
      </c>
      <c r="AE5" s="10" t="s">
        <v>52</v>
      </c>
      <c r="AF5" s="10" t="s">
        <v>53</v>
      </c>
      <c r="AG5" s="27"/>
    </row>
    <row r="6" ht="15.75" customHeight="1">
      <c r="A6" s="31" t="s">
        <v>54</v>
      </c>
      <c r="B6" s="20">
        <v>1000.0</v>
      </c>
      <c r="C6" s="14" t="s">
        <v>35</v>
      </c>
      <c r="D6" s="15" t="s">
        <v>55</v>
      </c>
      <c r="E6" s="20" t="s">
        <v>56</v>
      </c>
      <c r="F6" s="32">
        <v>7.0</v>
      </c>
      <c r="G6" s="33">
        <v>0.0</v>
      </c>
      <c r="H6" s="33">
        <v>0.0</v>
      </c>
      <c r="I6" s="29">
        <v>0.0</v>
      </c>
      <c r="J6" s="19" t="str">
        <f t="shared" si="1"/>
        <v>sin oferta</v>
      </c>
      <c r="K6" s="20" t="str">
        <f t="shared" si="2"/>
        <v>NORMAL / SIN OFERTA</v>
      </c>
      <c r="L6" s="15"/>
      <c r="M6" s="20"/>
      <c r="N6" s="21">
        <v>3.0</v>
      </c>
      <c r="O6" s="22">
        <v>3.0</v>
      </c>
      <c r="P6" s="23" t="str">
        <f>IFERROR(__xludf.DUMMYFUNCTION("IFERROR(
  INDEX(
    QUERY(
      Historial!A:I,
      ""select I where B = '""&amp;A6&amp;""' order by A desc limit 1"",
      0
    ),
    1
  ),
  """"
)"),"")</f>
        <v/>
      </c>
      <c r="Q6" s="19" t="s">
        <v>57</v>
      </c>
      <c r="R6" s="24">
        <v>46090.0</v>
      </c>
      <c r="S6" s="20" t="str">
        <f>IFERROR(__xludf.DUMMYFUNCTION("IFERROR(
  INDEX(
    QUERY(
      Historial!A:G,
      ""select G where B = '""&amp;A6&amp;""' order by A desc limit 1"",
      0
    ),
    1
  ),
  """"
)"),"")</f>
        <v/>
      </c>
      <c r="T6" s="20" t="str">
        <f t="shared" si="3"/>
        <v/>
      </c>
      <c r="U6" s="20" t="str">
        <f t="shared" si="4"/>
        <v/>
      </c>
      <c r="V6" s="25">
        <v>1.0</v>
      </c>
      <c r="W6" s="26">
        <v>3.0</v>
      </c>
      <c r="X6" s="26">
        <v>0.126</v>
      </c>
      <c r="Y6" s="26">
        <v>55.55555555555556</v>
      </c>
      <c r="Z6" s="26">
        <v>21.0</v>
      </c>
      <c r="AA6" s="26">
        <v>0.882</v>
      </c>
      <c r="AB6" s="26">
        <v>0.0</v>
      </c>
      <c r="AC6" s="27"/>
      <c r="AD6" s="26">
        <v>55.55555555555556</v>
      </c>
      <c r="AE6" s="10" t="s">
        <v>38</v>
      </c>
      <c r="AF6" s="10" t="s">
        <v>39</v>
      </c>
      <c r="AG6" s="27"/>
    </row>
    <row r="7" ht="15.75" customHeight="1">
      <c r="A7" s="34" t="s">
        <v>58</v>
      </c>
      <c r="B7" s="35">
        <v>1000.0</v>
      </c>
      <c r="C7" s="14" t="s">
        <v>35</v>
      </c>
      <c r="D7" s="15" t="s">
        <v>59</v>
      </c>
      <c r="E7" s="20" t="s">
        <v>56</v>
      </c>
      <c r="F7" s="36">
        <v>44.0</v>
      </c>
      <c r="G7" s="33">
        <v>0.0</v>
      </c>
      <c r="H7" s="33">
        <v>0.0</v>
      </c>
      <c r="I7" s="29">
        <v>0.0</v>
      </c>
      <c r="J7" s="19" t="str">
        <f t="shared" si="1"/>
        <v>sin oferta</v>
      </c>
      <c r="K7" s="20" t="str">
        <f t="shared" si="2"/>
        <v>NORMAL / SIN OFERTA</v>
      </c>
      <c r="L7" s="15"/>
      <c r="M7" s="20"/>
      <c r="N7" s="21">
        <v>4.0</v>
      </c>
      <c r="O7" s="22">
        <v>4.0</v>
      </c>
      <c r="P7" s="23" t="str">
        <f>IFERROR(__xludf.DUMMYFUNCTION("IFERROR(
  INDEX(
    QUERY(
      Historial!A:I,
      ""select I where B = '""&amp;A7&amp;""' order by A desc limit 1"",
      0
    ),
    1
  ),
  """"
)"),"")</f>
        <v/>
      </c>
      <c r="Q7" s="19" t="s">
        <v>60</v>
      </c>
      <c r="R7" s="24">
        <v>46091.0</v>
      </c>
      <c r="S7" s="20" t="str">
        <f>IFERROR(__xludf.DUMMYFUNCTION("IFERROR(
  INDEX(
    QUERY(
      Historial!A:G,
      ""select G where B = '""&amp;A7&amp;""' order by A desc limit 1"",
      0
    ),
    1
  ),
  """"
)"),"")</f>
        <v/>
      </c>
      <c r="T7" s="20" t="str">
        <f t="shared" si="3"/>
        <v/>
      </c>
      <c r="U7" s="20" t="str">
        <f t="shared" si="4"/>
        <v/>
      </c>
      <c r="V7" s="25">
        <v>1.0</v>
      </c>
      <c r="W7" s="26">
        <v>5.0</v>
      </c>
      <c r="X7" s="26">
        <v>0.152</v>
      </c>
      <c r="Y7" s="26">
        <v>289.4736842105263</v>
      </c>
      <c r="Z7" s="26">
        <v>21.0</v>
      </c>
      <c r="AA7" s="26">
        <v>1.064</v>
      </c>
      <c r="AB7" s="26">
        <v>0.0</v>
      </c>
      <c r="AC7" s="27"/>
      <c r="AD7" s="26">
        <v>289.4736842105263</v>
      </c>
      <c r="AE7" s="10" t="s">
        <v>38</v>
      </c>
      <c r="AF7" s="10" t="s">
        <v>39</v>
      </c>
      <c r="AG7" s="27"/>
    </row>
    <row r="8" ht="15.75" customHeight="1">
      <c r="A8" s="37" t="s">
        <v>61</v>
      </c>
      <c r="B8" s="38">
        <v>600.0</v>
      </c>
      <c r="C8" s="37" t="s">
        <v>35</v>
      </c>
      <c r="D8" s="15" t="s">
        <v>62</v>
      </c>
      <c r="E8" s="20" t="s">
        <v>42</v>
      </c>
      <c r="F8" s="39">
        <v>16.0</v>
      </c>
      <c r="G8" s="40">
        <v>0.0</v>
      </c>
      <c r="H8" s="40">
        <v>0.0</v>
      </c>
      <c r="I8" s="40">
        <v>0.0</v>
      </c>
      <c r="J8" s="19" t="str">
        <f t="shared" si="1"/>
        <v>sin oferta</v>
      </c>
      <c r="K8" s="20" t="str">
        <f t="shared" si="2"/>
        <v>NORMAL / SIN OFERTA</v>
      </c>
      <c r="L8" s="20">
        <v>0.0</v>
      </c>
      <c r="M8" s="20">
        <v>0.0</v>
      </c>
      <c r="N8" s="21">
        <v>2.0</v>
      </c>
      <c r="O8" s="22">
        <v>3.0</v>
      </c>
      <c r="P8" s="23" t="str">
        <f>IFERROR(__xludf.DUMMYFUNCTION("IFERROR(
  INDEX(
    QUERY(
      Historial!A:I,
      ""select I where B = '""&amp;A8&amp;""' order by A desc limit 1"",
      0
    ),
    1
  ),
  """"
)"),"")</f>
        <v/>
      </c>
      <c r="Q8" s="19" t="s">
        <v>63</v>
      </c>
      <c r="R8" s="24">
        <v>46092.0</v>
      </c>
      <c r="S8" s="20" t="str">
        <f>IFERROR(__xludf.DUMMYFUNCTION("IFERROR(
  INDEX(
    QUERY(
      Historial!A:G,
      ""select G where B = '""&amp;A8&amp;""' order by A desc limit 1"",
      0
    ),
    1
  ),
  """"
)"),"")</f>
        <v/>
      </c>
      <c r="T8" s="20" t="str">
        <f t="shared" si="3"/>
        <v/>
      </c>
      <c r="U8" s="20" t="str">
        <f t="shared" si="4"/>
        <v/>
      </c>
      <c r="V8" s="25">
        <v>0.0</v>
      </c>
      <c r="W8" s="26">
        <v>4.0</v>
      </c>
      <c r="X8" s="26">
        <v>0.053</v>
      </c>
      <c r="Y8" s="26">
        <v>301.8867924528302</v>
      </c>
      <c r="Z8" s="26">
        <v>21.0</v>
      </c>
      <c r="AA8" s="26">
        <v>0.371</v>
      </c>
      <c r="AB8" s="26">
        <v>0.0</v>
      </c>
      <c r="AC8" s="27"/>
      <c r="AD8" s="26">
        <v>301.8867924528302</v>
      </c>
      <c r="AE8" s="10" t="s">
        <v>38</v>
      </c>
      <c r="AF8" s="10" t="s">
        <v>39</v>
      </c>
      <c r="AG8" s="27"/>
    </row>
    <row r="9" ht="15.75" customHeight="1">
      <c r="A9" s="31" t="s">
        <v>64</v>
      </c>
      <c r="B9" s="40">
        <v>2500.0</v>
      </c>
      <c r="C9" s="20" t="s">
        <v>35</v>
      </c>
      <c r="D9" s="15" t="s">
        <v>65</v>
      </c>
      <c r="E9" s="20" t="s">
        <v>47</v>
      </c>
      <c r="F9" s="39">
        <v>8.0</v>
      </c>
      <c r="G9" s="40">
        <v>0.0</v>
      </c>
      <c r="H9" s="20">
        <v>0.0</v>
      </c>
      <c r="I9" s="20">
        <v>0.0</v>
      </c>
      <c r="J9" s="40">
        <v>0.0</v>
      </c>
      <c r="K9" s="20" t="str">
        <f t="shared" si="2"/>
        <v>NORMAL / SIN OFERTA</v>
      </c>
      <c r="L9" s="20">
        <v>0.0</v>
      </c>
      <c r="M9" s="20">
        <v>0.0</v>
      </c>
      <c r="N9" s="21">
        <v>0.0</v>
      </c>
      <c r="O9" s="22">
        <v>3.0</v>
      </c>
      <c r="P9" s="23" t="str">
        <f>IFERROR(__xludf.DUMMYFUNCTION("IFERROR(
  INDEX(
    QUERY(
      Historial!A:I,
      ""select I where B = '""&amp;A9&amp;""' order by A desc limit 1"",
      0
    ),
    1
  ),
  """"
)"),"")</f>
        <v/>
      </c>
      <c r="Q9" s="19" t="s">
        <v>48</v>
      </c>
      <c r="R9" s="24">
        <v>46095.0</v>
      </c>
      <c r="S9" s="20" t="str">
        <f>IFERROR(__xludf.DUMMYFUNCTION("IFERROR(
  INDEX(
    QUERY(
      Historial!A:G,
      ""select G where B = '""&amp;A9&amp;""' order by A desc limit 1"",
      0
    ),
    1
  ),
  """"
)"),"")</f>
        <v/>
      </c>
      <c r="T9" s="20" t="str">
        <f t="shared" si="3"/>
        <v/>
      </c>
      <c r="U9" s="20" t="str">
        <f t="shared" si="4"/>
        <v/>
      </c>
      <c r="V9" s="25">
        <v>0.0</v>
      </c>
      <c r="W9" s="26">
        <v>0.0</v>
      </c>
      <c r="X9" s="26">
        <v>0.0</v>
      </c>
      <c r="Y9" s="27"/>
      <c r="Z9" s="26">
        <v>21.0</v>
      </c>
      <c r="AA9" s="26">
        <v>0.0</v>
      </c>
      <c r="AB9" s="26">
        <v>0.0</v>
      </c>
      <c r="AC9" s="27"/>
      <c r="AD9" s="27"/>
      <c r="AE9" s="10" t="s">
        <v>38</v>
      </c>
      <c r="AF9" s="10" t="s">
        <v>44</v>
      </c>
      <c r="AG9" s="27"/>
    </row>
    <row r="10" ht="15.75" customHeight="1">
      <c r="A10" s="34" t="s">
        <v>66</v>
      </c>
      <c r="B10" s="35">
        <v>2500.0</v>
      </c>
      <c r="C10" s="14" t="s">
        <v>35</v>
      </c>
      <c r="D10" s="15" t="s">
        <v>67</v>
      </c>
      <c r="E10" s="15" t="s">
        <v>42</v>
      </c>
      <c r="F10" s="36">
        <v>15.0</v>
      </c>
      <c r="G10" s="33">
        <v>0.0</v>
      </c>
      <c r="H10" s="33">
        <v>0.0</v>
      </c>
      <c r="I10" s="29">
        <v>0.0</v>
      </c>
      <c r="J10" s="19" t="str">
        <f t="array" ref="J10">IF(
  A10="",
  "",
  IF(
    F10=0,
    "sin stock",
    IF(
      NOT(OR(I10=0,I10=1)),
      "ERROR ESPECIAL",
      IF(
        NOT(ISNUMBER(MATCH(G10,{0;1;2;3;4;5;6;10;11;12;13;14},0))),
        "ERROR RELAMPAGO",
        IF(
          OR(H10&gt;70,AND(H10&gt;0,H10&lt;15)),
          "ERROR DESTACADA",
          IF(
            (I10=1)+(H10&gt;0)+(G10&gt;0)&gt;1,
            "ERROR DOBLE OFERTA",
            IF(
              I10=1,
              "especial",
              IF(
                H10&gt;0,
                "destacada",
                IF(
                  G10&gt;0,
                  IF(
                    OR(
                      AND(G10&lt;=6,F10&lt;(G10+1)),
                      AND(G10=10,F10&lt;2),
                      AND(G10&gt;=11,F10&lt;1)
                    ),
                    "REPONER "&amp;
                    IF(G10&lt;=6,G10+1-F10,
                       IF(G10=10,2-F10,
                          1-F10
                       )
                    )&amp;
                    " PARA PROMO",
                    IF(
                      G10&lt;=6,
                      "relampago "&amp;(G10+1)&amp;"x"&amp;G10,
                      IF(
                        G10=10,
                        "2da50off",
                        IF(
                          G10&gt;=11,
                          "relampago "&amp;CHOOSE(G10-10,10,15,20,25)&amp;"%",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sin oferta</v>
      </c>
      <c r="K10" s="20" t="str">
        <f t="shared" si="2"/>
        <v>NORMAL / SIN OFERTA</v>
      </c>
      <c r="L10" s="15"/>
      <c r="M10" s="20"/>
      <c r="N10" s="21">
        <v>2.0</v>
      </c>
      <c r="O10" s="22">
        <v>3.0</v>
      </c>
      <c r="P10" s="23" t="str">
        <f>IFERROR(__xludf.DUMMYFUNCTION("IFERROR(
  INDEX(
    QUERY(
      Historial!A:I,
      ""select I where B = '""&amp;A10&amp;""' order by A desc limit 1"",
      0
    ),
    1
  ),
  """"
)"),"")</f>
        <v/>
      </c>
      <c r="Q10" s="19" t="s">
        <v>51</v>
      </c>
      <c r="R10" s="24">
        <v>46096.0</v>
      </c>
      <c r="S10" s="20" t="str">
        <f>IFERROR(__xludf.DUMMYFUNCTION("IFERROR(
  INDEX(
    QUERY(
      Historial!A:G,
      ""select G where B = '""&amp;A10&amp;""' order by A desc limit 1"",
      0
    ),
    1
  ),
  """"
)"),"")</f>
        <v/>
      </c>
      <c r="T10" s="20" t="str">
        <f t="shared" si="3"/>
        <v/>
      </c>
      <c r="U10" s="20" t="str">
        <f t="shared" si="4"/>
        <v/>
      </c>
      <c r="V10" s="25">
        <v>1.0</v>
      </c>
      <c r="W10" s="26">
        <v>3.0</v>
      </c>
      <c r="X10" s="26">
        <v>0.126</v>
      </c>
      <c r="Y10" s="26">
        <v>119.04761904761905</v>
      </c>
      <c r="Z10" s="26">
        <v>10.0</v>
      </c>
      <c r="AA10" s="26">
        <v>1.764</v>
      </c>
      <c r="AB10" s="26">
        <v>0.0</v>
      </c>
      <c r="AC10" s="27"/>
      <c r="AD10" s="26">
        <v>119.04761904761905</v>
      </c>
      <c r="AE10" s="10" t="s">
        <v>38</v>
      </c>
      <c r="AF10" s="10" t="s">
        <v>39</v>
      </c>
      <c r="AG10" s="27"/>
    </row>
    <row r="11" ht="15.75" customHeight="1">
      <c r="A11" s="31" t="s">
        <v>68</v>
      </c>
      <c r="B11" s="20">
        <v>2500.0</v>
      </c>
      <c r="C11" s="20" t="s">
        <v>35</v>
      </c>
      <c r="D11" s="15" t="s">
        <v>69</v>
      </c>
      <c r="E11" s="20" t="s">
        <v>47</v>
      </c>
      <c r="F11" s="39">
        <v>1.0</v>
      </c>
      <c r="G11" s="40">
        <v>0.0</v>
      </c>
      <c r="H11" s="40">
        <v>0.0</v>
      </c>
      <c r="I11" s="40">
        <v>0.0</v>
      </c>
      <c r="J11" s="19" t="str">
        <f t="shared" ref="J11:J55" si="5">IF(
A11="",
"",
IF(
F11=0,
"sin stock",
IF(
NOT(OR(I11=0,I11=1)),
"ERROR ESPECIAL",
IF(
NOT(ISNUMBER(MATCH(G11,{0;1;2;3;4;5;6;10;11;12;13;14},0))),
"ERROR RELAMPAGO",
IF(
OR(H11&gt;70,AND(H11&gt;0,H11&lt;15)),
"ERROR DESTACADA",
IF(
(I11=1)+(H11&gt;0)+(G11&gt;0)&gt;1,
"ERROR DOBLE OFERTA",
IF(
I11=1,
"especial",
IF(
H11&gt;0,
"destacada",
IF(
G11&gt;0,
IF(
OR(
AND(G11&lt;=6,F11&lt;(G11+1)),
AND(G11=10,F11&lt;2),
AND(G11&gt;=11,F11&lt;1)
),
"REPONER "&amp;
IF(G11&lt;=6,G11+1-F11,
IF(G11=10,2-F11,
1-
F11)
)&amp;
" PARA PROMO",
IF(
G11&lt;=6,
"relampago "&amp;(G11+1)&amp;"x"&amp;G11,
IF(
G11=10,
"2da50off",
IF(
G11&gt;=11,
"relampago "&amp;CHOOSE(G11-10,10,15,20,25)&amp;"%",
"relampago"
)
)
)
),
"sin oferta"
)
)
)
)
)
)
)
)
)</f>
        <v>sin oferta</v>
      </c>
      <c r="K11" s="20" t="str">
        <f t="shared" si="2"/>
        <v>NORMAL / SIN OFERTA</v>
      </c>
      <c r="L11" s="20">
        <v>0.0</v>
      </c>
      <c r="M11" s="20">
        <v>0.0</v>
      </c>
      <c r="N11" s="21">
        <v>1.0</v>
      </c>
      <c r="O11" s="22">
        <v>2.0</v>
      </c>
      <c r="P11" s="23" t="str">
        <f>IFERROR(__xludf.DUMMYFUNCTION("IFERROR(
  INDEX(
    QUERY(
      Historial!A:I,
      ""select I where B = '""&amp;A11&amp;""' order by A desc limit 1"",
      0
    ),
    1
  ),
  """"
)"),"")</f>
        <v/>
      </c>
      <c r="Q11" s="19" t="s">
        <v>60</v>
      </c>
      <c r="R11" s="24">
        <v>46098.0</v>
      </c>
      <c r="S11" s="20" t="str">
        <f>IFERROR(__xludf.DUMMYFUNCTION("IFERROR(
  INDEX(
    QUERY(
      Historial!A:G,
      ""select G where B = '""&amp;A11&amp;""' order by A desc limit 1"",
      0
    ),
    1
  ),
  """"
)"),"")</f>
        <v/>
      </c>
      <c r="T11" s="20" t="str">
        <f t="shared" si="3"/>
        <v/>
      </c>
      <c r="U11" s="20" t="str">
        <f t="shared" si="4"/>
        <v/>
      </c>
      <c r="V11" s="25">
        <v>0.0</v>
      </c>
      <c r="W11" s="26">
        <v>1.0</v>
      </c>
      <c r="X11" s="26">
        <v>0.013</v>
      </c>
      <c r="Y11" s="26">
        <v>76.92307692307692</v>
      </c>
      <c r="Z11" s="26">
        <v>21.0</v>
      </c>
      <c r="AA11" s="26">
        <v>0.091</v>
      </c>
      <c r="AB11" s="26">
        <v>0.0</v>
      </c>
      <c r="AC11" s="27"/>
      <c r="AD11" s="26">
        <v>76.92307692307692</v>
      </c>
      <c r="AE11" s="10" t="s">
        <v>38</v>
      </c>
      <c r="AF11" s="10" t="s">
        <v>39</v>
      </c>
      <c r="AG11" s="27"/>
    </row>
    <row r="12" ht="15.75" customHeight="1">
      <c r="A12" s="34" t="s">
        <v>70</v>
      </c>
      <c r="B12" s="35">
        <v>2500.0</v>
      </c>
      <c r="C12" s="14" t="s">
        <v>35</v>
      </c>
      <c r="D12" s="15" t="s">
        <v>71</v>
      </c>
      <c r="E12" s="15" t="s">
        <v>47</v>
      </c>
      <c r="F12" s="41">
        <v>4.0</v>
      </c>
      <c r="G12" s="33">
        <v>0.0</v>
      </c>
      <c r="H12" s="33">
        <v>0.0</v>
      </c>
      <c r="I12" s="29">
        <v>0.0</v>
      </c>
      <c r="J12" s="19" t="str">
        <f t="shared" si="5"/>
        <v>sin oferta</v>
      </c>
      <c r="K12" s="20" t="str">
        <f t="shared" si="2"/>
        <v>NORMAL / SIN OFERTA</v>
      </c>
      <c r="L12" s="15"/>
      <c r="M12" s="20">
        <v>1.0</v>
      </c>
      <c r="N12" s="21">
        <v>0.0</v>
      </c>
      <c r="O12" s="22">
        <v>2.0</v>
      </c>
      <c r="P12" s="23" t="str">
        <f>IFERROR(__xludf.DUMMYFUNCTION("IFERROR(
  INDEX(
    QUERY(
      Historial!A:I,
      ""select I where B = '""&amp;A12&amp;""' order by A desc limit 1"",
      0
    ),
    1
  ),
  """"
)"),"")</f>
        <v/>
      </c>
      <c r="Q12" s="19" t="s">
        <v>63</v>
      </c>
      <c r="R12" s="24">
        <v>46099.0</v>
      </c>
      <c r="S12" s="20">
        <f>IFERROR(__xludf.DUMMYFUNCTION("IFERROR(
  INDEX(
    QUERY(
      Historial!A:G,
      ""select G where B = '""&amp;A12&amp;""' order by A desc limit 1"",
      0
    ),
    1
  ),
  """"
)"),1389.0)</f>
        <v>1389</v>
      </c>
      <c r="T12" s="20" t="str">
        <f t="shared" si="3"/>
        <v/>
      </c>
      <c r="U12" s="20" t="str">
        <f t="shared" si="4"/>
        <v/>
      </c>
      <c r="V12" s="25">
        <v>0.0</v>
      </c>
      <c r="W12" s="26">
        <v>0.0</v>
      </c>
      <c r="X12" s="26">
        <v>0.0</v>
      </c>
      <c r="Y12" s="27"/>
      <c r="Z12" s="26">
        <v>21.0</v>
      </c>
      <c r="AA12" s="26">
        <v>0.0</v>
      </c>
      <c r="AB12" s="26">
        <v>0.0</v>
      </c>
      <c r="AC12" s="27"/>
      <c r="AD12" s="27"/>
      <c r="AE12" s="10" t="s">
        <v>38</v>
      </c>
      <c r="AF12" s="10" t="s">
        <v>44</v>
      </c>
      <c r="AG12" s="27"/>
    </row>
    <row r="13" ht="15.75" customHeight="1">
      <c r="A13" s="34" t="s">
        <v>72</v>
      </c>
      <c r="B13" s="35">
        <v>2000.0</v>
      </c>
      <c r="C13" s="14" t="s">
        <v>35</v>
      </c>
      <c r="D13" s="15" t="s">
        <v>73</v>
      </c>
      <c r="E13" s="15" t="s">
        <v>74</v>
      </c>
      <c r="F13" s="42">
        <v>9.0</v>
      </c>
      <c r="G13" s="33">
        <v>2.0</v>
      </c>
      <c r="H13" s="33">
        <v>0.0</v>
      </c>
      <c r="I13" s="29">
        <v>0.0</v>
      </c>
      <c r="J13" s="19" t="str">
        <f t="shared" si="5"/>
        <v>relampago 3x2</v>
      </c>
      <c r="K13" s="20">
        <f t="shared" si="2"/>
        <v>1333.4</v>
      </c>
      <c r="L13" s="15"/>
      <c r="M13" s="20">
        <v>1.0</v>
      </c>
      <c r="N13" s="21">
        <v>3.0</v>
      </c>
      <c r="O13" s="22">
        <v>4.0</v>
      </c>
      <c r="P13" s="23" t="str">
        <f>IFERROR(__xludf.DUMMYFUNCTION("IFERROR(
  INDEX(
    QUERY(
      Historial!A:I,
      ""select I where B = '""&amp;A13&amp;""' order by A desc limit 1"",
      0
    ),
    1
  ),
  """"
)"),"")</f>
        <v/>
      </c>
      <c r="Q13" s="19" t="s">
        <v>37</v>
      </c>
      <c r="R13" s="24">
        <v>46100.0</v>
      </c>
      <c r="S13" s="20" t="str">
        <f>IFERROR(__xludf.DUMMYFUNCTION("IFERROR(
  INDEX(
    QUERY(
      Historial!A:G,
      ""select G where B = '""&amp;A13&amp;""' order by A desc limit 1"",
      0
    ),
    1
  ),
  """"
)"),"")</f>
        <v/>
      </c>
      <c r="T13" s="20" t="str">
        <f t="shared" si="3"/>
        <v/>
      </c>
      <c r="U13" s="20" t="str">
        <f t="shared" si="4"/>
        <v/>
      </c>
      <c r="V13" s="25">
        <v>3.0</v>
      </c>
      <c r="W13" s="26">
        <v>7.0</v>
      </c>
      <c r="X13" s="26">
        <v>0.35</v>
      </c>
      <c r="Y13" s="26">
        <v>25.714285714285715</v>
      </c>
      <c r="Z13" s="26">
        <v>7.0</v>
      </c>
      <c r="AA13" s="26">
        <v>6.3</v>
      </c>
      <c r="AB13" s="26">
        <v>0.0</v>
      </c>
      <c r="AC13" s="27"/>
      <c r="AD13" s="26">
        <v>25.714285714285715</v>
      </c>
      <c r="AE13" s="10" t="s">
        <v>38</v>
      </c>
      <c r="AF13" s="10" t="s">
        <v>75</v>
      </c>
      <c r="AG13" s="27"/>
    </row>
    <row r="14" ht="15.75" customHeight="1">
      <c r="A14" s="34" t="s">
        <v>76</v>
      </c>
      <c r="B14" s="35">
        <v>2000.0</v>
      </c>
      <c r="C14" s="14" t="s">
        <v>35</v>
      </c>
      <c r="D14" s="15" t="s">
        <v>77</v>
      </c>
      <c r="E14" s="15" t="s">
        <v>74</v>
      </c>
      <c r="F14" s="42">
        <v>13.0</v>
      </c>
      <c r="G14" s="33">
        <v>2.0</v>
      </c>
      <c r="H14" s="33">
        <v>0.0</v>
      </c>
      <c r="I14" s="29">
        <v>0.0</v>
      </c>
      <c r="J14" s="19" t="str">
        <f t="shared" si="5"/>
        <v>relampago 3x2</v>
      </c>
      <c r="K14" s="20">
        <f t="shared" si="2"/>
        <v>1333.4</v>
      </c>
      <c r="L14" s="15"/>
      <c r="M14" s="20">
        <v>1.0</v>
      </c>
      <c r="N14" s="21">
        <v>2.0</v>
      </c>
      <c r="O14" s="22">
        <v>2.0</v>
      </c>
      <c r="P14" s="23" t="str">
        <f>IFERROR(__xludf.DUMMYFUNCTION("IFERROR(
  INDEX(
    QUERY(
      Historial!A:I,
      ""select I where B = '""&amp;A14&amp;""' order by A desc limit 1"",
      0
    ),
    1
  ),
  """"
)"),"")</f>
        <v/>
      </c>
      <c r="Q14" s="19" t="s">
        <v>43</v>
      </c>
      <c r="R14" s="24">
        <v>46101.0</v>
      </c>
      <c r="S14" s="20" t="str">
        <f>IFERROR(__xludf.DUMMYFUNCTION("IFERROR(
  INDEX(
    QUERY(
      Historial!A:G,
      ""select G where B = '""&amp;A14&amp;""' order by A desc limit 1"",
      0
    ),
    1
  ),
  """"
)"),"")</f>
        <v/>
      </c>
      <c r="T14" s="20" t="str">
        <f t="shared" si="3"/>
        <v/>
      </c>
      <c r="U14" s="20" t="str">
        <f t="shared" si="4"/>
        <v/>
      </c>
      <c r="V14" s="25">
        <v>1.0</v>
      </c>
      <c r="W14" s="26">
        <v>2.0</v>
      </c>
      <c r="X14" s="26">
        <v>0.112</v>
      </c>
      <c r="Y14" s="26">
        <v>116.07142857142857</v>
      </c>
      <c r="Z14" s="26">
        <v>14.0</v>
      </c>
      <c r="AA14" s="26">
        <v>1.12</v>
      </c>
      <c r="AB14" s="26">
        <v>0.0</v>
      </c>
      <c r="AC14" s="27"/>
      <c r="AD14" s="26">
        <v>116.07142857142857</v>
      </c>
      <c r="AE14" s="10" t="s">
        <v>38</v>
      </c>
      <c r="AF14" s="10" t="s">
        <v>39</v>
      </c>
      <c r="AG14" s="27"/>
    </row>
    <row r="15" ht="15.75" customHeight="1">
      <c r="A15" s="28" t="s">
        <v>78</v>
      </c>
      <c r="B15" s="29">
        <v>2500.0</v>
      </c>
      <c r="C15" s="14" t="s">
        <v>35</v>
      </c>
      <c r="D15" s="15" t="s">
        <v>79</v>
      </c>
      <c r="E15" s="19" t="s">
        <v>47</v>
      </c>
      <c r="F15" s="43">
        <v>3.0</v>
      </c>
      <c r="G15" s="17">
        <v>10.0</v>
      </c>
      <c r="H15" s="17">
        <v>0.0</v>
      </c>
      <c r="I15" s="18">
        <v>0.0</v>
      </c>
      <c r="J15" s="19" t="str">
        <f t="shared" si="5"/>
        <v>2da50off</v>
      </c>
      <c r="K15" s="20">
        <f t="shared" si="2"/>
        <v>1875</v>
      </c>
      <c r="L15" s="15"/>
      <c r="M15" s="20"/>
      <c r="N15" s="21">
        <v>1.0</v>
      </c>
      <c r="O15" s="22">
        <v>2.0</v>
      </c>
      <c r="P15" s="23" t="str">
        <f>IFERROR(__xludf.DUMMYFUNCTION("IFERROR(
  INDEX(
    QUERY(
      Historial!A:I,
      ""select I where B = '""&amp;A15&amp;""' order by A desc limit 1"",
      0
    ),
    1
  ),
  """"
)"),"")</f>
        <v/>
      </c>
      <c r="Q15" s="19" t="s">
        <v>48</v>
      </c>
      <c r="R15" s="24">
        <v>46102.0</v>
      </c>
      <c r="S15" s="20">
        <f>IFERROR(__xludf.DUMMYFUNCTION("IFERROR(
  INDEX(
    QUERY(
      Historial!A:G,
      ""select G where B = '""&amp;A15&amp;""' order by A desc limit 1"",
      0
    ),
    1
  ),
  """"
)"),1400.0)</f>
        <v>1400</v>
      </c>
      <c r="T15" s="20" t="str">
        <f t="shared" si="3"/>
        <v/>
      </c>
      <c r="U15" s="20" t="str">
        <f t="shared" si="4"/>
        <v/>
      </c>
      <c r="V15" s="25">
        <v>0.0</v>
      </c>
      <c r="W15" s="26">
        <v>1.0</v>
      </c>
      <c r="X15" s="26">
        <v>0.013</v>
      </c>
      <c r="Y15" s="26">
        <v>230.76923076923077</v>
      </c>
      <c r="Z15" s="26">
        <v>21.0</v>
      </c>
      <c r="AA15" s="26">
        <v>0.091</v>
      </c>
      <c r="AB15" s="26">
        <v>0.0</v>
      </c>
      <c r="AC15" s="27"/>
      <c r="AD15" s="26">
        <v>230.76923076923077</v>
      </c>
      <c r="AE15" s="10" t="s">
        <v>38</v>
      </c>
      <c r="AF15" s="10" t="s">
        <v>39</v>
      </c>
      <c r="AG15" s="27"/>
    </row>
    <row r="16" ht="15.75" customHeight="1">
      <c r="A16" s="34" t="s">
        <v>80</v>
      </c>
      <c r="B16" s="35">
        <v>2500.0</v>
      </c>
      <c r="C16" s="14" t="s">
        <v>35</v>
      </c>
      <c r="D16" s="15" t="s">
        <v>81</v>
      </c>
      <c r="E16" s="15" t="s">
        <v>47</v>
      </c>
      <c r="F16" s="44">
        <v>11.0</v>
      </c>
      <c r="G16" s="33">
        <v>2.0</v>
      </c>
      <c r="H16" s="33">
        <v>0.0</v>
      </c>
      <c r="I16" s="29">
        <v>0.0</v>
      </c>
      <c r="J16" s="19" t="str">
        <f t="shared" si="5"/>
        <v>relampago 3x2</v>
      </c>
      <c r="K16" s="20">
        <f t="shared" si="2"/>
        <v>1666.75</v>
      </c>
      <c r="L16" s="15"/>
      <c r="M16" s="20">
        <v>1.0</v>
      </c>
      <c r="N16" s="21">
        <v>1.0</v>
      </c>
      <c r="O16" s="22">
        <v>3.0</v>
      </c>
      <c r="P16" s="23">
        <f>IFERROR(__xludf.DUMMYFUNCTION("IFERROR(
  INDEX(
    QUERY(
      Historial!A:I,
      ""select I where B = '""&amp;A16&amp;""' order by A desc limit 1"",
      0
    ),
    1
  ),
  """"
)"),46346.0)</f>
        <v>46346</v>
      </c>
      <c r="Q16" s="19" t="s">
        <v>51</v>
      </c>
      <c r="R16" s="24">
        <v>46103.0</v>
      </c>
      <c r="S16" s="20" t="str">
        <f>IFERROR(__xludf.DUMMYFUNCTION("IFERROR(
  INDEX(
    QUERY(
      Historial!A:G,
      ""select G where B = '""&amp;A16&amp;""' order by A desc limit 1"",
      0
    ),
    1
  ),
  """"
)"),"")</f>
        <v/>
      </c>
      <c r="T16" s="20" t="str">
        <f t="shared" si="3"/>
        <v>✅ OK</v>
      </c>
      <c r="U16" s="20" t="str">
        <f t="shared" si="4"/>
        <v/>
      </c>
      <c r="V16" s="25">
        <v>0.0</v>
      </c>
      <c r="W16" s="26">
        <v>3.0</v>
      </c>
      <c r="X16" s="26">
        <v>0.04</v>
      </c>
      <c r="Y16" s="26">
        <v>275.0</v>
      </c>
      <c r="Z16" s="26">
        <v>21.0</v>
      </c>
      <c r="AA16" s="26">
        <v>0.28</v>
      </c>
      <c r="AB16" s="26">
        <v>0.0</v>
      </c>
      <c r="AC16" s="26">
        <v>254.0</v>
      </c>
      <c r="AD16" s="26">
        <v>275.0</v>
      </c>
      <c r="AE16" s="10" t="s">
        <v>52</v>
      </c>
      <c r="AF16" s="10" t="s">
        <v>53</v>
      </c>
      <c r="AG16" s="27"/>
    </row>
    <row r="17" ht="15.75" customHeight="1">
      <c r="A17" s="45" t="s">
        <v>82</v>
      </c>
      <c r="B17" s="46">
        <v>3500.0</v>
      </c>
      <c r="C17" s="47" t="s">
        <v>35</v>
      </c>
      <c r="D17" s="15" t="s">
        <v>83</v>
      </c>
      <c r="E17" s="47" t="s">
        <v>74</v>
      </c>
      <c r="F17" s="36">
        <v>6.0</v>
      </c>
      <c r="G17" s="17">
        <v>10.0</v>
      </c>
      <c r="H17" s="17">
        <v>0.0</v>
      </c>
      <c r="I17" s="18">
        <v>0.0</v>
      </c>
      <c r="J17" s="19" t="str">
        <f t="shared" si="5"/>
        <v>2da50off</v>
      </c>
      <c r="K17" s="20">
        <f t="shared" si="2"/>
        <v>2625</v>
      </c>
      <c r="L17" s="15"/>
      <c r="M17" s="20"/>
      <c r="N17" s="21">
        <v>7.0</v>
      </c>
      <c r="O17" s="22">
        <v>3.0</v>
      </c>
      <c r="P17" s="23">
        <f>IFERROR(__xludf.DUMMYFUNCTION("IFERROR(
  INDEX(
    QUERY(
      Historial!A:I,
      ""select I where B = '""&amp;A17&amp;""' order by A desc limit 1"",
      0
    ),
    1
  ),
  """"
)"),46185.0)</f>
        <v>46185</v>
      </c>
      <c r="Q17" s="19" t="s">
        <v>57</v>
      </c>
      <c r="R17" s="24">
        <v>46104.0</v>
      </c>
      <c r="S17" s="20">
        <f>IFERROR(__xludf.DUMMYFUNCTION("IFERROR(
  INDEX(
    QUERY(
      Historial!A:G,
      ""select G where B = '""&amp;A17&amp;""' order by A desc limit 1"",
      0
    ),
    1
  ),
  """"
)"),1599.0)</f>
        <v>1599</v>
      </c>
      <c r="T17" s="20" t="str">
        <f t="shared" si="3"/>
        <v>✅ OK</v>
      </c>
      <c r="U17" s="20" t="str">
        <f t="shared" si="4"/>
        <v/>
      </c>
      <c r="V17" s="25">
        <v>3.0</v>
      </c>
      <c r="W17" s="26">
        <v>3.0</v>
      </c>
      <c r="X17" s="26">
        <v>0.297</v>
      </c>
      <c r="Y17" s="26">
        <v>20.202020202020204</v>
      </c>
      <c r="Z17" s="26">
        <v>21.0</v>
      </c>
      <c r="AA17" s="26">
        <v>2.0789999999999997</v>
      </c>
      <c r="AB17" s="26">
        <v>1.0</v>
      </c>
      <c r="AC17" s="26">
        <v>93.0</v>
      </c>
      <c r="AD17" s="26">
        <v>20.202020202020204</v>
      </c>
      <c r="AE17" s="10" t="s">
        <v>38</v>
      </c>
      <c r="AF17" s="10" t="s">
        <v>39</v>
      </c>
      <c r="AG17" s="27"/>
    </row>
    <row r="18" ht="15.75" customHeight="1">
      <c r="A18" s="45" t="s">
        <v>84</v>
      </c>
      <c r="B18" s="46">
        <v>3500.0</v>
      </c>
      <c r="C18" s="47" t="s">
        <v>35</v>
      </c>
      <c r="D18" s="15" t="s">
        <v>85</v>
      </c>
      <c r="E18" s="47" t="s">
        <v>74</v>
      </c>
      <c r="F18" s="36">
        <v>5.0</v>
      </c>
      <c r="G18" s="17">
        <v>10.0</v>
      </c>
      <c r="H18" s="17">
        <v>0.0</v>
      </c>
      <c r="I18" s="18">
        <v>0.0</v>
      </c>
      <c r="J18" s="19" t="str">
        <f t="shared" si="5"/>
        <v>2da50off</v>
      </c>
      <c r="K18" s="20">
        <f t="shared" si="2"/>
        <v>2625</v>
      </c>
      <c r="L18" s="15"/>
      <c r="M18" s="20"/>
      <c r="N18" s="21">
        <v>0.0</v>
      </c>
      <c r="O18" s="22">
        <v>2.0</v>
      </c>
      <c r="P18" s="23">
        <f>IFERROR(__xludf.DUMMYFUNCTION("IFERROR(
  INDEX(
    QUERY(
      Historial!A:I,
      ""select I where B = '""&amp;A18&amp;""' order by A desc limit 1"",
      0
    ),
    1
  ),
  """"
)"),46171.0)</f>
        <v>46171</v>
      </c>
      <c r="Q18" s="19" t="s">
        <v>60</v>
      </c>
      <c r="R18" s="24">
        <v>46105.0</v>
      </c>
      <c r="S18" s="20">
        <f>IFERROR(__xludf.DUMMYFUNCTION("IFERROR(
  INDEX(
    QUERY(
      Historial!A:G,
      ""select G where B = '""&amp;A18&amp;""' order by A desc limit 1"",
      0
    ),
    1
  ),
  """"
)"),1599.0)</f>
        <v>1599</v>
      </c>
      <c r="T18" s="20" t="str">
        <f t="shared" si="3"/>
        <v>✅ OK</v>
      </c>
      <c r="U18" s="20" t="str">
        <f t="shared" si="4"/>
        <v/>
      </c>
      <c r="V18" s="25">
        <v>0.0</v>
      </c>
      <c r="W18" s="26">
        <v>0.0</v>
      </c>
      <c r="X18" s="26">
        <v>0.0</v>
      </c>
      <c r="Y18" s="27"/>
      <c r="Z18" s="26">
        <v>21.0</v>
      </c>
      <c r="AA18" s="26">
        <v>0.0</v>
      </c>
      <c r="AB18" s="26">
        <v>0.0</v>
      </c>
      <c r="AC18" s="26">
        <v>79.0</v>
      </c>
      <c r="AD18" s="27"/>
      <c r="AE18" s="10" t="s">
        <v>38</v>
      </c>
      <c r="AF18" s="10" t="s">
        <v>44</v>
      </c>
      <c r="AG18" s="27"/>
    </row>
    <row r="19" ht="15.75" customHeight="1">
      <c r="A19" s="48" t="s">
        <v>86</v>
      </c>
      <c r="B19" s="49">
        <v>5000.0</v>
      </c>
      <c r="C19" s="50" t="s">
        <v>87</v>
      </c>
      <c r="D19" s="15" t="s">
        <v>88</v>
      </c>
      <c r="E19" s="50" t="s">
        <v>47</v>
      </c>
      <c r="F19" s="41">
        <v>6.0</v>
      </c>
      <c r="G19" s="51">
        <v>0.0</v>
      </c>
      <c r="H19" s="51">
        <v>0.0</v>
      </c>
      <c r="I19" s="52">
        <v>1.0</v>
      </c>
      <c r="J19" s="19" t="str">
        <f t="shared" si="5"/>
        <v>especial</v>
      </c>
      <c r="K19" s="20">
        <f t="shared" si="2"/>
        <v>4500</v>
      </c>
      <c r="L19" s="15"/>
      <c r="M19" s="20"/>
      <c r="N19" s="21">
        <v>1.0</v>
      </c>
      <c r="O19" s="22">
        <v>3.0</v>
      </c>
      <c r="P19" s="23">
        <f>IFERROR(__xludf.DUMMYFUNCTION("IFERROR(
  INDEX(
    QUERY(
      Historial!A:I,
      ""select I where B = '""&amp;A19&amp;""' order by A desc limit 1"",
      0
    ),
    1
  ),
  """"
)"),46750.0)</f>
        <v>46750</v>
      </c>
      <c r="Q19" s="19" t="s">
        <v>37</v>
      </c>
      <c r="R19" s="24">
        <v>46107.0</v>
      </c>
      <c r="S19" s="20">
        <f>IFERROR(__xludf.DUMMYFUNCTION("IFERROR(
  INDEX(
    QUERY(
      Historial!A:G,
      ""select G where B = '""&amp;A19&amp;""' order by A desc limit 1"",
      0
    ),
    1
  ),
  """"
)"),2870.0)</f>
        <v>2870</v>
      </c>
      <c r="T19" s="20" t="str">
        <f t="shared" si="3"/>
        <v>✅ OK</v>
      </c>
      <c r="U19" s="20" t="str">
        <f t="shared" si="4"/>
        <v/>
      </c>
      <c r="V19" s="25">
        <v>0.0</v>
      </c>
      <c r="W19" s="26">
        <v>3.0</v>
      </c>
      <c r="X19" s="26">
        <v>0.04</v>
      </c>
      <c r="Y19" s="26">
        <v>150.0</v>
      </c>
      <c r="Z19" s="26">
        <v>10.0</v>
      </c>
      <c r="AA19" s="26">
        <v>0.56</v>
      </c>
      <c r="AB19" s="26">
        <v>0.0</v>
      </c>
      <c r="AC19" s="26">
        <v>658.0</v>
      </c>
      <c r="AD19" s="26">
        <v>150.0</v>
      </c>
      <c r="AE19" s="10" t="s">
        <v>38</v>
      </c>
      <c r="AF19" s="10" t="s">
        <v>39</v>
      </c>
      <c r="AG19" s="27"/>
    </row>
    <row r="20" ht="15.75" customHeight="1">
      <c r="A20" s="34" t="s">
        <v>89</v>
      </c>
      <c r="B20" s="46">
        <v>3000.0</v>
      </c>
      <c r="C20" s="47" t="s">
        <v>87</v>
      </c>
      <c r="D20" s="15" t="s">
        <v>90</v>
      </c>
      <c r="E20" s="47" t="s">
        <v>74</v>
      </c>
      <c r="F20" s="36">
        <v>10.0</v>
      </c>
      <c r="G20" s="33">
        <v>0.0</v>
      </c>
      <c r="H20" s="33">
        <v>0.0</v>
      </c>
      <c r="I20" s="29">
        <v>1.0</v>
      </c>
      <c r="J20" s="19" t="str">
        <f t="shared" si="5"/>
        <v>especial</v>
      </c>
      <c r="K20" s="20">
        <f t="shared" si="2"/>
        <v>2700</v>
      </c>
      <c r="L20" s="15"/>
      <c r="M20" s="20"/>
      <c r="N20" s="21">
        <v>0.0</v>
      </c>
      <c r="O20" s="22">
        <v>2.0</v>
      </c>
      <c r="P20" s="23">
        <f>IFERROR(__xludf.DUMMYFUNCTION("IFERROR(
  INDEX(
    QUERY(
      Historial!A:I,
      ""select I where B = '""&amp;A20&amp;""' order by A desc limit 1"",
      0
    ),
    1
  ),
  """"
)"),46971.0)</f>
        <v>46971</v>
      </c>
      <c r="Q20" s="19" t="s">
        <v>51</v>
      </c>
      <c r="R20" s="24">
        <v>46110.0</v>
      </c>
      <c r="S20" s="20">
        <f>IFERROR(__xludf.DUMMYFUNCTION("IFERROR(
  INDEX(
    QUERY(
      Historial!A:G,
      ""select G where B = '""&amp;A20&amp;""' order by A desc limit 1"",
      0
    ),
    1
  ),
  """"
)"),2002.0)</f>
        <v>2002</v>
      </c>
      <c r="T20" s="20" t="str">
        <f t="shared" si="3"/>
        <v>✅ OK</v>
      </c>
      <c r="U20" s="20" t="str">
        <f t="shared" si="4"/>
        <v/>
      </c>
      <c r="V20" s="25">
        <v>0.0</v>
      </c>
      <c r="W20" s="26">
        <v>0.0</v>
      </c>
      <c r="X20" s="26">
        <v>0.0</v>
      </c>
      <c r="Y20" s="27"/>
      <c r="Z20" s="26">
        <v>21.0</v>
      </c>
      <c r="AA20" s="26">
        <v>0.0</v>
      </c>
      <c r="AB20" s="26">
        <v>0.0</v>
      </c>
      <c r="AC20" s="26">
        <v>879.0</v>
      </c>
      <c r="AD20" s="27"/>
      <c r="AE20" s="10" t="s">
        <v>38</v>
      </c>
      <c r="AF20" s="10" t="s">
        <v>44</v>
      </c>
      <c r="AG20" s="27"/>
    </row>
    <row r="21" ht="15.75" customHeight="1">
      <c r="A21" s="31" t="s">
        <v>91</v>
      </c>
      <c r="B21" s="20">
        <v>3500.0</v>
      </c>
      <c r="C21" s="20" t="s">
        <v>87</v>
      </c>
      <c r="D21" s="15" t="s">
        <v>92</v>
      </c>
      <c r="E21" s="15" t="s">
        <v>74</v>
      </c>
      <c r="F21" s="36">
        <v>23.0</v>
      </c>
      <c r="G21" s="33">
        <v>0.0</v>
      </c>
      <c r="H21" s="33">
        <v>0.0</v>
      </c>
      <c r="I21" s="29">
        <v>0.0</v>
      </c>
      <c r="J21" s="19" t="str">
        <f t="shared" si="5"/>
        <v>sin oferta</v>
      </c>
      <c r="K21" s="20" t="str">
        <f t="shared" si="2"/>
        <v>NORMAL / SIN OFERTA</v>
      </c>
      <c r="L21" s="15">
        <v>0.0</v>
      </c>
      <c r="M21" s="20"/>
      <c r="N21" s="21">
        <v>0.0</v>
      </c>
      <c r="O21" s="22">
        <v>2.0</v>
      </c>
      <c r="P21" s="23" t="str">
        <f>IFERROR(__xludf.DUMMYFUNCTION("IFERROR(
  INDEX(
    QUERY(
      Historial!A:I,
      ""select I where B = '""&amp;A21&amp;""' order by A desc limit 1"",
      0
    ),
    1
  ),
  """"
)"),"")</f>
        <v/>
      </c>
      <c r="Q21" s="19" t="s">
        <v>60</v>
      </c>
      <c r="R21" s="24">
        <v>46112.0</v>
      </c>
      <c r="S21" s="20" t="str">
        <f>IFERROR(__xludf.DUMMYFUNCTION("IFERROR(
  INDEX(
    QUERY(
      Historial!A:G,
      ""select G where B = '""&amp;A21&amp;""' order by A desc limit 1"",
      0
    ),
    1
  ),
  """"
)"),"")</f>
        <v/>
      </c>
      <c r="T21" s="20" t="str">
        <f t="shared" si="3"/>
        <v/>
      </c>
      <c r="U21" s="20" t="str">
        <f t="shared" si="4"/>
        <v/>
      </c>
      <c r="V21" s="25">
        <v>0.0</v>
      </c>
      <c r="W21" s="26">
        <v>0.0</v>
      </c>
      <c r="X21" s="26">
        <v>0.0</v>
      </c>
      <c r="Y21" s="27"/>
      <c r="Z21" s="26">
        <v>14.0</v>
      </c>
      <c r="AA21" s="26">
        <v>0.0</v>
      </c>
      <c r="AB21" s="26">
        <v>0.0</v>
      </c>
      <c r="AC21" s="27"/>
      <c r="AD21" s="27"/>
      <c r="AE21" s="10" t="s">
        <v>38</v>
      </c>
      <c r="AF21" s="10" t="s">
        <v>44</v>
      </c>
      <c r="AG21" s="27"/>
    </row>
    <row r="22" ht="15.75" customHeight="1">
      <c r="A22" s="34" t="s">
        <v>93</v>
      </c>
      <c r="B22" s="35">
        <v>4000.0</v>
      </c>
      <c r="C22" s="15" t="s">
        <v>87</v>
      </c>
      <c r="D22" s="15" t="s">
        <v>94</v>
      </c>
      <c r="E22" s="15"/>
      <c r="F22" s="41">
        <v>1.0</v>
      </c>
      <c r="G22" s="33">
        <v>0.0</v>
      </c>
      <c r="H22" s="33">
        <v>0.0</v>
      </c>
      <c r="I22" s="29">
        <v>0.0</v>
      </c>
      <c r="J22" s="19" t="str">
        <f t="shared" si="5"/>
        <v>sin oferta</v>
      </c>
      <c r="K22" s="20" t="str">
        <f t="shared" si="2"/>
        <v>NORMAL / SIN OFERTA</v>
      </c>
      <c r="L22" s="15"/>
      <c r="M22" s="19"/>
      <c r="N22" s="21">
        <v>1.0</v>
      </c>
      <c r="O22" s="22">
        <v>2.0</v>
      </c>
      <c r="P22" s="23" t="str">
        <f>IFERROR(__xludf.DUMMYFUNCTION("IFERROR(
  INDEX(
    QUERY(
      Historial!A:I,
      ""select I where B = '""&amp;A22&amp;""' order by A desc limit 1"",
      0
    ),
    1
  ),
  """"
)"),"")</f>
        <v/>
      </c>
      <c r="Q22" s="19" t="s">
        <v>48</v>
      </c>
      <c r="R22" s="24">
        <v>46116.0</v>
      </c>
      <c r="S22" s="20" t="str">
        <f>IFERROR(__xludf.DUMMYFUNCTION("IFERROR(
  INDEX(
    QUERY(
      Historial!A:G,
      ""select G where B = '""&amp;A22&amp;""' order by A desc limit 1"",
      0
    ),
    1
  ),
  """"
)"),"")</f>
        <v/>
      </c>
      <c r="T22" s="20" t="str">
        <f t="shared" si="3"/>
        <v/>
      </c>
      <c r="U22" s="20" t="str">
        <f t="shared" si="4"/>
        <v/>
      </c>
      <c r="V22" s="25">
        <v>0.0</v>
      </c>
      <c r="W22" s="26">
        <v>1.0</v>
      </c>
      <c r="X22" s="26">
        <v>0.013</v>
      </c>
      <c r="Y22" s="26">
        <v>76.92307692307692</v>
      </c>
      <c r="Z22" s="26">
        <v>14.0</v>
      </c>
      <c r="AA22" s="26">
        <v>0.13</v>
      </c>
      <c r="AB22" s="26">
        <v>0.0</v>
      </c>
      <c r="AC22" s="27"/>
      <c r="AD22" s="26">
        <v>76.92307692307692</v>
      </c>
      <c r="AE22" s="10" t="s">
        <v>38</v>
      </c>
      <c r="AF22" s="10" t="s">
        <v>39</v>
      </c>
      <c r="AG22" s="27"/>
    </row>
    <row r="23" ht="15.75" customHeight="1">
      <c r="A23" s="34" t="s">
        <v>95</v>
      </c>
      <c r="B23" s="35">
        <v>3000.0</v>
      </c>
      <c r="C23" s="15" t="s">
        <v>87</v>
      </c>
      <c r="D23" s="15" t="s">
        <v>96</v>
      </c>
      <c r="E23" s="15"/>
      <c r="F23" s="41">
        <v>9.0</v>
      </c>
      <c r="G23" s="33">
        <v>2.0</v>
      </c>
      <c r="H23" s="33">
        <v>0.0</v>
      </c>
      <c r="I23" s="29">
        <v>0.0</v>
      </c>
      <c r="J23" s="19" t="str">
        <f t="shared" si="5"/>
        <v>relampago 3x2</v>
      </c>
      <c r="K23" s="20">
        <f t="shared" si="2"/>
        <v>2000.1</v>
      </c>
      <c r="L23" s="15"/>
      <c r="M23" s="20"/>
      <c r="N23" s="21">
        <v>0.0</v>
      </c>
      <c r="O23" s="22">
        <v>3.0</v>
      </c>
      <c r="P23" s="23" t="str">
        <f>IFERROR(__xludf.DUMMYFUNCTION("IFERROR(
  INDEX(
    QUERY(
      Historial!A:I,
      ""select I where B = '""&amp;A23&amp;""' order by A desc limit 1"",
      0
    ),
    1
  ),
  """"
)"),"")</f>
        <v/>
      </c>
      <c r="Q23" s="19" t="s">
        <v>60</v>
      </c>
      <c r="R23" s="24">
        <v>46119.0</v>
      </c>
      <c r="S23" s="20" t="str">
        <f>IFERROR(__xludf.DUMMYFUNCTION("IFERROR(
  INDEX(
    QUERY(
      Historial!A:G,
      ""select G where B = '""&amp;A23&amp;""' order by A desc limit 1"",
      0
    ),
    1
  ),
  """"
)"),"")</f>
        <v/>
      </c>
      <c r="T23" s="20" t="str">
        <f t="shared" si="3"/>
        <v/>
      </c>
      <c r="U23" s="20" t="str">
        <f t="shared" si="4"/>
        <v/>
      </c>
      <c r="V23" s="25">
        <v>0.0</v>
      </c>
      <c r="W23" s="26">
        <v>0.0</v>
      </c>
      <c r="X23" s="26">
        <v>0.0</v>
      </c>
      <c r="Y23" s="27"/>
      <c r="Z23" s="26">
        <v>21.0</v>
      </c>
      <c r="AA23" s="26">
        <v>0.0</v>
      </c>
      <c r="AB23" s="26">
        <v>0.0</v>
      </c>
      <c r="AC23" s="27"/>
      <c r="AD23" s="27"/>
      <c r="AE23" s="10" t="s">
        <v>38</v>
      </c>
      <c r="AF23" s="10" t="s">
        <v>44</v>
      </c>
      <c r="AG23" s="27"/>
    </row>
    <row r="24" ht="15.75" customHeight="1">
      <c r="A24" s="34" t="s">
        <v>97</v>
      </c>
      <c r="B24" s="35">
        <v>2500.0</v>
      </c>
      <c r="C24" s="15" t="s">
        <v>87</v>
      </c>
      <c r="D24" s="15" t="s">
        <v>98</v>
      </c>
      <c r="E24" s="15"/>
      <c r="F24" s="41">
        <v>10.0</v>
      </c>
      <c r="G24" s="17">
        <v>2.0</v>
      </c>
      <c r="H24" s="17">
        <v>0.0</v>
      </c>
      <c r="I24" s="18">
        <v>0.0</v>
      </c>
      <c r="J24" s="19" t="str">
        <f t="shared" si="5"/>
        <v>relampago 3x2</v>
      </c>
      <c r="K24" s="20">
        <f t="shared" si="2"/>
        <v>1666.75</v>
      </c>
      <c r="L24" s="15"/>
      <c r="M24" s="20"/>
      <c r="N24" s="21">
        <v>0.0</v>
      </c>
      <c r="O24" s="22">
        <v>3.0</v>
      </c>
      <c r="P24" s="23" t="str">
        <f>IFERROR(__xludf.DUMMYFUNCTION("IFERROR(
  INDEX(
    QUERY(
      Historial!A:I,
      ""select I where B = '""&amp;A24&amp;""' order by A desc limit 1"",
      0
    ),
    1
  ),
  """"
)"),"")</f>
        <v/>
      </c>
      <c r="Q24" s="19" t="s">
        <v>63</v>
      </c>
      <c r="R24" s="24">
        <v>46120.0</v>
      </c>
      <c r="S24" s="20" t="str">
        <f>IFERROR(__xludf.DUMMYFUNCTION("IFERROR(
  INDEX(
    QUERY(
      Historial!A:G,
      ""select G where B = '""&amp;A24&amp;""' order by A desc limit 1"",
      0
    ),
    1
  ),
  """"
)"),"")</f>
        <v/>
      </c>
      <c r="T24" s="20" t="str">
        <f t="shared" si="3"/>
        <v/>
      </c>
      <c r="U24" s="20" t="str">
        <f t="shared" si="4"/>
        <v/>
      </c>
      <c r="V24" s="25">
        <v>0.0</v>
      </c>
      <c r="W24" s="26">
        <v>0.0</v>
      </c>
      <c r="X24" s="26">
        <v>0.0</v>
      </c>
      <c r="Y24" s="27"/>
      <c r="Z24" s="26">
        <v>10.0</v>
      </c>
      <c r="AA24" s="26">
        <v>0.0</v>
      </c>
      <c r="AB24" s="26">
        <v>0.0</v>
      </c>
      <c r="AC24" s="27"/>
      <c r="AD24" s="27"/>
      <c r="AE24" s="10" t="s">
        <v>38</v>
      </c>
      <c r="AF24" s="10" t="s">
        <v>44</v>
      </c>
      <c r="AG24" s="27"/>
    </row>
    <row r="25" ht="15.75" customHeight="1">
      <c r="A25" s="31" t="s">
        <v>99</v>
      </c>
      <c r="B25" s="29">
        <v>2000.0</v>
      </c>
      <c r="C25" s="19" t="s">
        <v>87</v>
      </c>
      <c r="D25" s="15" t="s">
        <v>100</v>
      </c>
      <c r="E25" s="19" t="s">
        <v>74</v>
      </c>
      <c r="F25" s="53">
        <v>10.0</v>
      </c>
      <c r="G25" s="33">
        <v>0.0</v>
      </c>
      <c r="H25" s="33">
        <v>0.0</v>
      </c>
      <c r="I25" s="29">
        <v>0.0</v>
      </c>
      <c r="J25" s="19" t="str">
        <f t="shared" si="5"/>
        <v>sin oferta</v>
      </c>
      <c r="K25" s="20" t="str">
        <f t="shared" si="2"/>
        <v>NORMAL / SIN OFERTA</v>
      </c>
      <c r="L25" s="15"/>
      <c r="M25" s="20"/>
      <c r="N25" s="21">
        <v>1.0</v>
      </c>
      <c r="O25" s="22">
        <v>2.0</v>
      </c>
      <c r="P25" s="23" t="str">
        <f>IFERROR(__xludf.DUMMYFUNCTION("IFERROR(
  INDEX(
    QUERY(
      Historial!A:I,
      ""select I where B = '""&amp;A25&amp;""' order by A desc limit 1"",
      0
    ),
    1
  ),
  """"
)"),"")</f>
        <v/>
      </c>
      <c r="Q25" s="19" t="s">
        <v>37</v>
      </c>
      <c r="R25" s="24">
        <v>46121.0</v>
      </c>
      <c r="S25" s="20">
        <f>IFERROR(__xludf.DUMMYFUNCTION("IFERROR(
  INDEX(
    QUERY(
      Historial!A:G,
      ""select G where B = '""&amp;A25&amp;""' order by A desc limit 1"",
      0
    ),
    1
  ),
  """"
)"),1000.0)</f>
        <v>1000</v>
      </c>
      <c r="T25" s="20" t="str">
        <f t="shared" si="3"/>
        <v/>
      </c>
      <c r="U25" s="20" t="str">
        <f t="shared" si="4"/>
        <v/>
      </c>
      <c r="V25" s="25">
        <v>0.0</v>
      </c>
      <c r="W25" s="26">
        <v>1.0</v>
      </c>
      <c r="X25" s="26">
        <v>0.013</v>
      </c>
      <c r="Y25" s="26">
        <v>769.2307692307693</v>
      </c>
      <c r="Z25" s="26">
        <v>14.0</v>
      </c>
      <c r="AA25" s="26">
        <v>0.13</v>
      </c>
      <c r="AB25" s="26">
        <v>0.0</v>
      </c>
      <c r="AC25" s="27"/>
      <c r="AD25" s="26">
        <v>769.2307692307693</v>
      </c>
      <c r="AE25" s="10" t="s">
        <v>38</v>
      </c>
      <c r="AF25" s="10" t="s">
        <v>39</v>
      </c>
      <c r="AG25" s="27"/>
    </row>
    <row r="26" ht="15.75" customHeight="1">
      <c r="A26" s="34" t="s">
        <v>101</v>
      </c>
      <c r="B26" s="35">
        <v>2900.0</v>
      </c>
      <c r="C26" s="15" t="s">
        <v>87</v>
      </c>
      <c r="D26" s="15" t="s">
        <v>102</v>
      </c>
      <c r="E26" s="15"/>
      <c r="F26" s="41">
        <v>9.0</v>
      </c>
      <c r="G26" s="33">
        <v>1.0</v>
      </c>
      <c r="H26" s="33">
        <v>0.0</v>
      </c>
      <c r="I26" s="29">
        <v>0.0</v>
      </c>
      <c r="J26" s="19" t="str">
        <f t="shared" si="5"/>
        <v>relampago 2x1</v>
      </c>
      <c r="K26" s="20">
        <f t="shared" si="2"/>
        <v>1450</v>
      </c>
      <c r="L26" s="15"/>
      <c r="M26" s="20"/>
      <c r="N26" s="21">
        <v>1.0</v>
      </c>
      <c r="O26" s="22">
        <v>2.0</v>
      </c>
      <c r="P26" s="23" t="str">
        <f>IFERROR(__xludf.DUMMYFUNCTION("IFERROR(
  INDEX(
    QUERY(
      Historial!A:I,
      ""select I where B = '""&amp;A26&amp;""' order by A desc limit 1"",
      0
    ),
    1
  ),
  """"
)"),"")</f>
        <v/>
      </c>
      <c r="Q26" s="19" t="s">
        <v>43</v>
      </c>
      <c r="R26" s="24">
        <v>46122.0</v>
      </c>
      <c r="S26" s="20" t="str">
        <f>IFERROR(__xludf.DUMMYFUNCTION("IFERROR(
  INDEX(
    QUERY(
      Historial!A:G,
      ""select G where B = '""&amp;A26&amp;""' order by A desc limit 1"",
      0
    ),
    1
  ),
  """"
)"),"")</f>
        <v/>
      </c>
      <c r="T26" s="20" t="str">
        <f t="shared" si="3"/>
        <v/>
      </c>
      <c r="U26" s="20" t="str">
        <f t="shared" si="4"/>
        <v/>
      </c>
      <c r="V26" s="25">
        <v>0.0</v>
      </c>
      <c r="W26" s="26">
        <v>1.0</v>
      </c>
      <c r="X26" s="26">
        <v>0.013</v>
      </c>
      <c r="Y26" s="26">
        <v>692.3076923076924</v>
      </c>
      <c r="Z26" s="26">
        <v>21.0</v>
      </c>
      <c r="AA26" s="26">
        <v>0.091</v>
      </c>
      <c r="AB26" s="26">
        <v>0.0</v>
      </c>
      <c r="AC26" s="27"/>
      <c r="AD26" s="26">
        <v>692.3076923076924</v>
      </c>
      <c r="AE26" s="10" t="s">
        <v>38</v>
      </c>
      <c r="AF26" s="10" t="s">
        <v>39</v>
      </c>
      <c r="AG26" s="27"/>
    </row>
    <row r="27" ht="15.75" customHeight="1">
      <c r="A27" s="34" t="s">
        <v>103</v>
      </c>
      <c r="B27" s="46">
        <v>1000.0</v>
      </c>
      <c r="C27" s="47" t="s">
        <v>87</v>
      </c>
      <c r="D27" s="15" t="s">
        <v>104</v>
      </c>
      <c r="E27" s="47" t="s">
        <v>74</v>
      </c>
      <c r="F27" s="36">
        <v>9.0</v>
      </c>
      <c r="G27" s="33">
        <v>0.0</v>
      </c>
      <c r="H27" s="33">
        <v>0.0</v>
      </c>
      <c r="I27" s="29">
        <v>0.0</v>
      </c>
      <c r="J27" s="19" t="str">
        <f t="shared" si="5"/>
        <v>sin oferta</v>
      </c>
      <c r="K27" s="20" t="str">
        <f t="shared" si="2"/>
        <v>NORMAL / SIN OFERTA</v>
      </c>
      <c r="L27" s="15"/>
      <c r="M27" s="14"/>
      <c r="N27" s="21">
        <v>0.0</v>
      </c>
      <c r="O27" s="22">
        <v>3.0</v>
      </c>
      <c r="P27" s="23">
        <f>IFERROR(__xludf.DUMMYFUNCTION("IFERROR(
  INDEX(
    QUERY(
      Historial!A:I,
      ""select I where B = '""&amp;A27&amp;""' order by A desc limit 1"",
      0
    ),
    1
  ),
  """"
)"),47118.0)</f>
        <v>47118</v>
      </c>
      <c r="Q27" s="19" t="s">
        <v>51</v>
      </c>
      <c r="R27" s="24">
        <v>46124.0</v>
      </c>
      <c r="S27" s="20">
        <f>IFERROR(__xludf.DUMMYFUNCTION("IFERROR(
  INDEX(
    QUERY(
      Historial!A:G,
      ""select G where B = '""&amp;A27&amp;""' order by A desc limit 1"",
      0
    ),
    1
  ),
  """"
)"),586.0)</f>
        <v>586</v>
      </c>
      <c r="T27" s="20" t="str">
        <f t="shared" si="3"/>
        <v>✅ OK</v>
      </c>
      <c r="U27" s="20" t="str">
        <f t="shared" si="4"/>
        <v/>
      </c>
      <c r="V27" s="25">
        <v>0.0</v>
      </c>
      <c r="W27" s="26">
        <v>0.0</v>
      </c>
      <c r="X27" s="26">
        <v>0.0</v>
      </c>
      <c r="Y27" s="27"/>
      <c r="Z27" s="26">
        <v>21.0</v>
      </c>
      <c r="AA27" s="26">
        <v>0.0</v>
      </c>
      <c r="AB27" s="26">
        <v>0.0</v>
      </c>
      <c r="AC27" s="26">
        <v>1026.0</v>
      </c>
      <c r="AD27" s="27"/>
      <c r="AE27" s="10" t="s">
        <v>38</v>
      </c>
      <c r="AF27" s="10" t="s">
        <v>44</v>
      </c>
      <c r="AG27" s="27"/>
    </row>
    <row r="28" ht="15.75" customHeight="1">
      <c r="A28" s="34" t="s">
        <v>105</v>
      </c>
      <c r="B28" s="35">
        <v>7000.0</v>
      </c>
      <c r="C28" s="15" t="s">
        <v>87</v>
      </c>
      <c r="D28" s="15" t="s">
        <v>106</v>
      </c>
      <c r="E28" s="15" t="s">
        <v>47</v>
      </c>
      <c r="F28" s="41">
        <v>4.0</v>
      </c>
      <c r="G28" s="15">
        <v>0.0</v>
      </c>
      <c r="H28" s="33">
        <v>0.0</v>
      </c>
      <c r="I28" s="19">
        <v>0.0</v>
      </c>
      <c r="J28" s="19" t="str">
        <f t="shared" si="5"/>
        <v>sin oferta</v>
      </c>
      <c r="K28" s="20" t="str">
        <f t="shared" si="2"/>
        <v>NORMAL / SIN OFERTA</v>
      </c>
      <c r="L28" s="20"/>
      <c r="M28" s="20"/>
      <c r="N28" s="21">
        <v>1.0</v>
      </c>
      <c r="O28" s="22">
        <v>2.0</v>
      </c>
      <c r="P28" s="23">
        <f>IFERROR(__xludf.DUMMYFUNCTION("IFERROR(
  INDEX(
    QUERY(
      Historial!A:I,
      ""select I where B = '""&amp;A28&amp;""' order by A desc limit 1"",
      0
    ),
    1
  ),
  """"
)"),47498.0)</f>
        <v>47498</v>
      </c>
      <c r="Q28" s="19" t="s">
        <v>60</v>
      </c>
      <c r="R28" s="24">
        <v>46126.0</v>
      </c>
      <c r="S28" s="20">
        <f>IFERROR(__xludf.DUMMYFUNCTION("IFERROR(
  INDEX(
    QUERY(
      Historial!A:G,
      ""select G where B = '""&amp;A28&amp;""' order by A desc limit 1"",
      0
    ),
    1
  ),
  """"
)"),4150.0)</f>
        <v>4150</v>
      </c>
      <c r="T28" s="20" t="str">
        <f t="shared" si="3"/>
        <v>✅ OK</v>
      </c>
      <c r="U28" s="20" t="str">
        <f t="shared" si="4"/>
        <v/>
      </c>
      <c r="V28" s="25">
        <v>0.0</v>
      </c>
      <c r="W28" s="26">
        <v>1.0</v>
      </c>
      <c r="X28" s="26">
        <v>0.013</v>
      </c>
      <c r="Y28" s="26">
        <v>307.6923076923077</v>
      </c>
      <c r="Z28" s="26">
        <v>14.0</v>
      </c>
      <c r="AA28" s="26">
        <v>0.13</v>
      </c>
      <c r="AB28" s="26">
        <v>0.0</v>
      </c>
      <c r="AC28" s="26">
        <v>1406.0</v>
      </c>
      <c r="AD28" s="26">
        <v>307.6923076923077</v>
      </c>
      <c r="AE28" s="10" t="s">
        <v>38</v>
      </c>
      <c r="AF28" s="10" t="s">
        <v>39</v>
      </c>
      <c r="AG28" s="27"/>
    </row>
    <row r="29" ht="15.75" customHeight="1">
      <c r="A29" s="34" t="s">
        <v>107</v>
      </c>
      <c r="B29" s="46">
        <v>4500.0</v>
      </c>
      <c r="C29" s="47" t="s">
        <v>87</v>
      </c>
      <c r="D29" s="15" t="s">
        <v>108</v>
      </c>
      <c r="E29" s="47" t="s">
        <v>109</v>
      </c>
      <c r="F29" s="36">
        <v>28.0</v>
      </c>
      <c r="G29" s="33">
        <v>0.0</v>
      </c>
      <c r="H29" s="33">
        <v>0.0</v>
      </c>
      <c r="I29" s="29">
        <v>0.0</v>
      </c>
      <c r="J29" s="19" t="str">
        <f t="shared" si="5"/>
        <v>sin oferta</v>
      </c>
      <c r="K29" s="20" t="str">
        <f t="shared" si="2"/>
        <v>NORMAL / SIN OFERTA</v>
      </c>
      <c r="L29" s="15"/>
      <c r="M29" s="20"/>
      <c r="N29" s="21">
        <v>5.0</v>
      </c>
      <c r="O29" s="22">
        <v>2.0</v>
      </c>
      <c r="P29" s="23">
        <f>IFERROR(__xludf.DUMMYFUNCTION("IFERROR(
  INDEX(
    QUERY(
      Historial!A:I,
      ""select I where B = '""&amp;A29&amp;""' order by A desc limit 1"",
      0
    ),
    1
  ),
  """"
)"),47044.0)</f>
        <v>47044</v>
      </c>
      <c r="Q29" s="19" t="s">
        <v>43</v>
      </c>
      <c r="R29" s="24">
        <v>46129.0</v>
      </c>
      <c r="S29" s="20">
        <f>IFERROR(__xludf.DUMMYFUNCTION("IFERROR(
  INDEX(
    QUERY(
      Historial!A:G,
      ""select G where B = '""&amp;A29&amp;""' order by A desc limit 1"",
      0
    ),
    1
  ),
  """"
)"),2500.0)</f>
        <v>2500</v>
      </c>
      <c r="T29" s="20" t="str">
        <f t="shared" si="3"/>
        <v>✅ OK</v>
      </c>
      <c r="U29" s="20" t="str">
        <f t="shared" si="4"/>
        <v/>
      </c>
      <c r="V29" s="25">
        <v>2.0</v>
      </c>
      <c r="W29" s="26">
        <v>2.0</v>
      </c>
      <c r="X29" s="26">
        <v>0.198</v>
      </c>
      <c r="Y29" s="26">
        <v>141.4141414141414</v>
      </c>
      <c r="Z29" s="26">
        <v>21.0</v>
      </c>
      <c r="AA29" s="26">
        <v>1.3860000000000001</v>
      </c>
      <c r="AB29" s="26">
        <v>0.0</v>
      </c>
      <c r="AC29" s="26">
        <v>952.0</v>
      </c>
      <c r="AD29" s="26">
        <v>141.4141414141414</v>
      </c>
      <c r="AE29" s="10" t="s">
        <v>38</v>
      </c>
      <c r="AF29" s="10" t="s">
        <v>39</v>
      </c>
      <c r="AG29" s="27"/>
    </row>
    <row r="30" ht="15.75" customHeight="1">
      <c r="A30" s="34" t="s">
        <v>110</v>
      </c>
      <c r="B30" s="35">
        <v>1500.0</v>
      </c>
      <c r="C30" s="15" t="s">
        <v>87</v>
      </c>
      <c r="D30" s="15" t="s">
        <v>111</v>
      </c>
      <c r="E30" s="15"/>
      <c r="F30" s="41">
        <v>6.0</v>
      </c>
      <c r="G30" s="33">
        <v>0.0</v>
      </c>
      <c r="H30" s="33">
        <v>0.0</v>
      </c>
      <c r="I30" s="29">
        <v>1.0</v>
      </c>
      <c r="J30" s="19" t="str">
        <f t="shared" si="5"/>
        <v>especial</v>
      </c>
      <c r="K30" s="20">
        <f t="shared" si="2"/>
        <v>1350</v>
      </c>
      <c r="L30" s="15"/>
      <c r="M30" s="20"/>
      <c r="N30" s="21">
        <v>0.0</v>
      </c>
      <c r="O30" s="22">
        <v>3.0</v>
      </c>
      <c r="P30" s="23" t="str">
        <f>IFERROR(__xludf.DUMMYFUNCTION("IFERROR(
  INDEX(
    QUERY(
      Historial!A:I,
      ""select I where B = '""&amp;A30&amp;""' order by A desc limit 1"",
      0
    ),
    1
  ),
  """"
)"),"")</f>
        <v/>
      </c>
      <c r="Q30" s="19" t="s">
        <v>48</v>
      </c>
      <c r="R30" s="24">
        <v>46130.0</v>
      </c>
      <c r="S30" s="20" t="str">
        <f>IFERROR(__xludf.DUMMYFUNCTION("IFERROR(
  INDEX(
    QUERY(
      Historial!A:G,
      ""select G where B = '""&amp;A30&amp;""' order by A desc limit 1"",
      0
    ),
    1
  ),
  """"
)"),"")</f>
        <v/>
      </c>
      <c r="T30" s="20" t="str">
        <f t="shared" si="3"/>
        <v/>
      </c>
      <c r="U30" s="20" t="str">
        <f t="shared" si="4"/>
        <v/>
      </c>
      <c r="V30" s="25">
        <v>0.0</v>
      </c>
      <c r="W30" s="26">
        <v>0.0</v>
      </c>
      <c r="X30" s="26">
        <v>0.0</v>
      </c>
      <c r="Y30" s="27"/>
      <c r="Z30" s="26">
        <v>21.0</v>
      </c>
      <c r="AA30" s="26">
        <v>0.0</v>
      </c>
      <c r="AB30" s="26">
        <v>0.0</v>
      </c>
      <c r="AC30" s="27"/>
      <c r="AD30" s="27"/>
      <c r="AE30" s="10" t="s">
        <v>38</v>
      </c>
      <c r="AF30" s="10" t="s">
        <v>44</v>
      </c>
      <c r="AG30" s="27"/>
    </row>
    <row r="31" ht="15.75" customHeight="1">
      <c r="A31" s="34" t="s">
        <v>112</v>
      </c>
      <c r="B31" s="46">
        <v>2000.0</v>
      </c>
      <c r="C31" s="47" t="s">
        <v>87</v>
      </c>
      <c r="D31" s="15" t="s">
        <v>113</v>
      </c>
      <c r="E31" s="47" t="s">
        <v>114</v>
      </c>
      <c r="F31" s="36">
        <v>6.0</v>
      </c>
      <c r="G31" s="17">
        <v>10.0</v>
      </c>
      <c r="H31" s="17">
        <v>0.0</v>
      </c>
      <c r="I31" s="18">
        <v>0.0</v>
      </c>
      <c r="J31" s="19" t="str">
        <f t="shared" si="5"/>
        <v>2da50off</v>
      </c>
      <c r="K31" s="20">
        <f t="shared" si="2"/>
        <v>1500</v>
      </c>
      <c r="L31" s="15"/>
      <c r="M31" s="20"/>
      <c r="N31" s="21">
        <v>2.0</v>
      </c>
      <c r="O31" s="22">
        <v>2.0</v>
      </c>
      <c r="P31" s="23" t="str">
        <f>IFERROR(__xludf.DUMMYFUNCTION("IFERROR(
  INDEX(
    QUERY(
      Historial!A:I,
      ""select I where B = '""&amp;A31&amp;""' order by A desc limit 1"",
      0
    ),
    1
  ),
  """"
)"),"")</f>
        <v/>
      </c>
      <c r="Q31" s="19" t="s">
        <v>51</v>
      </c>
      <c r="R31" s="24">
        <v>46131.0</v>
      </c>
      <c r="S31" s="20">
        <f>IFERROR(__xludf.DUMMYFUNCTION("IFERROR(
  INDEX(
    QUERY(
      Historial!A:G,
      ""select G where B = '""&amp;A31&amp;""' order by A desc limit 1"",
      0
    ),
    1
  ),
  """"
)"),1297.0)</f>
        <v>1297</v>
      </c>
      <c r="T31" s="20" t="str">
        <f t="shared" si="3"/>
        <v/>
      </c>
      <c r="U31" s="20" t="str">
        <f t="shared" si="4"/>
        <v/>
      </c>
      <c r="V31" s="25">
        <v>1.0</v>
      </c>
      <c r="W31" s="26">
        <v>1.0</v>
      </c>
      <c r="X31" s="26">
        <v>0.099</v>
      </c>
      <c r="Y31" s="26">
        <v>60.6060606060606</v>
      </c>
      <c r="Z31" s="26">
        <v>14.0</v>
      </c>
      <c r="AA31" s="26">
        <v>0.99</v>
      </c>
      <c r="AB31" s="26">
        <v>0.0</v>
      </c>
      <c r="AC31" s="27"/>
      <c r="AD31" s="26">
        <v>60.6060606060606</v>
      </c>
      <c r="AE31" s="10" t="s">
        <v>38</v>
      </c>
      <c r="AF31" s="10" t="s">
        <v>39</v>
      </c>
      <c r="AG31" s="27"/>
    </row>
    <row r="32" ht="15.75" customHeight="1">
      <c r="A32" s="34" t="s">
        <v>115</v>
      </c>
      <c r="B32" s="35">
        <v>1200.0</v>
      </c>
      <c r="C32" s="15" t="s">
        <v>87</v>
      </c>
      <c r="D32" s="15" t="s">
        <v>116</v>
      </c>
      <c r="E32" s="15"/>
      <c r="F32" s="41">
        <v>5.0</v>
      </c>
      <c r="G32" s="33">
        <v>0.0</v>
      </c>
      <c r="H32" s="33">
        <v>0.0</v>
      </c>
      <c r="I32" s="29">
        <v>1.0</v>
      </c>
      <c r="J32" s="19" t="str">
        <f t="shared" si="5"/>
        <v>especial</v>
      </c>
      <c r="K32" s="20">
        <f t="shared" si="2"/>
        <v>1080</v>
      </c>
      <c r="L32" s="15"/>
      <c r="M32" s="20"/>
      <c r="N32" s="21">
        <v>0.0</v>
      </c>
      <c r="O32" s="22">
        <v>3.0</v>
      </c>
      <c r="P32" s="23" t="str">
        <f>IFERROR(__xludf.DUMMYFUNCTION("IFERROR(
  INDEX(
    QUERY(
      Historial!A:I,
      ""select I where B = '""&amp;A32&amp;""' order by A desc limit 1"",
      0
    ),
    1
  ),
  """"
)"),"")</f>
        <v/>
      </c>
      <c r="Q32" s="19" t="s">
        <v>60</v>
      </c>
      <c r="R32" s="24">
        <v>46133.0</v>
      </c>
      <c r="S32" s="20" t="str">
        <f>IFERROR(__xludf.DUMMYFUNCTION("IFERROR(
  INDEX(
    QUERY(
      Historial!A:G,
      ""select G where B = '""&amp;A32&amp;""' order by A desc limit 1"",
      0
    ),
    1
  ),
  """"
)"),"")</f>
        <v/>
      </c>
      <c r="T32" s="20" t="str">
        <f t="shared" si="3"/>
        <v/>
      </c>
      <c r="U32" s="20" t="str">
        <f t="shared" si="4"/>
        <v/>
      </c>
      <c r="V32" s="25">
        <v>0.0</v>
      </c>
      <c r="W32" s="26">
        <v>0.0</v>
      </c>
      <c r="X32" s="26">
        <v>0.0</v>
      </c>
      <c r="Y32" s="27"/>
      <c r="Z32" s="26">
        <v>21.0</v>
      </c>
      <c r="AA32" s="26">
        <v>0.0</v>
      </c>
      <c r="AB32" s="26">
        <v>0.0</v>
      </c>
      <c r="AC32" s="27"/>
      <c r="AD32" s="27"/>
      <c r="AE32" s="10" t="s">
        <v>38</v>
      </c>
      <c r="AF32" s="10" t="s">
        <v>44</v>
      </c>
      <c r="AG32" s="27"/>
    </row>
    <row r="33" ht="15.75" customHeight="1">
      <c r="A33" s="12" t="s">
        <v>117</v>
      </c>
      <c r="B33" s="13">
        <v>4000.0</v>
      </c>
      <c r="C33" s="14" t="s">
        <v>87</v>
      </c>
      <c r="D33" s="15" t="s">
        <v>118</v>
      </c>
      <c r="E33" s="14"/>
      <c r="F33" s="54">
        <v>6.0</v>
      </c>
      <c r="G33" s="33">
        <v>0.0</v>
      </c>
      <c r="H33" s="33">
        <v>0.0</v>
      </c>
      <c r="I33" s="29">
        <v>1.0</v>
      </c>
      <c r="J33" s="19" t="str">
        <f t="shared" si="5"/>
        <v>especial</v>
      </c>
      <c r="K33" s="20">
        <f t="shared" si="2"/>
        <v>3600</v>
      </c>
      <c r="L33" s="15"/>
      <c r="M33" s="20"/>
      <c r="N33" s="21">
        <v>0.0</v>
      </c>
      <c r="O33" s="22">
        <v>3.0</v>
      </c>
      <c r="P33" s="23" t="str">
        <f>IFERROR(__xludf.DUMMYFUNCTION("IFERROR(
  INDEX(
    QUERY(
      Historial!A:I,
      ""select I where B = '""&amp;A33&amp;""' order by A desc limit 1"",
      0
    ),
    1
  ),
  """"
)"),"")</f>
        <v/>
      </c>
      <c r="Q33" s="19" t="s">
        <v>63</v>
      </c>
      <c r="R33" s="24">
        <v>46134.0</v>
      </c>
      <c r="S33" s="20" t="str">
        <f>IFERROR(__xludf.DUMMYFUNCTION("IFERROR(
  INDEX(
    QUERY(
      Historial!A:G,
      ""select G where B = '""&amp;A33&amp;""' order by A desc limit 1"",
      0
    ),
    1
  ),
  """"
)"),"")</f>
        <v/>
      </c>
      <c r="T33" s="20" t="str">
        <f t="shared" si="3"/>
        <v/>
      </c>
      <c r="U33" s="20" t="str">
        <f t="shared" si="4"/>
        <v/>
      </c>
      <c r="V33" s="25">
        <v>0.0</v>
      </c>
      <c r="W33" s="26">
        <v>0.0</v>
      </c>
      <c r="X33" s="26">
        <v>0.0</v>
      </c>
      <c r="Y33" s="27"/>
      <c r="Z33" s="26">
        <v>10.0</v>
      </c>
      <c r="AA33" s="26">
        <v>0.0</v>
      </c>
      <c r="AB33" s="26">
        <v>0.0</v>
      </c>
      <c r="AC33" s="27"/>
      <c r="AD33" s="27"/>
      <c r="AE33" s="10" t="s">
        <v>38</v>
      </c>
      <c r="AF33" s="10" t="s">
        <v>44</v>
      </c>
      <c r="AG33" s="27"/>
    </row>
    <row r="34" ht="15.75" customHeight="1">
      <c r="A34" s="34" t="s">
        <v>119</v>
      </c>
      <c r="B34" s="46">
        <v>1500.0</v>
      </c>
      <c r="C34" s="15" t="s">
        <v>87</v>
      </c>
      <c r="D34" s="15" t="s">
        <v>120</v>
      </c>
      <c r="E34" s="47" t="s">
        <v>47</v>
      </c>
      <c r="F34" s="36">
        <v>4.0</v>
      </c>
      <c r="G34" s="33">
        <v>0.0</v>
      </c>
      <c r="H34" s="33">
        <v>0.0</v>
      </c>
      <c r="I34" s="29">
        <v>1.0</v>
      </c>
      <c r="J34" s="19" t="str">
        <f t="shared" si="5"/>
        <v>especial</v>
      </c>
      <c r="K34" s="20">
        <f t="shared" si="2"/>
        <v>1350</v>
      </c>
      <c r="L34" s="15"/>
      <c r="M34" s="20"/>
      <c r="N34" s="21">
        <v>2.0</v>
      </c>
      <c r="O34" s="22">
        <v>2.0</v>
      </c>
      <c r="P34" s="23">
        <f>IFERROR(__xludf.DUMMYFUNCTION("IFERROR(
  INDEX(
    QUERY(
      Historial!A:I,
      ""select I where B = '""&amp;A34&amp;""' order by A desc limit 1"",
      0
    ),
    1
  ),
  """"
)"),46266.0)</f>
        <v>46266</v>
      </c>
      <c r="Q34" s="19" t="s">
        <v>57</v>
      </c>
      <c r="R34" s="24">
        <v>46139.0</v>
      </c>
      <c r="S34" s="20">
        <f>IFERROR(__xludf.DUMMYFUNCTION("IFERROR(
  INDEX(
    QUERY(
      Historial!A:G,
      ""select G where B = '""&amp;A34&amp;""' order by A desc limit 1"",
      0
    ),
    1
  ),
  """"
)"),824.0)</f>
        <v>824</v>
      </c>
      <c r="T34" s="20" t="str">
        <f t="shared" si="3"/>
        <v>✅ OK</v>
      </c>
      <c r="U34" s="20" t="str">
        <f t="shared" si="4"/>
        <v/>
      </c>
      <c r="V34" s="25">
        <v>1.0</v>
      </c>
      <c r="W34" s="26">
        <v>2.0</v>
      </c>
      <c r="X34" s="26">
        <v>0.112</v>
      </c>
      <c r="Y34" s="26">
        <v>35.714285714285715</v>
      </c>
      <c r="Z34" s="26">
        <v>14.0</v>
      </c>
      <c r="AA34" s="26">
        <v>1.12</v>
      </c>
      <c r="AB34" s="26">
        <v>0.0</v>
      </c>
      <c r="AC34" s="26">
        <v>174.0</v>
      </c>
      <c r="AD34" s="26">
        <v>35.714285714285715</v>
      </c>
      <c r="AE34" s="10" t="s">
        <v>38</v>
      </c>
      <c r="AF34" s="10" t="s">
        <v>39</v>
      </c>
      <c r="AG34" s="27"/>
    </row>
    <row r="35" ht="15.75" customHeight="1">
      <c r="A35" s="34" t="s">
        <v>121</v>
      </c>
      <c r="B35" s="46">
        <v>1500.0</v>
      </c>
      <c r="C35" s="47" t="s">
        <v>87</v>
      </c>
      <c r="D35" s="15" t="s">
        <v>122</v>
      </c>
      <c r="E35" s="47" t="s">
        <v>74</v>
      </c>
      <c r="F35" s="36">
        <v>11.0</v>
      </c>
      <c r="G35" s="33">
        <v>0.0</v>
      </c>
      <c r="H35" s="33">
        <v>0.0</v>
      </c>
      <c r="I35" s="29">
        <v>0.0</v>
      </c>
      <c r="J35" s="19" t="str">
        <f t="shared" si="5"/>
        <v>sin oferta</v>
      </c>
      <c r="K35" s="20" t="str">
        <f t="shared" si="2"/>
        <v>NORMAL / SIN OFERTA</v>
      </c>
      <c r="L35" s="15"/>
      <c r="M35" s="20"/>
      <c r="N35" s="21">
        <v>0.0</v>
      </c>
      <c r="O35" s="22">
        <v>2.0</v>
      </c>
      <c r="P35" s="23">
        <f>IFERROR(__xludf.DUMMYFUNCTION("IFERROR(
  INDEX(
    QUERY(
      Historial!A:I,
      ""select I where B = '""&amp;A35&amp;""' order by A desc limit 1"",
      0
    ),
    1
  ),
  """"
)"),46148.0)</f>
        <v>46148</v>
      </c>
      <c r="Q35" s="19" t="s">
        <v>48</v>
      </c>
      <c r="R35" s="24">
        <v>46144.0</v>
      </c>
      <c r="S35" s="20">
        <f>IFERROR(__xludf.DUMMYFUNCTION("IFERROR(
  INDEX(
    QUERY(
      Historial!A:G,
      ""select G where B = '""&amp;A35&amp;""' order by A desc limit 1"",
      0
    ),
    1
  ),
  """"
)"),606.0)</f>
        <v>606</v>
      </c>
      <c r="T35" s="20" t="str">
        <f t="shared" si="3"/>
        <v>✅ OK</v>
      </c>
      <c r="U35" s="20" t="str">
        <f t="shared" si="4"/>
        <v/>
      </c>
      <c r="V35" s="25">
        <v>0.0</v>
      </c>
      <c r="W35" s="26">
        <v>0.0</v>
      </c>
      <c r="X35" s="26">
        <v>0.0</v>
      </c>
      <c r="Y35" s="27"/>
      <c r="Z35" s="26">
        <v>21.0</v>
      </c>
      <c r="AA35" s="26">
        <v>0.0</v>
      </c>
      <c r="AB35" s="26">
        <v>0.0</v>
      </c>
      <c r="AC35" s="26">
        <v>56.0</v>
      </c>
      <c r="AD35" s="27"/>
      <c r="AE35" s="10" t="s">
        <v>38</v>
      </c>
      <c r="AF35" s="10" t="s">
        <v>44</v>
      </c>
      <c r="AG35" s="27"/>
    </row>
    <row r="36" ht="15.75" customHeight="1">
      <c r="A36" s="31" t="s">
        <v>123</v>
      </c>
      <c r="B36" s="20">
        <v>3500.0</v>
      </c>
      <c r="C36" s="20" t="s">
        <v>87</v>
      </c>
      <c r="D36" s="15" t="s">
        <v>124</v>
      </c>
      <c r="E36" s="15" t="s">
        <v>74</v>
      </c>
      <c r="F36" s="36">
        <v>17.0</v>
      </c>
      <c r="G36" s="33">
        <v>0.0</v>
      </c>
      <c r="H36" s="33">
        <v>0.0</v>
      </c>
      <c r="I36" s="29">
        <v>0.0</v>
      </c>
      <c r="J36" s="19" t="str">
        <f t="shared" si="5"/>
        <v>sin oferta</v>
      </c>
      <c r="K36" s="20" t="str">
        <f t="shared" si="2"/>
        <v>NORMAL / SIN OFERTA</v>
      </c>
      <c r="L36" s="15"/>
      <c r="M36" s="20"/>
      <c r="N36" s="21">
        <v>3.0</v>
      </c>
      <c r="O36" s="22">
        <v>3.0</v>
      </c>
      <c r="P36" s="23" t="str">
        <f>IFERROR(__xludf.DUMMYFUNCTION("IFERROR(
  INDEX(
    QUERY(
      Historial!A:I,
      ""select I where B = '""&amp;A36&amp;""' order by A desc limit 1"",
      0
    ),
    1
  ),
  """"
)"),"")</f>
        <v/>
      </c>
      <c r="Q36" s="19" t="s">
        <v>57</v>
      </c>
      <c r="R36" s="24">
        <v>46146.0</v>
      </c>
      <c r="S36" s="20" t="str">
        <f>IFERROR(__xludf.DUMMYFUNCTION("IFERROR(
  INDEX(
    QUERY(
      Historial!A:G,
      ""select G where B = '""&amp;A36&amp;""' order by A desc limit 1"",
      0
    ),
    1
  ),
  """"
)"),"")</f>
        <v/>
      </c>
      <c r="T36" s="20" t="str">
        <f t="shared" si="3"/>
        <v/>
      </c>
      <c r="U36" s="20" t="str">
        <f t="shared" si="4"/>
        <v/>
      </c>
      <c r="V36" s="25">
        <v>3.0</v>
      </c>
      <c r="W36" s="26">
        <v>3.0</v>
      </c>
      <c r="X36" s="26">
        <v>0.297</v>
      </c>
      <c r="Y36" s="26">
        <v>57.23905723905724</v>
      </c>
      <c r="Z36" s="26">
        <v>10.0</v>
      </c>
      <c r="AA36" s="26">
        <v>4.1579999999999995</v>
      </c>
      <c r="AB36" s="26">
        <v>0.0</v>
      </c>
      <c r="AC36" s="27"/>
      <c r="AD36" s="26">
        <v>57.23905723905724</v>
      </c>
      <c r="AE36" s="10" t="s">
        <v>38</v>
      </c>
      <c r="AF36" s="10" t="s">
        <v>39</v>
      </c>
      <c r="AG36" s="27"/>
    </row>
    <row r="37" ht="15.75" customHeight="1">
      <c r="A37" s="31" t="s">
        <v>125</v>
      </c>
      <c r="B37" s="55">
        <v>2500.0</v>
      </c>
      <c r="C37" s="56" t="s">
        <v>87</v>
      </c>
      <c r="D37" s="15" t="s">
        <v>126</v>
      </c>
      <c r="E37" s="47" t="s">
        <v>74</v>
      </c>
      <c r="F37" s="32">
        <v>4.0</v>
      </c>
      <c r="G37" s="40">
        <v>0.0</v>
      </c>
      <c r="H37" s="40">
        <v>0.0</v>
      </c>
      <c r="I37" s="40">
        <v>0.0</v>
      </c>
      <c r="J37" s="19" t="str">
        <f t="shared" si="5"/>
        <v>sin oferta</v>
      </c>
      <c r="K37" s="20" t="str">
        <f t="shared" si="2"/>
        <v>NORMAL / SIN OFERTA</v>
      </c>
      <c r="L37" s="20">
        <v>0.0</v>
      </c>
      <c r="M37" s="20">
        <v>0.0</v>
      </c>
      <c r="N37" s="21">
        <v>1.0</v>
      </c>
      <c r="O37" s="22">
        <v>2.0</v>
      </c>
      <c r="P37" s="23" t="str">
        <f>IFERROR(__xludf.DUMMYFUNCTION("IFERROR(
  INDEX(
    QUERY(
      Historial!A:I,
      ""select I where B = '""&amp;A37&amp;""' order by A desc limit 1"",
      0
    ),
    1
  ),
  """"
)"),"")</f>
        <v/>
      </c>
      <c r="Q37" s="19" t="s">
        <v>63</v>
      </c>
      <c r="R37" s="24">
        <v>46148.0</v>
      </c>
      <c r="S37" s="20" t="str">
        <f>IFERROR(__xludf.DUMMYFUNCTION("IFERROR(
  INDEX(
    QUERY(
      Historial!A:G,
      ""select G where B = '""&amp;A37&amp;""' order by A desc limit 1"",
      0
    ),
    1
  ),
  """"
)"),"")</f>
        <v/>
      </c>
      <c r="T37" s="20" t="str">
        <f t="shared" si="3"/>
        <v/>
      </c>
      <c r="U37" s="20" t="str">
        <f t="shared" si="4"/>
        <v/>
      </c>
      <c r="V37" s="25">
        <v>0.0</v>
      </c>
      <c r="W37" s="26">
        <v>1.0</v>
      </c>
      <c r="X37" s="26">
        <v>0.013</v>
      </c>
      <c r="Y37" s="26">
        <v>307.6923076923077</v>
      </c>
      <c r="Z37" s="26">
        <v>21.0</v>
      </c>
      <c r="AA37" s="26">
        <v>0.091</v>
      </c>
      <c r="AB37" s="26">
        <v>0.0</v>
      </c>
      <c r="AC37" s="27"/>
      <c r="AD37" s="26">
        <v>307.6923076923077</v>
      </c>
      <c r="AE37" s="10" t="s">
        <v>38</v>
      </c>
      <c r="AF37" s="10" t="s">
        <v>39</v>
      </c>
      <c r="AG37" s="27"/>
    </row>
    <row r="38" ht="15.75" customHeight="1">
      <c r="A38" s="34" t="s">
        <v>127</v>
      </c>
      <c r="B38" s="35">
        <v>3000.0</v>
      </c>
      <c r="C38" s="15" t="s">
        <v>87</v>
      </c>
      <c r="D38" s="15" t="s">
        <v>128</v>
      </c>
      <c r="E38" s="15"/>
      <c r="F38" s="41">
        <v>1.0</v>
      </c>
      <c r="G38" s="33">
        <v>0.0</v>
      </c>
      <c r="H38" s="33">
        <v>0.0</v>
      </c>
      <c r="I38" s="29">
        <v>1.0</v>
      </c>
      <c r="J38" s="19" t="str">
        <f t="shared" si="5"/>
        <v>especial</v>
      </c>
      <c r="K38" s="20">
        <f t="shared" si="2"/>
        <v>2700</v>
      </c>
      <c r="L38" s="15"/>
      <c r="M38" s="20"/>
      <c r="N38" s="21">
        <v>1.0</v>
      </c>
      <c r="O38" s="22">
        <v>2.0</v>
      </c>
      <c r="P38" s="23" t="str">
        <f>IFERROR(__xludf.DUMMYFUNCTION("IFERROR(
  INDEX(
    QUERY(
      Historial!A:I,
      ""select I where B = '""&amp;A38&amp;""' order by A desc limit 1"",
      0
    ),
    1
  ),
  """"
)"),"")</f>
        <v/>
      </c>
      <c r="Q38" s="19" t="s">
        <v>37</v>
      </c>
      <c r="R38" s="24">
        <v>46149.0</v>
      </c>
      <c r="S38" s="20" t="str">
        <f>IFERROR(__xludf.DUMMYFUNCTION("IFERROR(
  INDEX(
    QUERY(
      Historial!A:G,
      ""select G where B = '""&amp;A38&amp;""' order by A desc limit 1"",
      0
    ),
    1
  ),
  """"
)"),"")</f>
        <v/>
      </c>
      <c r="T38" s="20" t="str">
        <f t="shared" si="3"/>
        <v/>
      </c>
      <c r="U38" s="20" t="str">
        <f t="shared" si="4"/>
        <v/>
      </c>
      <c r="V38" s="25">
        <v>0.0</v>
      </c>
      <c r="W38" s="26">
        <v>2.0</v>
      </c>
      <c r="X38" s="26">
        <v>0.027</v>
      </c>
      <c r="Y38" s="26">
        <v>37.03703703703704</v>
      </c>
      <c r="Z38" s="26">
        <v>21.0</v>
      </c>
      <c r="AA38" s="26">
        <v>0.189</v>
      </c>
      <c r="AB38" s="26">
        <v>0.0</v>
      </c>
      <c r="AC38" s="27"/>
      <c r="AD38" s="26">
        <v>37.03703703703704</v>
      </c>
      <c r="AE38" s="10" t="s">
        <v>38</v>
      </c>
      <c r="AF38" s="10" t="s">
        <v>39</v>
      </c>
      <c r="AG38" s="27"/>
    </row>
    <row r="39" ht="15.75" customHeight="1">
      <c r="A39" s="34" t="s">
        <v>129</v>
      </c>
      <c r="B39" s="35">
        <v>5000.0</v>
      </c>
      <c r="C39" s="15" t="s">
        <v>87</v>
      </c>
      <c r="D39" s="15" t="s">
        <v>130</v>
      </c>
      <c r="E39" s="15"/>
      <c r="F39" s="41">
        <v>3.0</v>
      </c>
      <c r="G39" s="33">
        <v>0.0</v>
      </c>
      <c r="H39" s="33">
        <v>0.0</v>
      </c>
      <c r="I39" s="29">
        <v>0.0</v>
      </c>
      <c r="J39" s="19" t="str">
        <f t="shared" si="5"/>
        <v>sin oferta</v>
      </c>
      <c r="K39" s="20" t="str">
        <f t="shared" si="2"/>
        <v>NORMAL / SIN OFERTA</v>
      </c>
      <c r="L39" s="15"/>
      <c r="M39" s="20"/>
      <c r="N39" s="21">
        <v>0.0</v>
      </c>
      <c r="O39" s="22">
        <v>2.0</v>
      </c>
      <c r="P39" s="23" t="str">
        <f>IFERROR(__xludf.DUMMYFUNCTION("IFERROR(
  INDEX(
    QUERY(
      Historial!A:I,
      ""select I where B = '""&amp;A39&amp;""' order by A desc limit 1"",
      0
    ),
    1
  ),
  """"
)"),"")</f>
        <v/>
      </c>
      <c r="Q39" s="19" t="s">
        <v>43</v>
      </c>
      <c r="R39" s="24">
        <v>46150.0</v>
      </c>
      <c r="S39" s="20">
        <f>IFERROR(__xludf.DUMMYFUNCTION("IFERROR(
  INDEX(
    QUERY(
      Historial!A:G,
      ""select G where B = '""&amp;A39&amp;""' order by A desc limit 1"",
      0
    ),
    1
  ),
  """"
)"),2600.0)</f>
        <v>2600</v>
      </c>
      <c r="T39" s="20" t="str">
        <f t="shared" si="3"/>
        <v/>
      </c>
      <c r="U39" s="20" t="str">
        <f t="shared" si="4"/>
        <v/>
      </c>
      <c r="V39" s="25">
        <v>0.0</v>
      </c>
      <c r="W39" s="26">
        <v>0.0</v>
      </c>
      <c r="X39" s="26">
        <v>0.0</v>
      </c>
      <c r="Y39" s="27"/>
      <c r="Z39" s="26">
        <v>21.0</v>
      </c>
      <c r="AA39" s="26">
        <v>0.0</v>
      </c>
      <c r="AB39" s="26">
        <v>0.0</v>
      </c>
      <c r="AC39" s="27"/>
      <c r="AD39" s="27"/>
      <c r="AE39" s="10" t="s">
        <v>38</v>
      </c>
      <c r="AF39" s="10" t="s">
        <v>44</v>
      </c>
      <c r="AG39" s="27"/>
    </row>
    <row r="40" ht="15.75" customHeight="1">
      <c r="A40" s="34" t="s">
        <v>131</v>
      </c>
      <c r="B40" s="35">
        <v>4000.0</v>
      </c>
      <c r="C40" s="15" t="s">
        <v>87</v>
      </c>
      <c r="D40" s="15" t="s">
        <v>132</v>
      </c>
      <c r="E40" s="15"/>
      <c r="F40" s="41">
        <v>3.0</v>
      </c>
      <c r="G40" s="33">
        <v>0.0</v>
      </c>
      <c r="H40" s="33">
        <v>0.0</v>
      </c>
      <c r="I40" s="29">
        <v>0.0</v>
      </c>
      <c r="J40" s="19" t="str">
        <f t="shared" si="5"/>
        <v>sin oferta</v>
      </c>
      <c r="K40" s="20" t="str">
        <f t="shared" si="2"/>
        <v>NORMAL / SIN OFERTA</v>
      </c>
      <c r="L40" s="15"/>
      <c r="M40" s="20"/>
      <c r="N40" s="21">
        <v>1.0</v>
      </c>
      <c r="O40" s="22">
        <v>2.0</v>
      </c>
      <c r="P40" s="23" t="str">
        <f>IFERROR(__xludf.DUMMYFUNCTION("IFERROR(
  INDEX(
    QUERY(
      Historial!A:I,
      ""select I where B = '""&amp;A40&amp;""' order by A desc limit 1"",
      0
    ),
    1
  ),
  """"
)"),"")</f>
        <v/>
      </c>
      <c r="Q40" s="19" t="s">
        <v>48</v>
      </c>
      <c r="R40" s="24">
        <v>46151.0</v>
      </c>
      <c r="S40" s="20" t="str">
        <f>IFERROR(__xludf.DUMMYFUNCTION("IFERROR(
  INDEX(
    QUERY(
      Historial!A:G,
      ""select G where B = '""&amp;A40&amp;""' order by A desc limit 1"",
      0
    ),
    1
  ),
  """"
)"),"")</f>
        <v/>
      </c>
      <c r="T40" s="20" t="str">
        <f t="shared" si="3"/>
        <v/>
      </c>
      <c r="U40" s="20" t="str">
        <f t="shared" si="4"/>
        <v/>
      </c>
      <c r="V40" s="25">
        <v>0.0</v>
      </c>
      <c r="W40" s="26">
        <v>2.0</v>
      </c>
      <c r="X40" s="26">
        <v>0.027</v>
      </c>
      <c r="Y40" s="26">
        <v>111.11111111111111</v>
      </c>
      <c r="Z40" s="26">
        <v>14.0</v>
      </c>
      <c r="AA40" s="26">
        <v>0.27</v>
      </c>
      <c r="AB40" s="26">
        <v>0.0</v>
      </c>
      <c r="AC40" s="27"/>
      <c r="AD40" s="26">
        <v>111.11111111111111</v>
      </c>
      <c r="AE40" s="10" t="s">
        <v>38</v>
      </c>
      <c r="AF40" s="10" t="s">
        <v>39</v>
      </c>
      <c r="AG40" s="27"/>
    </row>
    <row r="41" ht="15.75" customHeight="1">
      <c r="A41" s="34" t="s">
        <v>133</v>
      </c>
      <c r="B41" s="46">
        <v>6000.0</v>
      </c>
      <c r="C41" s="47" t="s">
        <v>87</v>
      </c>
      <c r="D41" s="15" t="s">
        <v>134</v>
      </c>
      <c r="E41" s="47" t="s">
        <v>114</v>
      </c>
      <c r="F41" s="36">
        <v>7.0</v>
      </c>
      <c r="G41" s="33">
        <v>10.0</v>
      </c>
      <c r="H41" s="33">
        <v>0.0</v>
      </c>
      <c r="I41" s="29">
        <v>0.0</v>
      </c>
      <c r="J41" s="19" t="str">
        <f t="shared" si="5"/>
        <v>2da50off</v>
      </c>
      <c r="K41" s="20">
        <f t="shared" si="2"/>
        <v>4500</v>
      </c>
      <c r="L41" s="15"/>
      <c r="M41" s="20"/>
      <c r="N41" s="21">
        <v>0.0</v>
      </c>
      <c r="O41" s="22">
        <v>2.0</v>
      </c>
      <c r="P41" s="23" t="str">
        <f>IFERROR(__xludf.DUMMYFUNCTION("IFERROR(
  INDEX(
    QUERY(
      Historial!A:I,
      ""select I where B = '""&amp;A41&amp;""' order by A desc limit 1"",
      0
    ),
    1
  ),
  """"
)"),"")</f>
        <v/>
      </c>
      <c r="Q41" s="19" t="s">
        <v>57</v>
      </c>
      <c r="R41" s="24">
        <v>46153.0</v>
      </c>
      <c r="S41" s="20">
        <f>IFERROR(__xludf.DUMMYFUNCTION("IFERROR(
  INDEX(
    QUERY(
      Historial!A:G,
      ""select G where B = '""&amp;A41&amp;""' order by A desc limit 1"",
      0
    ),
    1
  ),
  """"
)"),3937.0)</f>
        <v>3937</v>
      </c>
      <c r="T41" s="20" t="str">
        <f t="shared" si="3"/>
        <v/>
      </c>
      <c r="U41" s="20" t="str">
        <f t="shared" si="4"/>
        <v/>
      </c>
      <c r="V41" s="25">
        <v>0.0</v>
      </c>
      <c r="W41" s="26">
        <v>0.0</v>
      </c>
      <c r="X41" s="26">
        <v>0.0</v>
      </c>
      <c r="Y41" s="27"/>
      <c r="Z41" s="26">
        <v>21.0</v>
      </c>
      <c r="AA41" s="26">
        <v>0.0</v>
      </c>
      <c r="AB41" s="26">
        <v>0.0</v>
      </c>
      <c r="AC41" s="27"/>
      <c r="AD41" s="27"/>
      <c r="AE41" s="10" t="s">
        <v>38</v>
      </c>
      <c r="AF41" s="10" t="s">
        <v>44</v>
      </c>
      <c r="AG41" s="27"/>
    </row>
    <row r="42" ht="15.75" customHeight="1">
      <c r="A42" s="34" t="s">
        <v>135</v>
      </c>
      <c r="B42" s="46">
        <v>6000.0</v>
      </c>
      <c r="C42" s="47" t="s">
        <v>87</v>
      </c>
      <c r="D42" s="15" t="s">
        <v>136</v>
      </c>
      <c r="E42" s="47" t="s">
        <v>114</v>
      </c>
      <c r="F42" s="36">
        <v>7.0</v>
      </c>
      <c r="G42" s="33">
        <v>10.0</v>
      </c>
      <c r="H42" s="33">
        <v>0.0</v>
      </c>
      <c r="I42" s="29">
        <v>0.0</v>
      </c>
      <c r="J42" s="19" t="str">
        <f t="shared" si="5"/>
        <v>2da50off</v>
      </c>
      <c r="K42" s="20">
        <f t="shared" si="2"/>
        <v>4500</v>
      </c>
      <c r="L42" s="15"/>
      <c r="M42" s="20"/>
      <c r="N42" s="21">
        <v>0.0</v>
      </c>
      <c r="O42" s="22">
        <v>2.0</v>
      </c>
      <c r="P42" s="23">
        <f>IFERROR(__xludf.DUMMYFUNCTION("IFERROR(
  INDEX(
    QUERY(
      Historial!A:I,
      ""select I where B = '""&amp;A42&amp;""' order by A desc limit 1"",
      0
    ),
    1
  ),
  """"
)"),46764.0)</f>
        <v>46764</v>
      </c>
      <c r="Q42" s="19" t="s">
        <v>60</v>
      </c>
      <c r="R42" s="24">
        <v>46154.0</v>
      </c>
      <c r="S42" s="20">
        <f>IFERROR(__xludf.DUMMYFUNCTION("IFERROR(
  INDEX(
    QUERY(
      Historial!A:G,
      ""select G where B = '""&amp;A42&amp;""' order by A desc limit 1"",
      0
    ),
    1
  ),
  """"
)"),3987.0)</f>
        <v>3987</v>
      </c>
      <c r="T42" s="20" t="str">
        <f t="shared" si="3"/>
        <v>✅ OK</v>
      </c>
      <c r="U42" s="20" t="str">
        <f t="shared" si="4"/>
        <v/>
      </c>
      <c r="V42" s="25">
        <v>0.0</v>
      </c>
      <c r="W42" s="26">
        <v>0.0</v>
      </c>
      <c r="X42" s="26">
        <v>0.0</v>
      </c>
      <c r="Y42" s="27"/>
      <c r="Z42" s="26">
        <v>14.0</v>
      </c>
      <c r="AA42" s="26">
        <v>0.0</v>
      </c>
      <c r="AB42" s="26">
        <v>0.0</v>
      </c>
      <c r="AC42" s="26">
        <v>672.0</v>
      </c>
      <c r="AD42" s="27"/>
      <c r="AE42" s="10" t="s">
        <v>38</v>
      </c>
      <c r="AF42" s="10" t="s">
        <v>44</v>
      </c>
      <c r="AG42" s="27"/>
    </row>
    <row r="43" ht="15.75" customHeight="1">
      <c r="A43" s="34" t="s">
        <v>137</v>
      </c>
      <c r="B43" s="35">
        <v>2800.0</v>
      </c>
      <c r="C43" s="15" t="s">
        <v>87</v>
      </c>
      <c r="D43" s="15" t="s">
        <v>138</v>
      </c>
      <c r="E43" s="15" t="s">
        <v>47</v>
      </c>
      <c r="F43" s="41">
        <v>3.0</v>
      </c>
      <c r="G43" s="15">
        <v>0.0</v>
      </c>
      <c r="H43" s="33">
        <v>0.0</v>
      </c>
      <c r="I43" s="19">
        <v>0.0</v>
      </c>
      <c r="J43" s="19" t="str">
        <f t="shared" si="5"/>
        <v>sin oferta</v>
      </c>
      <c r="K43" s="20" t="str">
        <f t="shared" si="2"/>
        <v>NORMAL / SIN OFERTA</v>
      </c>
      <c r="L43" s="20"/>
      <c r="M43" s="20"/>
      <c r="N43" s="21">
        <v>0.0</v>
      </c>
      <c r="O43" s="22">
        <v>2.0</v>
      </c>
      <c r="P43" s="23" t="str">
        <f>IFERROR(__xludf.DUMMYFUNCTION("IFERROR(
  INDEX(
    QUERY(
      Historial!A:I,
      ""select I where B = '""&amp;A43&amp;""' order by A desc limit 1"",
      0
    ),
    1
  ),
  """"
)"),"")</f>
        <v/>
      </c>
      <c r="Q43" s="19" t="s">
        <v>63</v>
      </c>
      <c r="R43" s="24">
        <v>46155.0</v>
      </c>
      <c r="S43" s="20">
        <f>IFERROR(__xludf.DUMMYFUNCTION("IFERROR(
  INDEX(
    QUERY(
      Historial!A:G,
      ""select G where B = '""&amp;A43&amp;""' order by A desc limit 1"",
      0
    ),
    1
  ),
  """"
)"),1220.0)</f>
        <v>1220</v>
      </c>
      <c r="T43" s="20" t="str">
        <f t="shared" si="3"/>
        <v/>
      </c>
      <c r="U43" s="20" t="str">
        <f t="shared" si="4"/>
        <v/>
      </c>
      <c r="V43" s="25">
        <v>0.0</v>
      </c>
      <c r="W43" s="26">
        <v>0.0</v>
      </c>
      <c r="X43" s="26">
        <v>0.0</v>
      </c>
      <c r="Y43" s="27"/>
      <c r="Z43" s="26">
        <v>14.0</v>
      </c>
      <c r="AA43" s="26">
        <v>0.0</v>
      </c>
      <c r="AB43" s="26">
        <v>0.0</v>
      </c>
      <c r="AC43" s="27"/>
      <c r="AD43" s="27"/>
      <c r="AE43" s="10" t="s">
        <v>38</v>
      </c>
      <c r="AF43" s="10" t="s">
        <v>44</v>
      </c>
      <c r="AG43" s="27"/>
    </row>
    <row r="44" ht="15.75" customHeight="1">
      <c r="A44" s="34" t="s">
        <v>139</v>
      </c>
      <c r="B44" s="35">
        <v>2600.0</v>
      </c>
      <c r="C44" s="15" t="s">
        <v>87</v>
      </c>
      <c r="D44" s="15" t="s">
        <v>140</v>
      </c>
      <c r="E44" s="15"/>
      <c r="F44" s="36">
        <v>9.0</v>
      </c>
      <c r="G44" s="17">
        <v>2.0</v>
      </c>
      <c r="H44" s="17">
        <v>0.0</v>
      </c>
      <c r="I44" s="18">
        <v>0.0</v>
      </c>
      <c r="J44" s="19" t="str">
        <f t="shared" si="5"/>
        <v>relampago 3x2</v>
      </c>
      <c r="K44" s="20">
        <f t="shared" si="2"/>
        <v>1733.42</v>
      </c>
      <c r="L44" s="15"/>
      <c r="M44" s="20"/>
      <c r="N44" s="21">
        <v>1.0</v>
      </c>
      <c r="O44" s="22">
        <v>3.0</v>
      </c>
      <c r="P44" s="23" t="str">
        <f>IFERROR(__xludf.DUMMYFUNCTION("IFERROR(
  INDEX(
    QUERY(
      Historial!A:I,
      ""select I where B = '""&amp;A44&amp;""' order by A desc limit 1"",
      0
    ),
    1
  ),
  """"
)"),"")</f>
        <v/>
      </c>
      <c r="Q44" s="19" t="s">
        <v>37</v>
      </c>
      <c r="R44" s="24">
        <v>46156.0</v>
      </c>
      <c r="S44" s="20" t="str">
        <f>IFERROR(__xludf.DUMMYFUNCTION("IFERROR(
  INDEX(
    QUERY(
      Historial!A:G,
      ""select G where B = '""&amp;A44&amp;""' order by A desc limit 1"",
      0
    ),
    1
  ),
  """"
)"),"")</f>
        <v/>
      </c>
      <c r="T44" s="20" t="str">
        <f t="shared" si="3"/>
        <v/>
      </c>
      <c r="U44" s="20" t="str">
        <f t="shared" si="4"/>
        <v/>
      </c>
      <c r="V44" s="25">
        <v>1.0</v>
      </c>
      <c r="W44" s="26">
        <v>1.0</v>
      </c>
      <c r="X44" s="26">
        <v>0.099</v>
      </c>
      <c r="Y44" s="26">
        <v>90.9090909090909</v>
      </c>
      <c r="Z44" s="26">
        <v>10.0</v>
      </c>
      <c r="AA44" s="26">
        <v>1.3860000000000001</v>
      </c>
      <c r="AB44" s="26">
        <v>0.0</v>
      </c>
      <c r="AC44" s="27"/>
      <c r="AD44" s="26">
        <v>90.9090909090909</v>
      </c>
      <c r="AE44" s="10" t="s">
        <v>38</v>
      </c>
      <c r="AF44" s="10" t="s">
        <v>39</v>
      </c>
      <c r="AG44" s="27"/>
    </row>
    <row r="45" ht="15.75" customHeight="1">
      <c r="A45" s="34" t="s">
        <v>141</v>
      </c>
      <c r="B45" s="46">
        <v>5000.0</v>
      </c>
      <c r="C45" s="15" t="s">
        <v>87</v>
      </c>
      <c r="D45" s="15" t="s">
        <v>142</v>
      </c>
      <c r="E45" s="47" t="s">
        <v>47</v>
      </c>
      <c r="F45" s="36">
        <v>3.0</v>
      </c>
      <c r="G45" s="33">
        <v>0.0</v>
      </c>
      <c r="H45" s="33">
        <v>0.0</v>
      </c>
      <c r="I45" s="29">
        <v>0.0</v>
      </c>
      <c r="J45" s="19" t="str">
        <f t="shared" si="5"/>
        <v>sin oferta</v>
      </c>
      <c r="K45" s="20" t="str">
        <f t="shared" si="2"/>
        <v>NORMAL / SIN OFERTA</v>
      </c>
      <c r="L45" s="15"/>
      <c r="M45" s="20"/>
      <c r="N45" s="21">
        <v>0.0</v>
      </c>
      <c r="O45" s="22">
        <v>2.0</v>
      </c>
      <c r="P45" s="23">
        <f>IFERROR(__xludf.DUMMYFUNCTION("IFERROR(
  INDEX(
    QUERY(
      Historial!A:I,
      ""select I where B = '""&amp;A45&amp;""' order by A desc limit 1"",
      0
    ),
    1
  ),
  """"
)"),46740.0)</f>
        <v>46740</v>
      </c>
      <c r="Q45" s="19" t="s">
        <v>51</v>
      </c>
      <c r="R45" s="24">
        <v>46159.0</v>
      </c>
      <c r="S45" s="20">
        <f>IFERROR(__xludf.DUMMYFUNCTION("IFERROR(
  INDEX(
    QUERY(
      Historial!A:G,
      ""select G where B = '""&amp;A45&amp;""' order by A desc limit 1"",
      0
    ),
    1
  ),
  """"
)"),1716.0)</f>
        <v>1716</v>
      </c>
      <c r="T45" s="20" t="str">
        <f t="shared" si="3"/>
        <v>✅ OK</v>
      </c>
      <c r="U45" s="20" t="str">
        <f t="shared" si="4"/>
        <v/>
      </c>
      <c r="V45" s="25">
        <v>0.0</v>
      </c>
      <c r="W45" s="26">
        <v>0.0</v>
      </c>
      <c r="X45" s="26">
        <v>0.0</v>
      </c>
      <c r="Y45" s="27"/>
      <c r="Z45" s="26">
        <v>21.0</v>
      </c>
      <c r="AA45" s="26">
        <v>0.0</v>
      </c>
      <c r="AB45" s="26">
        <v>0.0</v>
      </c>
      <c r="AC45" s="26">
        <v>648.0</v>
      </c>
      <c r="AD45" s="27"/>
      <c r="AE45" s="10" t="s">
        <v>38</v>
      </c>
      <c r="AF45" s="10" t="s">
        <v>44</v>
      </c>
      <c r="AG45" s="27"/>
    </row>
    <row r="46" ht="15.75" customHeight="1">
      <c r="A46" s="34" t="s">
        <v>143</v>
      </c>
      <c r="B46" s="46">
        <v>3000.0</v>
      </c>
      <c r="C46" s="15" t="s">
        <v>87</v>
      </c>
      <c r="D46" s="15" t="s">
        <v>144</v>
      </c>
      <c r="E46" s="47" t="s">
        <v>47</v>
      </c>
      <c r="F46" s="36">
        <v>4.0</v>
      </c>
      <c r="G46" s="33">
        <v>0.0</v>
      </c>
      <c r="H46" s="33">
        <v>0.0</v>
      </c>
      <c r="I46" s="29">
        <v>0.0</v>
      </c>
      <c r="J46" s="19" t="str">
        <f t="shared" si="5"/>
        <v>sin oferta</v>
      </c>
      <c r="K46" s="20" t="str">
        <f t="shared" si="2"/>
        <v>NORMAL / SIN OFERTA</v>
      </c>
      <c r="L46" s="15"/>
      <c r="M46" s="20"/>
      <c r="N46" s="21">
        <v>0.0</v>
      </c>
      <c r="O46" s="22">
        <v>2.0</v>
      </c>
      <c r="P46" s="23">
        <f>IFERROR(__xludf.DUMMYFUNCTION("IFERROR(
  INDEX(
    QUERY(
      Historial!A:I,
      ""select I where B = '""&amp;A46&amp;""' order by A desc limit 1"",
      0
    ),
    1
  ),
  """"
)"),46787.0)</f>
        <v>46787</v>
      </c>
      <c r="Q46" s="19" t="s">
        <v>60</v>
      </c>
      <c r="R46" s="24">
        <v>46161.0</v>
      </c>
      <c r="S46" s="20">
        <f>IFERROR(__xludf.DUMMYFUNCTION("IFERROR(
  INDEX(
    QUERY(
      Historial!A:G,
      ""select G where B = '""&amp;A46&amp;""' order by A desc limit 1"",
      0
    ),
    1
  ),
  """"
)"),1168.0)</f>
        <v>1168</v>
      </c>
      <c r="T46" s="20" t="str">
        <f t="shared" si="3"/>
        <v>✅ OK</v>
      </c>
      <c r="U46" s="20" t="str">
        <f t="shared" si="4"/>
        <v/>
      </c>
      <c r="V46" s="25">
        <v>0.0</v>
      </c>
      <c r="W46" s="26">
        <v>0.0</v>
      </c>
      <c r="X46" s="26">
        <v>0.0</v>
      </c>
      <c r="Y46" s="27"/>
      <c r="Z46" s="26">
        <v>14.0</v>
      </c>
      <c r="AA46" s="26">
        <v>0.0</v>
      </c>
      <c r="AB46" s="26">
        <v>0.0</v>
      </c>
      <c r="AC46" s="26">
        <v>695.0</v>
      </c>
      <c r="AD46" s="27"/>
      <c r="AE46" s="10" t="s">
        <v>38</v>
      </c>
      <c r="AF46" s="10" t="s">
        <v>44</v>
      </c>
      <c r="AG46" s="27"/>
    </row>
    <row r="47" ht="15.75" customHeight="1">
      <c r="A47" s="34" t="s">
        <v>145</v>
      </c>
      <c r="B47" s="35">
        <v>2500.0</v>
      </c>
      <c r="C47" s="15" t="s">
        <v>87</v>
      </c>
      <c r="D47" s="15" t="s">
        <v>146</v>
      </c>
      <c r="E47" s="15" t="s">
        <v>147</v>
      </c>
      <c r="F47" s="41">
        <v>10.0</v>
      </c>
      <c r="G47" s="15">
        <v>0.0</v>
      </c>
      <c r="H47" s="33">
        <v>0.0</v>
      </c>
      <c r="I47" s="19">
        <v>0.0</v>
      </c>
      <c r="J47" s="19" t="str">
        <f t="shared" si="5"/>
        <v>sin oferta</v>
      </c>
      <c r="K47" s="20" t="str">
        <f t="shared" si="2"/>
        <v>NORMAL / SIN OFERTA</v>
      </c>
      <c r="L47" s="20"/>
      <c r="M47" s="20"/>
      <c r="N47" s="21">
        <v>0.0</v>
      </c>
      <c r="O47" s="22">
        <v>2.0</v>
      </c>
      <c r="P47" s="23" t="str">
        <f>IFERROR(__xludf.DUMMYFUNCTION("IFERROR(
  INDEX(
    QUERY(
      Historial!A:I,
      ""select I where B = '""&amp;A47&amp;""' order by A desc limit 1"",
      0
    ),
    1
  ),
  """"
)"),"")</f>
        <v/>
      </c>
      <c r="Q47" s="19" t="s">
        <v>63</v>
      </c>
      <c r="R47" s="24">
        <v>46162.0</v>
      </c>
      <c r="S47" s="20" t="str">
        <f>IFERROR(__xludf.DUMMYFUNCTION("IFERROR(
  INDEX(
    QUERY(
      Historial!A:G,
      ""select G where B = '""&amp;A47&amp;""' order by A desc limit 1"",
      0
    ),
    1
  ),
  """"
)"),"")</f>
        <v/>
      </c>
      <c r="T47" s="20" t="str">
        <f t="shared" si="3"/>
        <v/>
      </c>
      <c r="U47" s="20" t="str">
        <f t="shared" si="4"/>
        <v/>
      </c>
      <c r="V47" s="25">
        <v>0.0</v>
      </c>
      <c r="W47" s="26">
        <v>0.0</v>
      </c>
      <c r="X47" s="26">
        <v>0.0</v>
      </c>
      <c r="Y47" s="27"/>
      <c r="Z47" s="26">
        <v>14.0</v>
      </c>
      <c r="AA47" s="26">
        <v>0.0</v>
      </c>
      <c r="AB47" s="26">
        <v>0.0</v>
      </c>
      <c r="AC47" s="27"/>
      <c r="AD47" s="27"/>
      <c r="AE47" s="10" t="s">
        <v>38</v>
      </c>
      <c r="AF47" s="10" t="s">
        <v>44</v>
      </c>
      <c r="AG47" s="27"/>
    </row>
    <row r="48" ht="15.75" customHeight="1">
      <c r="A48" s="34" t="s">
        <v>148</v>
      </c>
      <c r="B48" s="46">
        <v>1600.0</v>
      </c>
      <c r="C48" s="47" t="s">
        <v>87</v>
      </c>
      <c r="D48" s="15" t="s">
        <v>149</v>
      </c>
      <c r="E48" s="47" t="s">
        <v>147</v>
      </c>
      <c r="F48" s="36">
        <v>13.0</v>
      </c>
      <c r="G48" s="17">
        <v>2.0</v>
      </c>
      <c r="H48" s="17">
        <v>0.0</v>
      </c>
      <c r="I48" s="18">
        <v>0.0</v>
      </c>
      <c r="J48" s="19" t="str">
        <f t="shared" si="5"/>
        <v>relampago 3x2</v>
      </c>
      <c r="K48" s="20">
        <f t="shared" si="2"/>
        <v>1066.72</v>
      </c>
      <c r="L48" s="15"/>
      <c r="M48" s="20"/>
      <c r="N48" s="21">
        <v>2.0</v>
      </c>
      <c r="O48" s="22">
        <v>5.0</v>
      </c>
      <c r="P48" s="23">
        <f>IFERROR(__xludf.DUMMYFUNCTION("IFERROR(
  INDEX(
    QUERY(
      Historial!A:I,
      ""select I where B = '""&amp;A48&amp;""' order by A desc limit 1"",
      0
    ),
    1
  ),
  """"
)"),46247.0)</f>
        <v>46247</v>
      </c>
      <c r="Q48" s="19" t="s">
        <v>48</v>
      </c>
      <c r="R48" s="24">
        <v>46165.0</v>
      </c>
      <c r="S48" s="20">
        <f>IFERROR(__xludf.DUMMYFUNCTION("IFERROR(
  INDEX(
    QUERY(
      Historial!A:G,
      ""select G where B = '""&amp;A48&amp;""' order by A desc limit 1"",
      0
    ),
    1
  ),
  """"
)"),670.0)</f>
        <v>670</v>
      </c>
      <c r="T48" s="20" t="str">
        <f t="shared" si="3"/>
        <v>✅ OK</v>
      </c>
      <c r="U48" s="20" t="str">
        <f t="shared" si="4"/>
        <v/>
      </c>
      <c r="V48" s="25">
        <v>3.0</v>
      </c>
      <c r="W48" s="26">
        <v>10.0</v>
      </c>
      <c r="X48" s="26">
        <v>0.39</v>
      </c>
      <c r="Y48" s="26">
        <v>33.333333333333336</v>
      </c>
      <c r="Z48" s="26">
        <v>5.0</v>
      </c>
      <c r="AA48" s="26">
        <v>8.19</v>
      </c>
      <c r="AB48" s="26">
        <v>0.0</v>
      </c>
      <c r="AC48" s="26">
        <v>155.0</v>
      </c>
      <c r="AD48" s="26">
        <v>33.333333333333336</v>
      </c>
      <c r="AE48" s="10" t="s">
        <v>38</v>
      </c>
      <c r="AF48" s="10" t="s">
        <v>39</v>
      </c>
      <c r="AG48" s="27"/>
    </row>
    <row r="49" ht="15.75" customHeight="1">
      <c r="A49" s="34" t="s">
        <v>150</v>
      </c>
      <c r="B49" s="35">
        <v>2000.0</v>
      </c>
      <c r="C49" s="15" t="s">
        <v>87</v>
      </c>
      <c r="D49" s="15" t="s">
        <v>151</v>
      </c>
      <c r="E49" s="15"/>
      <c r="F49" s="41">
        <v>10.0</v>
      </c>
      <c r="G49" s="17">
        <v>3.0</v>
      </c>
      <c r="H49" s="17">
        <v>0.0</v>
      </c>
      <c r="I49" s="18">
        <v>0.0</v>
      </c>
      <c r="J49" s="19" t="str">
        <f t="shared" si="5"/>
        <v>relampago 4x3</v>
      </c>
      <c r="K49" s="20">
        <f t="shared" si="2"/>
        <v>1500</v>
      </c>
      <c r="L49" s="15"/>
      <c r="M49" s="20"/>
      <c r="N49" s="21">
        <v>0.0</v>
      </c>
      <c r="O49" s="22">
        <v>3.0</v>
      </c>
      <c r="P49" s="23" t="str">
        <f>IFERROR(__xludf.DUMMYFUNCTION("IFERROR(
  INDEX(
    QUERY(
      Historial!A:I,
      ""select I where B = '""&amp;A49&amp;""' order by A desc limit 1"",
      0
    ),
    1
  ),
  """"
)"),"")</f>
        <v/>
      </c>
      <c r="Q49" s="19" t="s">
        <v>51</v>
      </c>
      <c r="R49" s="24">
        <v>46166.0</v>
      </c>
      <c r="S49" s="20" t="str">
        <f>IFERROR(__xludf.DUMMYFUNCTION("IFERROR(
  INDEX(
    QUERY(
      Historial!A:G,
      ""select G where B = '""&amp;A49&amp;""' order by A desc limit 1"",
      0
    ),
    1
  ),
  """"
)"),"")</f>
        <v/>
      </c>
      <c r="T49" s="20" t="str">
        <f t="shared" si="3"/>
        <v/>
      </c>
      <c r="U49" s="20" t="str">
        <f t="shared" si="4"/>
        <v/>
      </c>
      <c r="V49" s="25">
        <v>0.0</v>
      </c>
      <c r="W49" s="26">
        <v>0.0</v>
      </c>
      <c r="X49" s="26">
        <v>0.0</v>
      </c>
      <c r="Y49" s="27"/>
      <c r="Z49" s="26">
        <v>14.0</v>
      </c>
      <c r="AA49" s="26">
        <v>0.0</v>
      </c>
      <c r="AB49" s="26">
        <v>0.0</v>
      </c>
      <c r="AC49" s="27"/>
      <c r="AD49" s="27"/>
      <c r="AE49" s="10" t="s">
        <v>38</v>
      </c>
      <c r="AF49" s="10" t="s">
        <v>44</v>
      </c>
      <c r="AG49" s="27"/>
    </row>
    <row r="50" ht="15.75" customHeight="1">
      <c r="A50" s="34" t="s">
        <v>152</v>
      </c>
      <c r="B50" s="35">
        <v>2000.0</v>
      </c>
      <c r="C50" s="15" t="s">
        <v>87</v>
      </c>
      <c r="D50" s="15" t="s">
        <v>153</v>
      </c>
      <c r="E50" s="15"/>
      <c r="F50" s="41">
        <v>10.0</v>
      </c>
      <c r="G50" s="33">
        <v>0.0</v>
      </c>
      <c r="H50" s="33">
        <v>0.0</v>
      </c>
      <c r="I50" s="29">
        <v>1.0</v>
      </c>
      <c r="J50" s="19" t="str">
        <f t="shared" si="5"/>
        <v>especial</v>
      </c>
      <c r="K50" s="20">
        <f t="shared" si="2"/>
        <v>1800</v>
      </c>
      <c r="L50" s="15"/>
      <c r="M50" s="20"/>
      <c r="N50" s="21">
        <v>0.0</v>
      </c>
      <c r="O50" s="22">
        <v>3.0</v>
      </c>
      <c r="P50" s="23" t="str">
        <f>IFERROR(__xludf.DUMMYFUNCTION("IFERROR(
  INDEX(
    QUERY(
      Historial!A:I,
      ""select I where B = '""&amp;A50&amp;""' order by A desc limit 1"",
      0
    ),
    1
  ),
  """"
)"),"")</f>
        <v/>
      </c>
      <c r="Q50" s="19" t="s">
        <v>57</v>
      </c>
      <c r="R50" s="24">
        <v>46167.0</v>
      </c>
      <c r="S50" s="20" t="str">
        <f>IFERROR(__xludf.DUMMYFUNCTION("IFERROR(
  INDEX(
    QUERY(
      Historial!A:G,
      ""select G where B = '""&amp;A50&amp;""' order by A desc limit 1"",
      0
    ),
    1
  ),
  """"
)"),"")</f>
        <v/>
      </c>
      <c r="T50" s="20" t="str">
        <f t="shared" si="3"/>
        <v/>
      </c>
      <c r="U50" s="20" t="str">
        <f t="shared" si="4"/>
        <v/>
      </c>
      <c r="V50" s="25">
        <v>0.0</v>
      </c>
      <c r="W50" s="26">
        <v>0.0</v>
      </c>
      <c r="X50" s="26">
        <v>0.0</v>
      </c>
      <c r="Y50" s="27"/>
      <c r="Z50" s="26">
        <v>10.0</v>
      </c>
      <c r="AA50" s="26">
        <v>0.0</v>
      </c>
      <c r="AB50" s="26">
        <v>0.0</v>
      </c>
      <c r="AC50" s="27"/>
      <c r="AD50" s="27"/>
      <c r="AE50" s="10" t="s">
        <v>38</v>
      </c>
      <c r="AF50" s="10" t="s">
        <v>44</v>
      </c>
      <c r="AG50" s="27"/>
    </row>
    <row r="51" ht="15.75" customHeight="1">
      <c r="A51" s="34" t="s">
        <v>154</v>
      </c>
      <c r="B51" s="46">
        <v>2000.0</v>
      </c>
      <c r="C51" s="47" t="s">
        <v>87</v>
      </c>
      <c r="D51" s="15" t="s">
        <v>155</v>
      </c>
      <c r="E51" s="47" t="s">
        <v>147</v>
      </c>
      <c r="F51" s="36">
        <v>21.0</v>
      </c>
      <c r="G51" s="17">
        <v>3.0</v>
      </c>
      <c r="H51" s="17">
        <v>0.0</v>
      </c>
      <c r="I51" s="18">
        <v>0.0</v>
      </c>
      <c r="J51" s="19" t="str">
        <f t="shared" si="5"/>
        <v>relampago 4x3</v>
      </c>
      <c r="K51" s="20">
        <f t="shared" si="2"/>
        <v>1500</v>
      </c>
      <c r="L51" s="15"/>
      <c r="M51" s="20"/>
      <c r="N51" s="21">
        <v>0.0</v>
      </c>
      <c r="O51" s="22">
        <v>2.0</v>
      </c>
      <c r="P51" s="23">
        <f>IFERROR(__xludf.DUMMYFUNCTION("IFERROR(
  INDEX(
    QUERY(
      Historial!A:I,
      ""select I where B = '""&amp;A51&amp;""' order by A desc limit 1"",
      0
    ),
    1
  ),
  """"
)"),46288.0)</f>
        <v>46288</v>
      </c>
      <c r="Q51" s="19" t="s">
        <v>60</v>
      </c>
      <c r="R51" s="24">
        <v>46168.0</v>
      </c>
      <c r="S51" s="20">
        <f>IFERROR(__xludf.DUMMYFUNCTION("IFERROR(
  INDEX(
    QUERY(
      Historial!A:G,
      ""select G where B = '""&amp;A51&amp;""' order by A desc limit 1"",
      0
    ),
    1
  ),
  """"
)"),970.0)</f>
        <v>970</v>
      </c>
      <c r="T51" s="20" t="str">
        <f t="shared" si="3"/>
        <v>✅ OK</v>
      </c>
      <c r="U51" s="20" t="str">
        <f t="shared" si="4"/>
        <v/>
      </c>
      <c r="V51" s="25">
        <v>0.0</v>
      </c>
      <c r="W51" s="26">
        <v>0.0</v>
      </c>
      <c r="X51" s="26">
        <v>0.0</v>
      </c>
      <c r="Y51" s="27"/>
      <c r="Z51" s="26">
        <v>14.0</v>
      </c>
      <c r="AA51" s="26">
        <v>0.0</v>
      </c>
      <c r="AB51" s="26">
        <v>0.0</v>
      </c>
      <c r="AC51" s="26">
        <v>196.0</v>
      </c>
      <c r="AD51" s="27"/>
      <c r="AE51" s="10" t="s">
        <v>38</v>
      </c>
      <c r="AF51" s="10" t="s">
        <v>44</v>
      </c>
      <c r="AG51" s="27"/>
    </row>
    <row r="52" ht="15.75" customHeight="1">
      <c r="A52" s="34" t="s">
        <v>156</v>
      </c>
      <c r="B52" s="35">
        <v>3000.0</v>
      </c>
      <c r="C52" s="15" t="s">
        <v>87</v>
      </c>
      <c r="D52" s="15" t="s">
        <v>157</v>
      </c>
      <c r="E52" s="15"/>
      <c r="F52" s="36">
        <v>9.0</v>
      </c>
      <c r="G52" s="33">
        <v>0.0</v>
      </c>
      <c r="H52" s="33">
        <v>0.0</v>
      </c>
      <c r="I52" s="29">
        <v>1.0</v>
      </c>
      <c r="J52" s="19" t="str">
        <f t="shared" si="5"/>
        <v>especial</v>
      </c>
      <c r="K52" s="20">
        <f t="shared" si="2"/>
        <v>2700</v>
      </c>
      <c r="L52" s="15"/>
      <c r="M52" s="20"/>
      <c r="N52" s="21">
        <v>2.0</v>
      </c>
      <c r="O52" s="22">
        <v>2.0</v>
      </c>
      <c r="P52" s="23" t="str">
        <f>IFERROR(__xludf.DUMMYFUNCTION("IFERROR(
  INDEX(
    QUERY(
      Historial!A:I,
      ""select I where B = '""&amp;A52&amp;""' order by A desc limit 1"",
      0
    ),
    1
  ),
  """"
)"),"")</f>
        <v/>
      </c>
      <c r="Q52" s="19" t="s">
        <v>63</v>
      </c>
      <c r="R52" s="24">
        <v>46169.0</v>
      </c>
      <c r="S52" s="20" t="str">
        <f>IFERROR(__xludf.DUMMYFUNCTION("IFERROR(
  INDEX(
    QUERY(
      Historial!A:G,
      ""select G where B = '""&amp;A52&amp;""' order by A desc limit 1"",
      0
    ),
    1
  ),
  """"
)"),"")</f>
        <v/>
      </c>
      <c r="T52" s="20" t="str">
        <f t="shared" si="3"/>
        <v/>
      </c>
      <c r="U52" s="20" t="str">
        <f t="shared" si="4"/>
        <v/>
      </c>
      <c r="V52" s="25">
        <v>1.0</v>
      </c>
      <c r="W52" s="26">
        <v>1.0</v>
      </c>
      <c r="X52" s="26">
        <v>0.099</v>
      </c>
      <c r="Y52" s="26">
        <v>90.9090909090909</v>
      </c>
      <c r="Z52" s="26">
        <v>14.0</v>
      </c>
      <c r="AA52" s="26">
        <v>0.99</v>
      </c>
      <c r="AB52" s="26">
        <v>0.0</v>
      </c>
      <c r="AC52" s="27"/>
      <c r="AD52" s="26">
        <v>90.9090909090909</v>
      </c>
      <c r="AE52" s="10" t="s">
        <v>38</v>
      </c>
      <c r="AF52" s="10" t="s">
        <v>39</v>
      </c>
      <c r="AG52" s="27"/>
    </row>
    <row r="53" ht="15.75" customHeight="1">
      <c r="A53" s="34" t="s">
        <v>158</v>
      </c>
      <c r="B53" s="35">
        <v>500.0</v>
      </c>
      <c r="C53" s="15" t="s">
        <v>87</v>
      </c>
      <c r="D53" s="15" t="s">
        <v>159</v>
      </c>
      <c r="E53" s="15"/>
      <c r="F53" s="41">
        <v>5.0</v>
      </c>
      <c r="G53" s="33">
        <v>0.0</v>
      </c>
      <c r="H53" s="33">
        <v>0.0</v>
      </c>
      <c r="I53" s="29">
        <v>0.0</v>
      </c>
      <c r="J53" s="19" t="str">
        <f t="shared" si="5"/>
        <v>sin oferta</v>
      </c>
      <c r="K53" s="20" t="str">
        <f t="shared" si="2"/>
        <v>NORMAL / SIN OFERTA</v>
      </c>
      <c r="L53" s="15"/>
      <c r="M53" s="20"/>
      <c r="N53" s="21">
        <v>3.0</v>
      </c>
      <c r="O53" s="22">
        <v>4.0</v>
      </c>
      <c r="P53" s="23" t="str">
        <f>IFERROR(__xludf.DUMMYFUNCTION("IFERROR(
  INDEX(
    QUERY(
      Historial!A:I,
      ""select I where B = '""&amp;A53&amp;""' order by A desc limit 1"",
      0
    ),
    1
  ),
  """"
)"),"")</f>
        <v/>
      </c>
      <c r="Q53" s="19" t="s">
        <v>48</v>
      </c>
      <c r="R53" s="24">
        <v>46172.0</v>
      </c>
      <c r="S53" s="20" t="str">
        <f>IFERROR(__xludf.DUMMYFUNCTION("IFERROR(
  INDEX(
    QUERY(
      Historial!A:G,
      ""select G where B = '""&amp;A53&amp;""' order by A desc limit 1"",
      0
    ),
    1
  ),
  """"
)"),"")</f>
        <v/>
      </c>
      <c r="T53" s="20" t="str">
        <f t="shared" si="3"/>
        <v/>
      </c>
      <c r="U53" s="20" t="str">
        <f t="shared" si="4"/>
        <v/>
      </c>
      <c r="V53" s="25">
        <v>0.0</v>
      </c>
      <c r="W53" s="26">
        <v>8.0</v>
      </c>
      <c r="X53" s="26">
        <v>0.107</v>
      </c>
      <c r="Y53" s="26">
        <v>46.728971962616825</v>
      </c>
      <c r="Z53" s="26">
        <v>21.0</v>
      </c>
      <c r="AA53" s="26">
        <v>0.749</v>
      </c>
      <c r="AB53" s="26">
        <v>0.0</v>
      </c>
      <c r="AC53" s="27"/>
      <c r="AD53" s="26">
        <v>46.728971962616825</v>
      </c>
      <c r="AE53" s="10" t="s">
        <v>38</v>
      </c>
      <c r="AF53" s="10" t="s">
        <v>39</v>
      </c>
      <c r="AG53" s="27"/>
    </row>
    <row r="54" ht="15.75" customHeight="1">
      <c r="A54" s="34" t="s">
        <v>160</v>
      </c>
      <c r="B54" s="35">
        <v>2000.0</v>
      </c>
      <c r="C54" s="15" t="s">
        <v>87</v>
      </c>
      <c r="D54" s="15" t="s">
        <v>161</v>
      </c>
      <c r="E54" s="15"/>
      <c r="F54" s="41">
        <v>9.0</v>
      </c>
      <c r="G54" s="33">
        <v>0.0</v>
      </c>
      <c r="H54" s="33">
        <v>0.0</v>
      </c>
      <c r="I54" s="29">
        <v>0.0</v>
      </c>
      <c r="J54" s="19" t="str">
        <f t="shared" si="5"/>
        <v>sin oferta</v>
      </c>
      <c r="K54" s="20" t="str">
        <f t="shared" si="2"/>
        <v>NORMAL / SIN OFERTA</v>
      </c>
      <c r="L54" s="15"/>
      <c r="M54" s="20"/>
      <c r="N54" s="21">
        <v>0.0</v>
      </c>
      <c r="O54" s="22">
        <v>2.0</v>
      </c>
      <c r="P54" s="23" t="str">
        <f>IFERROR(__xludf.DUMMYFUNCTION("IFERROR(
  INDEX(
    QUERY(
      Historial!A:I,
      ""select I where B = '""&amp;A54&amp;""' order by A desc limit 1"",
      0
    ),
    1
  ),
  """"
)"),"")</f>
        <v/>
      </c>
      <c r="Q54" s="19" t="s">
        <v>57</v>
      </c>
      <c r="R54" s="24">
        <v>46174.0</v>
      </c>
      <c r="S54" s="20" t="str">
        <f>IFERROR(__xludf.DUMMYFUNCTION("IFERROR(
  INDEX(
    QUERY(
      Historial!A:G,
      ""select G where B = '""&amp;A54&amp;""' order by A desc limit 1"",
      0
    ),
    1
  ),
  """"
)"),"")</f>
        <v/>
      </c>
      <c r="T54" s="20" t="str">
        <f t="shared" si="3"/>
        <v/>
      </c>
      <c r="U54" s="20" t="str">
        <f t="shared" si="4"/>
        <v/>
      </c>
      <c r="V54" s="25">
        <v>0.0</v>
      </c>
      <c r="W54" s="26">
        <v>0.0</v>
      </c>
      <c r="X54" s="26">
        <v>0.0</v>
      </c>
      <c r="Y54" s="27"/>
      <c r="Z54" s="26">
        <v>14.0</v>
      </c>
      <c r="AA54" s="26">
        <v>0.0</v>
      </c>
      <c r="AB54" s="26">
        <v>0.0</v>
      </c>
      <c r="AC54" s="27"/>
      <c r="AD54" s="27"/>
      <c r="AE54" s="10" t="s">
        <v>38</v>
      </c>
      <c r="AF54" s="10" t="s">
        <v>44</v>
      </c>
      <c r="AG54" s="27"/>
    </row>
    <row r="55" ht="15.75" customHeight="1">
      <c r="A55" s="31" t="s">
        <v>162</v>
      </c>
      <c r="B55" s="21">
        <v>700.0</v>
      </c>
      <c r="C55" s="56" t="s">
        <v>87</v>
      </c>
      <c r="D55" s="15" t="s">
        <v>163</v>
      </c>
      <c r="E55" s="56" t="s">
        <v>114</v>
      </c>
      <c r="F55" s="32">
        <v>11.0</v>
      </c>
      <c r="G55" s="40">
        <v>0.0</v>
      </c>
      <c r="H55" s="40">
        <v>0.0</v>
      </c>
      <c r="I55" s="40">
        <v>0.0</v>
      </c>
      <c r="J55" s="19" t="str">
        <f t="shared" si="5"/>
        <v>sin oferta</v>
      </c>
      <c r="K55" s="20" t="str">
        <f t="shared" si="2"/>
        <v>NORMAL / SIN OFERTA</v>
      </c>
      <c r="L55" s="20">
        <v>0.0</v>
      </c>
      <c r="M55" s="20">
        <v>0.0</v>
      </c>
      <c r="N55" s="21">
        <v>0.0</v>
      </c>
      <c r="O55" s="22">
        <v>2.0</v>
      </c>
      <c r="P55" s="23">
        <f>IFERROR(__xludf.DUMMYFUNCTION("IFERROR(
  INDEX(
    QUERY(
      Historial!A:I,
      ""select I where B = '""&amp;A55&amp;""' order by A desc limit 1"",
      0
    ),
    1
  ),
  """"
)"),46406.0)</f>
        <v>46406</v>
      </c>
      <c r="Q55" s="19" t="s">
        <v>43</v>
      </c>
      <c r="R55" s="24">
        <v>46178.0</v>
      </c>
      <c r="S55" s="20">
        <f>IFERROR(__xludf.DUMMYFUNCTION("IFERROR(
  INDEX(
    QUERY(
      Historial!A:G,
      ""select G where B = '""&amp;A55&amp;""' order by A desc limit 1"",
      0
    ),
    1
  ),
  """"
)"),350.0)</f>
        <v>350</v>
      </c>
      <c r="T55" s="20" t="str">
        <f t="shared" si="3"/>
        <v>✅ OK</v>
      </c>
      <c r="U55" s="20" t="str">
        <f t="shared" si="4"/>
        <v/>
      </c>
      <c r="V55" s="25">
        <v>0.0</v>
      </c>
      <c r="W55" s="26">
        <v>0.0</v>
      </c>
      <c r="X55" s="26">
        <v>0.0</v>
      </c>
      <c r="Y55" s="27"/>
      <c r="Z55" s="26">
        <v>14.0</v>
      </c>
      <c r="AA55" s="26">
        <v>0.0</v>
      </c>
      <c r="AB55" s="26">
        <v>0.0</v>
      </c>
      <c r="AC55" s="26">
        <v>314.0</v>
      </c>
      <c r="AD55" s="27"/>
      <c r="AE55" s="10" t="s">
        <v>38</v>
      </c>
      <c r="AF55" s="10" t="s">
        <v>44</v>
      </c>
      <c r="AG55" s="27"/>
    </row>
    <row r="56" ht="15.75" customHeight="1">
      <c r="A56" s="31" t="s">
        <v>164</v>
      </c>
      <c r="B56" s="40">
        <v>700.0</v>
      </c>
      <c r="C56" s="20" t="s">
        <v>87</v>
      </c>
      <c r="D56" s="15" t="s">
        <v>165</v>
      </c>
      <c r="E56" s="20" t="s">
        <v>47</v>
      </c>
      <c r="F56" s="39">
        <v>3.0</v>
      </c>
      <c r="G56" s="40">
        <v>0.0</v>
      </c>
      <c r="H56" s="20">
        <v>0.0</v>
      </c>
      <c r="I56" s="20">
        <v>0.0</v>
      </c>
      <c r="J56" s="40">
        <v>0.0</v>
      </c>
      <c r="K56" s="20" t="str">
        <f t="shared" si="2"/>
        <v>NORMAL / SIN OFERTA</v>
      </c>
      <c r="L56" s="20">
        <v>0.0</v>
      </c>
      <c r="M56" s="20">
        <v>0.0</v>
      </c>
      <c r="N56" s="21">
        <v>0.0</v>
      </c>
      <c r="O56" s="22">
        <v>2.0</v>
      </c>
      <c r="P56" s="23">
        <f>IFERROR(__xludf.DUMMYFUNCTION("IFERROR(
  INDEX(
    QUERY(
      Historial!A:I,
      ""select I where B = '""&amp;A56&amp;""' order by A desc limit 1"",
      0
    ),
    1
  ),
  """"
)"),46358.0)</f>
        <v>46358</v>
      </c>
      <c r="Q56" s="19" t="s">
        <v>63</v>
      </c>
      <c r="R56" s="24">
        <v>46183.0</v>
      </c>
      <c r="S56" s="20">
        <f>IFERROR(__xludf.DUMMYFUNCTION("IFERROR(
  INDEX(
    QUERY(
      Historial!A:G,
      ""select G where B = '""&amp;A56&amp;""' order by A desc limit 1"",
      0
    ),
    1
  ),
  """"
)"),429.0)</f>
        <v>429</v>
      </c>
      <c r="T56" s="20" t="str">
        <f t="shared" si="3"/>
        <v>✅ OK</v>
      </c>
      <c r="U56" s="20" t="str">
        <f t="shared" si="4"/>
        <v/>
      </c>
      <c r="V56" s="25">
        <v>0.0</v>
      </c>
      <c r="W56" s="26">
        <v>0.0</v>
      </c>
      <c r="X56" s="26">
        <v>0.0</v>
      </c>
      <c r="Y56" s="27"/>
      <c r="Z56" s="26">
        <v>14.0</v>
      </c>
      <c r="AA56" s="26">
        <v>0.0</v>
      </c>
      <c r="AB56" s="26">
        <v>0.0</v>
      </c>
      <c r="AC56" s="26">
        <v>266.0</v>
      </c>
      <c r="AD56" s="27"/>
      <c r="AE56" s="10" t="s">
        <v>38</v>
      </c>
      <c r="AF56" s="10" t="s">
        <v>44</v>
      </c>
      <c r="AG56" s="27"/>
    </row>
    <row r="57" ht="15.75" customHeight="1">
      <c r="A57" s="31" t="s">
        <v>166</v>
      </c>
      <c r="B57" s="40">
        <v>700.0</v>
      </c>
      <c r="C57" s="20" t="s">
        <v>87</v>
      </c>
      <c r="D57" s="15" t="s">
        <v>167</v>
      </c>
      <c r="E57" s="20" t="s">
        <v>47</v>
      </c>
      <c r="F57" s="39">
        <v>3.0</v>
      </c>
      <c r="G57" s="40">
        <v>0.0</v>
      </c>
      <c r="H57" s="20">
        <v>0.0</v>
      </c>
      <c r="I57" s="20">
        <v>0.0</v>
      </c>
      <c r="J57" s="40">
        <v>0.0</v>
      </c>
      <c r="K57" s="20" t="str">
        <f t="shared" si="2"/>
        <v>NORMAL / SIN OFERTA</v>
      </c>
      <c r="L57" s="20">
        <v>0.0</v>
      </c>
      <c r="M57" s="20">
        <v>0.0</v>
      </c>
      <c r="N57" s="21">
        <v>0.0</v>
      </c>
      <c r="O57" s="22">
        <v>2.0</v>
      </c>
      <c r="P57" s="23">
        <f>IFERROR(__xludf.DUMMYFUNCTION("IFERROR(
  INDEX(
    QUERY(
      Historial!A:I,
      ""select I where B = '""&amp;A57&amp;""' order by A desc limit 1"",
      0
    ),
    1
  ),
  """"
)"),46519.0)</f>
        <v>46519</v>
      </c>
      <c r="Q57" s="19" t="s">
        <v>37</v>
      </c>
      <c r="R57" s="24">
        <v>46184.0</v>
      </c>
      <c r="S57" s="20">
        <f>IFERROR(__xludf.DUMMYFUNCTION("IFERROR(
  INDEX(
    QUERY(
      Historial!A:G,
      ""select G where B = '""&amp;A57&amp;""' order by A desc limit 1"",
      0
    ),
    1
  ),
  """"
)"),429.0)</f>
        <v>429</v>
      </c>
      <c r="T57" s="20" t="str">
        <f t="shared" si="3"/>
        <v>✅ OK</v>
      </c>
      <c r="U57" s="20" t="str">
        <f t="shared" si="4"/>
        <v/>
      </c>
      <c r="V57" s="25">
        <v>0.0</v>
      </c>
      <c r="W57" s="26">
        <v>0.0</v>
      </c>
      <c r="X57" s="26">
        <v>0.0</v>
      </c>
      <c r="Y57" s="27"/>
      <c r="Z57" s="26">
        <v>14.0</v>
      </c>
      <c r="AA57" s="26">
        <v>0.0</v>
      </c>
      <c r="AB57" s="26">
        <v>0.0</v>
      </c>
      <c r="AC57" s="26">
        <v>427.0</v>
      </c>
      <c r="AD57" s="27"/>
      <c r="AE57" s="10" t="s">
        <v>38</v>
      </c>
      <c r="AF57" s="10" t="s">
        <v>44</v>
      </c>
      <c r="AG57" s="27"/>
    </row>
    <row r="58" ht="15.75" customHeight="1">
      <c r="A58" s="31" t="s">
        <v>168</v>
      </c>
      <c r="B58" s="21">
        <v>700.0</v>
      </c>
      <c r="C58" s="56" t="s">
        <v>87</v>
      </c>
      <c r="D58" s="15" t="s">
        <v>169</v>
      </c>
      <c r="E58" s="56" t="s">
        <v>114</v>
      </c>
      <c r="F58" s="32">
        <v>5.0</v>
      </c>
      <c r="G58" s="40">
        <v>0.0</v>
      </c>
      <c r="H58" s="20">
        <v>0.0</v>
      </c>
      <c r="I58" s="20">
        <v>0.0</v>
      </c>
      <c r="J58" s="40">
        <v>0.0</v>
      </c>
      <c r="K58" s="20" t="str">
        <f t="shared" si="2"/>
        <v>NORMAL / SIN OFERTA</v>
      </c>
      <c r="L58" s="20">
        <v>0.0</v>
      </c>
      <c r="M58" s="20">
        <v>0.0</v>
      </c>
      <c r="N58" s="21">
        <v>2.0</v>
      </c>
      <c r="O58" s="22">
        <v>2.0</v>
      </c>
      <c r="P58" s="23">
        <f>IFERROR(__xludf.DUMMYFUNCTION("IFERROR(
  INDEX(
    QUERY(
      Historial!A:I,
      ""select I where B = '""&amp;A58&amp;""' order by A desc limit 1"",
      0
    ),
    1
  ),
  """"
)"),46406.0)</f>
        <v>46406</v>
      </c>
      <c r="Q58" s="19" t="s">
        <v>43</v>
      </c>
      <c r="R58" s="24">
        <v>46185.0</v>
      </c>
      <c r="S58" s="20">
        <f>IFERROR(__xludf.DUMMYFUNCTION("IFERROR(
  INDEX(
    QUERY(
      Historial!A:G,
      ""select G where B = '""&amp;A58&amp;""' order by A desc limit 1"",
      0
    ),
    1
  ),
  """"
)"),350.0)</f>
        <v>350</v>
      </c>
      <c r="T58" s="20" t="str">
        <f t="shared" si="3"/>
        <v>✅ OK</v>
      </c>
      <c r="U58" s="20" t="str">
        <f t="shared" si="4"/>
        <v/>
      </c>
      <c r="V58" s="25">
        <v>1.0</v>
      </c>
      <c r="W58" s="26">
        <v>1.0</v>
      </c>
      <c r="X58" s="26">
        <v>0.099</v>
      </c>
      <c r="Y58" s="26">
        <v>50.505050505050505</v>
      </c>
      <c r="Z58" s="26">
        <v>14.0</v>
      </c>
      <c r="AA58" s="26">
        <v>0.99</v>
      </c>
      <c r="AB58" s="26">
        <v>0.0</v>
      </c>
      <c r="AC58" s="26">
        <v>314.0</v>
      </c>
      <c r="AD58" s="26">
        <v>50.505050505050505</v>
      </c>
      <c r="AE58" s="10" t="s">
        <v>38</v>
      </c>
      <c r="AF58" s="10" t="s">
        <v>39</v>
      </c>
      <c r="AG58" s="27"/>
    </row>
    <row r="59" ht="15.75" customHeight="1">
      <c r="A59" s="34" t="s">
        <v>170</v>
      </c>
      <c r="B59" s="46">
        <v>700.0</v>
      </c>
      <c r="C59" s="47" t="s">
        <v>87</v>
      </c>
      <c r="D59" s="15" t="s">
        <v>171</v>
      </c>
      <c r="E59" s="47" t="s">
        <v>114</v>
      </c>
      <c r="F59" s="36">
        <v>4.0</v>
      </c>
      <c r="G59" s="15">
        <v>0.0</v>
      </c>
      <c r="H59" s="33">
        <v>0.0</v>
      </c>
      <c r="I59" s="19">
        <v>0.0</v>
      </c>
      <c r="J59" s="19" t="str">
        <f t="shared" ref="J59:J60" si="6">IF(
A59="",
"",
IF(
F59=0,
"sin stock",
IF(
NOT(OR(I59=0,I59=1)),
"ERROR ESPECIAL",
IF(
NOT(ISNUMBER(MATCH(G59,{0;1;2;3;4;5;6;10;11;12;13;14},0))),
"ERROR RELAMPAGO",
IF(
OR(H59&gt;70,AND(H59&gt;0,H59&lt;15)),
"ERROR DESTACADA",
IF(
(I59=1)+(H59&gt;0)+(G59&gt;0)&gt;1,
"ERROR DOBLE OFERTA",
IF(
I59=1,
"especial",
IF(
H59&gt;0,
"destacada",
IF(
G59&gt;0,
IF(
OR(
AND(G59&lt;=6,F59&lt;(G59+1)),
AND(G59=10,F59&lt;2),
AND(G59&gt;=11,F59&lt;1)
),
"REPONER "&amp;
IF(G59&lt;=6,G59+1-F59,
IF(G59=10,2-F59,
1-
F59)
)&amp;
" PARA PROMO",
IF(
G59&lt;=6,
"relampago "&amp;(G59+1)&amp;"x"&amp;G59,
IF(
G59=10,
"2da50off",
IF(
G59&gt;=11,
"relampago "&amp;CHOOSE(G59-10,10,15,20,25)&amp;"%",
"relampago"
)
)
)
),
"sin oferta"
)
)
)
)
)
)
)
)
)</f>
        <v>sin oferta</v>
      </c>
      <c r="K59" s="20" t="str">
        <f t="shared" si="2"/>
        <v>NORMAL / SIN OFERTA</v>
      </c>
      <c r="L59" s="20"/>
      <c r="M59" s="20"/>
      <c r="N59" s="21">
        <v>1.0</v>
      </c>
      <c r="O59" s="22">
        <v>3.0</v>
      </c>
      <c r="P59" s="23" t="str">
        <f>IFERROR(__xludf.DUMMYFUNCTION("IFERROR(
  INDEX(
    QUERY(
      Historial!A:I,
      ""select I where B = '""&amp;A59&amp;""' order by A desc limit 1"",
      0
    ),
    1
  ),
  """"
)"),"")</f>
        <v/>
      </c>
      <c r="Q59" s="19" t="s">
        <v>51</v>
      </c>
      <c r="R59" s="24">
        <v>46187.0</v>
      </c>
      <c r="S59" s="20">
        <f>IFERROR(__xludf.DUMMYFUNCTION("IFERROR(
  INDEX(
    QUERY(
      Historial!A:G,
      ""select G where B = '""&amp;A59&amp;""' order by A desc limit 1"",
      0
    ),
    1
  ),
  """"
)"),450.0)</f>
        <v>450</v>
      </c>
      <c r="T59" s="20" t="str">
        <f t="shared" si="3"/>
        <v/>
      </c>
      <c r="U59" s="20" t="str">
        <f t="shared" si="4"/>
        <v/>
      </c>
      <c r="V59" s="25">
        <v>0.0</v>
      </c>
      <c r="W59" s="26">
        <v>3.0</v>
      </c>
      <c r="X59" s="26">
        <v>0.04</v>
      </c>
      <c r="Y59" s="26">
        <v>100.0</v>
      </c>
      <c r="Z59" s="26">
        <v>21.0</v>
      </c>
      <c r="AA59" s="26">
        <v>0.28</v>
      </c>
      <c r="AB59" s="26">
        <v>0.0</v>
      </c>
      <c r="AC59" s="27"/>
      <c r="AD59" s="26">
        <v>100.0</v>
      </c>
      <c r="AE59" s="10" t="s">
        <v>38</v>
      </c>
      <c r="AF59" s="10" t="s">
        <v>39</v>
      </c>
      <c r="AG59" s="27"/>
    </row>
    <row r="60" ht="15.75" customHeight="1">
      <c r="A60" s="34" t="s">
        <v>172</v>
      </c>
      <c r="B60" s="46">
        <v>700.0</v>
      </c>
      <c r="C60" s="47" t="s">
        <v>87</v>
      </c>
      <c r="D60" s="15" t="s">
        <v>173</v>
      </c>
      <c r="E60" s="47" t="s">
        <v>114</v>
      </c>
      <c r="F60" s="36">
        <v>6.0</v>
      </c>
      <c r="G60" s="15">
        <v>0.0</v>
      </c>
      <c r="H60" s="33">
        <v>0.0</v>
      </c>
      <c r="I60" s="19">
        <v>0.0</v>
      </c>
      <c r="J60" s="19" t="str">
        <f t="shared" si="6"/>
        <v>sin oferta</v>
      </c>
      <c r="K60" s="20" t="str">
        <f t="shared" si="2"/>
        <v>NORMAL / SIN OFERTA</v>
      </c>
      <c r="L60" s="20"/>
      <c r="M60" s="20"/>
      <c r="N60" s="21">
        <v>1.0</v>
      </c>
      <c r="O60" s="22">
        <v>2.0</v>
      </c>
      <c r="P60" s="23" t="str">
        <f>IFERROR(__xludf.DUMMYFUNCTION("IFERROR(
  INDEX(
    QUERY(
      Historial!A:I,
      ""select I where B = '""&amp;A60&amp;""' order by A desc limit 1"",
      0
    ),
    1
  ),
  """"
)"),"")</f>
        <v/>
      </c>
      <c r="Q60" s="19" t="s">
        <v>60</v>
      </c>
      <c r="R60" s="24">
        <v>46189.0</v>
      </c>
      <c r="S60" s="20">
        <f>IFERROR(__xludf.DUMMYFUNCTION("IFERROR(
  INDEX(
    QUERY(
      Historial!A:G,
      ""select G where B = '""&amp;A60&amp;""' order by A desc limit 1"",
      0
    ),
    1
  ),
  """"
)"),350.0)</f>
        <v>350</v>
      </c>
      <c r="T60" s="20" t="str">
        <f t="shared" si="3"/>
        <v/>
      </c>
      <c r="U60" s="20" t="str">
        <f t="shared" si="4"/>
        <v/>
      </c>
      <c r="V60" s="25">
        <v>0.0</v>
      </c>
      <c r="W60" s="26">
        <v>1.0</v>
      </c>
      <c r="X60" s="26">
        <v>0.013</v>
      </c>
      <c r="Y60" s="26">
        <v>461.53846153846155</v>
      </c>
      <c r="Z60" s="26">
        <v>21.0</v>
      </c>
      <c r="AA60" s="26">
        <v>0.091</v>
      </c>
      <c r="AB60" s="26">
        <v>0.0</v>
      </c>
      <c r="AC60" s="27"/>
      <c r="AD60" s="26">
        <v>461.53846153846155</v>
      </c>
      <c r="AE60" s="10" t="s">
        <v>38</v>
      </c>
      <c r="AF60" s="10" t="s">
        <v>39</v>
      </c>
      <c r="AG60" s="27"/>
    </row>
    <row r="61" ht="15.75" customHeight="1">
      <c r="A61" s="31" t="s">
        <v>174</v>
      </c>
      <c r="B61" s="21">
        <v>700.0</v>
      </c>
      <c r="C61" s="56" t="s">
        <v>87</v>
      </c>
      <c r="D61" s="15" t="s">
        <v>175</v>
      </c>
      <c r="E61" s="56" t="s">
        <v>114</v>
      </c>
      <c r="F61" s="32">
        <v>6.0</v>
      </c>
      <c r="G61" s="40">
        <v>0.0</v>
      </c>
      <c r="H61" s="20">
        <v>0.0</v>
      </c>
      <c r="I61" s="20">
        <v>0.0</v>
      </c>
      <c r="J61" s="40">
        <v>0.0</v>
      </c>
      <c r="K61" s="20" t="str">
        <f t="shared" si="2"/>
        <v>NORMAL / SIN OFERTA</v>
      </c>
      <c r="L61" s="20">
        <v>0.0</v>
      </c>
      <c r="M61" s="20">
        <v>0.0</v>
      </c>
      <c r="N61" s="21">
        <v>0.0</v>
      </c>
      <c r="O61" s="22">
        <v>2.0</v>
      </c>
      <c r="P61" s="23">
        <f>IFERROR(__xludf.DUMMYFUNCTION("IFERROR(
  INDEX(
    QUERY(
      Historial!A:I,
      ""select I where B = '""&amp;A61&amp;""' order by A desc limit 1"",
      0
    ),
    1
  ),
  """"
)"),46379.0)</f>
        <v>46379</v>
      </c>
      <c r="Q61" s="19" t="s">
        <v>37</v>
      </c>
      <c r="R61" s="24">
        <v>46191.0</v>
      </c>
      <c r="S61" s="20">
        <f>IFERROR(__xludf.DUMMYFUNCTION("IFERROR(
  INDEX(
    QUERY(
      Historial!A:G,
      ""select G where B = '""&amp;A61&amp;""' order by A desc limit 1"",
      0
    ),
    1
  ),
  """"
)"),350.0)</f>
        <v>350</v>
      </c>
      <c r="T61" s="20" t="str">
        <f t="shared" si="3"/>
        <v>✅ OK</v>
      </c>
      <c r="U61" s="20" t="str">
        <f t="shared" si="4"/>
        <v/>
      </c>
      <c r="V61" s="25">
        <v>0.0</v>
      </c>
      <c r="W61" s="26">
        <v>0.0</v>
      </c>
      <c r="X61" s="26">
        <v>0.0</v>
      </c>
      <c r="Y61" s="27"/>
      <c r="Z61" s="26">
        <v>21.0</v>
      </c>
      <c r="AA61" s="26">
        <v>0.0</v>
      </c>
      <c r="AB61" s="26">
        <v>0.0</v>
      </c>
      <c r="AC61" s="26">
        <v>287.0</v>
      </c>
      <c r="AD61" s="27"/>
      <c r="AE61" s="10" t="s">
        <v>38</v>
      </c>
      <c r="AF61" s="10" t="s">
        <v>44</v>
      </c>
      <c r="AG61" s="27"/>
    </row>
    <row r="62" ht="15.75" customHeight="1">
      <c r="A62" s="31" t="s">
        <v>176</v>
      </c>
      <c r="B62" s="40">
        <v>700.0</v>
      </c>
      <c r="C62" s="20" t="s">
        <v>87</v>
      </c>
      <c r="D62" s="15" t="s">
        <v>177</v>
      </c>
      <c r="E62" s="20" t="s">
        <v>47</v>
      </c>
      <c r="F62" s="39">
        <v>3.0</v>
      </c>
      <c r="G62" s="40">
        <v>0.0</v>
      </c>
      <c r="H62" s="20">
        <v>0.0</v>
      </c>
      <c r="I62" s="20">
        <v>0.0</v>
      </c>
      <c r="J62" s="40">
        <v>0.0</v>
      </c>
      <c r="K62" s="20" t="str">
        <f t="shared" si="2"/>
        <v>NORMAL / SIN OFERTA</v>
      </c>
      <c r="L62" s="20">
        <v>0.0</v>
      </c>
      <c r="M62" s="20">
        <v>0.0</v>
      </c>
      <c r="N62" s="21">
        <v>0.0</v>
      </c>
      <c r="O62" s="22">
        <v>2.0</v>
      </c>
      <c r="P62" s="23">
        <f>IFERROR(__xludf.DUMMYFUNCTION("IFERROR(
  INDEX(
    QUERY(
      Historial!A:I,
      ""select I where B = '""&amp;A62&amp;""' order by A desc limit 1"",
      0
    ),
    1
  ),
  """"
)"),46497.0)</f>
        <v>46497</v>
      </c>
      <c r="Q62" s="19" t="s">
        <v>43</v>
      </c>
      <c r="R62" s="24">
        <v>46192.0</v>
      </c>
      <c r="S62" s="20">
        <f>IFERROR(__xludf.DUMMYFUNCTION("IFERROR(
  INDEX(
    QUERY(
      Historial!A:G,
      ""select G where B = '""&amp;A62&amp;""' order by A desc limit 1"",
      0
    ),
    1
  ),
  """"
)"),429.0)</f>
        <v>429</v>
      </c>
      <c r="T62" s="20" t="str">
        <f t="shared" si="3"/>
        <v>✅ OK</v>
      </c>
      <c r="U62" s="20" t="str">
        <f t="shared" si="4"/>
        <v/>
      </c>
      <c r="V62" s="25">
        <v>0.0</v>
      </c>
      <c r="W62" s="26">
        <v>0.0</v>
      </c>
      <c r="X62" s="26">
        <v>0.0</v>
      </c>
      <c r="Y62" s="27"/>
      <c r="Z62" s="26">
        <v>14.0</v>
      </c>
      <c r="AA62" s="26">
        <v>0.0</v>
      </c>
      <c r="AB62" s="26">
        <v>0.0</v>
      </c>
      <c r="AC62" s="26">
        <v>405.0</v>
      </c>
      <c r="AD62" s="27"/>
      <c r="AE62" s="10" t="s">
        <v>38</v>
      </c>
      <c r="AF62" s="10" t="s">
        <v>44</v>
      </c>
      <c r="AG62" s="27"/>
    </row>
    <row r="63" ht="15.75" customHeight="1">
      <c r="A63" s="34" t="s">
        <v>178</v>
      </c>
      <c r="B63" s="35">
        <v>600.0</v>
      </c>
      <c r="C63" s="15" t="s">
        <v>87</v>
      </c>
      <c r="D63" s="15" t="s">
        <v>179</v>
      </c>
      <c r="E63" s="15"/>
      <c r="F63" s="41">
        <v>3.0</v>
      </c>
      <c r="G63" s="15">
        <v>0.0</v>
      </c>
      <c r="H63" s="33">
        <v>0.0</v>
      </c>
      <c r="I63" s="19">
        <v>0.0</v>
      </c>
      <c r="J63" s="19" t="str">
        <f t="array" ref="J63">IF(
  A63="",
  "",
  IF(
    F63=0,
    "sin stock",
    IF(
      NOT(OR(I63=0,I63=1)),
      "ERROR ESPECIAL",
      IF(
        NOT(ISNUMBER(MATCH(G63,{0;1;2;3;4;5;6;10;11;12;13;14},0))),
        "ERROR RELAMPAGO",
        IF(
          OR(H63&gt;70,AND(H63&gt;0,H63&lt;15)),
          "ERROR DESTACADA",
          IF(
            (I63=1)+(H63&gt;0)+(G63&gt;0)&gt;1,
            "ERROR DOBLE OFERTA",
            IF(
              I63=1,
              "especial",
              IF(
                H63&gt;0,
                "destacada",
                IF(
                  G63&gt;0,
                  IF(
                    OR(
                      AND(G63&lt;=6,F63&lt;(G63+1)),
                      AND(G63=10,F63&lt;2),
                      AND(G63&gt;=11,F63&lt;1)
                    ),
                    "REPONER "&amp;
                    IF(G63&lt;=6,G63+1-F63,
                       IF(G63=10,2-F63,
                          1-F63
                       )
                    )&amp;
                    " PARA PROMO",
                    IF(
                      G63&lt;=6,
                      "relampago "&amp;(G63+1)&amp;"x"&amp;G63,
                      IF(
                        G63=10,
                        "2da50off",
                        IF(
                          G63&gt;=11,
                          "relampago "&amp;CHOOSE(G63-10,10,15,20,25)&amp;"%",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sin oferta</v>
      </c>
      <c r="K63" s="20" t="str">
        <f t="shared" si="2"/>
        <v>NORMAL / SIN OFERTA</v>
      </c>
      <c r="L63" s="20"/>
      <c r="M63" s="20"/>
      <c r="N63" s="21">
        <v>0.0</v>
      </c>
      <c r="O63" s="22">
        <v>2.0</v>
      </c>
      <c r="P63" s="23" t="str">
        <f>IFERROR(__xludf.DUMMYFUNCTION("IFERROR(
  INDEX(
    QUERY(
      Historial!A:I,
      ""select I where B = '""&amp;A63&amp;""' order by A desc limit 1"",
      0
    ),
    1
  ),
  """"
)"),"")</f>
        <v/>
      </c>
      <c r="Q63" s="19" t="s">
        <v>48</v>
      </c>
      <c r="R63" s="24">
        <v>46193.0</v>
      </c>
      <c r="S63" s="20" t="str">
        <f>IFERROR(__xludf.DUMMYFUNCTION("IFERROR(
  INDEX(
    QUERY(
      Historial!A:G,
      ""select G where B = '""&amp;A63&amp;""' order by A desc limit 1"",
      0
    ),
    1
  ),
  """"
)"),"")</f>
        <v/>
      </c>
      <c r="T63" s="20" t="str">
        <f t="shared" si="3"/>
        <v/>
      </c>
      <c r="U63" s="20" t="str">
        <f t="shared" si="4"/>
        <v/>
      </c>
      <c r="V63" s="25">
        <v>0.0</v>
      </c>
      <c r="W63" s="26">
        <v>0.0</v>
      </c>
      <c r="X63" s="26">
        <v>0.0</v>
      </c>
      <c r="Y63" s="27"/>
      <c r="Z63" s="26">
        <v>14.0</v>
      </c>
      <c r="AA63" s="26">
        <v>0.0</v>
      </c>
      <c r="AB63" s="26">
        <v>0.0</v>
      </c>
      <c r="AC63" s="27"/>
      <c r="AD63" s="27"/>
      <c r="AE63" s="10" t="s">
        <v>38</v>
      </c>
      <c r="AF63" s="10" t="s">
        <v>44</v>
      </c>
      <c r="AG63" s="27"/>
    </row>
    <row r="64" ht="15.75" customHeight="1">
      <c r="A64" s="34" t="s">
        <v>180</v>
      </c>
      <c r="B64" s="35">
        <v>700.0</v>
      </c>
      <c r="C64" s="15" t="s">
        <v>87</v>
      </c>
      <c r="D64" s="15" t="s">
        <v>181</v>
      </c>
      <c r="E64" s="15" t="s">
        <v>47</v>
      </c>
      <c r="F64" s="41">
        <v>3.0</v>
      </c>
      <c r="G64" s="15">
        <v>0.0</v>
      </c>
      <c r="H64" s="33">
        <v>0.0</v>
      </c>
      <c r="I64" s="19">
        <v>0.0</v>
      </c>
      <c r="J64" s="19" t="str">
        <f t="array" ref="J64">IF(
A64="",
"",
IF(
F64=0,
"sin stock",
IF(
NOT(OR(I64=0,I64=1)),
"ERROR ESPECIAL",
IF(
NOT(ISNUMBER(MATCH(G64,{0;1;2;3;4;5;6;10;11;12;13;14},0))),
"ERROR RELAMPAGO",
IF(
OR(H64&gt;70,AND(H64&gt;0,H64&lt;15)),
"ERROR DESTACADA",
IF(
(I64=1)+(H64&gt;0)+(G64&gt;0)&gt;1,
"ERROR DOBLE OFERTA",
IF(
I64=1,
"especial",
IF(
H64&gt;0,
"destacada",
IF(
G64&gt;0,
IF(
OR(
AND(G64&lt;=6,F64&lt;(G64+1)),
AND(G64=10,F64&lt;2),
AND(G64&gt;=11,F64&lt;1)
),
"REPONER "&amp;
IF(G64&lt;=6,G64+1-F64,
IF(G64=10,2-F64,
1-
F64)
)&amp;
" PARA PROMO",
IF(
G64&lt;=6,
"relampago "&amp;(G64+1)&amp;"x"&amp;G64,
IF(
G64=10,
"2da50off",
IF(
G64&gt;=11,
"relampago "&amp;CHOOSE(G64-10,10,15,20,25)&amp;"%",
"relampago"
)
)
)
),
"sin oferta"
)
)
)
)
)
)
)
)
)</f>
        <v>sin oferta</v>
      </c>
      <c r="K64" s="20" t="str">
        <f t="shared" si="2"/>
        <v>NORMAL / SIN OFERTA</v>
      </c>
      <c r="L64" s="20"/>
      <c r="M64" s="20"/>
      <c r="N64" s="21">
        <v>1.0</v>
      </c>
      <c r="O64" s="22">
        <v>3.0</v>
      </c>
      <c r="P64" s="23">
        <f>IFERROR(__xludf.DUMMYFUNCTION("IFERROR(
  INDEX(
    QUERY(
      Historial!A:I,
      ""select I where B = '""&amp;A64&amp;""' order by A desc limit 1"",
      0
    ),
    1
  ),
  """"
)"),46465.0)</f>
        <v>46465</v>
      </c>
      <c r="Q64" s="19" t="s">
        <v>51</v>
      </c>
      <c r="R64" s="24">
        <v>46194.0</v>
      </c>
      <c r="S64" s="20">
        <f>IFERROR(__xludf.DUMMYFUNCTION("IFERROR(
  INDEX(
    QUERY(
      Historial!A:G,
      ""select G where B = '""&amp;A64&amp;""' order by A desc limit 1"",
      0
    ),
    1
  ),
  """"
)"),429.0)</f>
        <v>429</v>
      </c>
      <c r="T64" s="20" t="str">
        <f t="shared" si="3"/>
        <v>✅ OK</v>
      </c>
      <c r="U64" s="20" t="str">
        <f t="shared" si="4"/>
        <v/>
      </c>
      <c r="V64" s="25">
        <v>0.0</v>
      </c>
      <c r="W64" s="26">
        <v>1.0</v>
      </c>
      <c r="X64" s="26">
        <v>0.013</v>
      </c>
      <c r="Y64" s="26">
        <v>230.76923076923077</v>
      </c>
      <c r="Z64" s="26">
        <v>10.0</v>
      </c>
      <c r="AA64" s="26">
        <v>0.182</v>
      </c>
      <c r="AB64" s="26">
        <v>0.0</v>
      </c>
      <c r="AC64" s="26">
        <v>373.0</v>
      </c>
      <c r="AD64" s="26">
        <v>230.76923076923077</v>
      </c>
      <c r="AE64" s="10" t="s">
        <v>38</v>
      </c>
      <c r="AF64" s="10" t="s">
        <v>39</v>
      </c>
      <c r="AG64" s="27"/>
    </row>
    <row r="65" ht="15.75" customHeight="1">
      <c r="A65" s="31" t="s">
        <v>182</v>
      </c>
      <c r="B65" s="40">
        <v>1600.0</v>
      </c>
      <c r="C65" s="20" t="s">
        <v>87</v>
      </c>
      <c r="D65" s="15" t="s">
        <v>183</v>
      </c>
      <c r="E65" s="20" t="s">
        <v>184</v>
      </c>
      <c r="F65" s="39">
        <v>9.0</v>
      </c>
      <c r="G65" s="40">
        <v>0.0</v>
      </c>
      <c r="H65" s="40">
        <v>0.0</v>
      </c>
      <c r="I65" s="40">
        <v>0.0</v>
      </c>
      <c r="J65" s="20">
        <v>0.0</v>
      </c>
      <c r="K65" s="20">
        <v>0.0</v>
      </c>
      <c r="L65" s="20">
        <v>0.0</v>
      </c>
      <c r="M65" s="20">
        <v>0.0</v>
      </c>
      <c r="N65" s="21">
        <v>1.0</v>
      </c>
      <c r="O65" s="22">
        <v>2.0</v>
      </c>
      <c r="P65" s="23" t="str">
        <f>IFERROR(__xludf.DUMMYFUNCTION("IFERROR(
  INDEX(
    QUERY(
      Historial!A:I,
      ""select I where B = '""&amp;A65&amp;""' order by A desc limit 1"",
      0
    ),
    1
  ),
  """"
)"),"")</f>
        <v/>
      </c>
      <c r="Q65" s="19" t="s">
        <v>60</v>
      </c>
      <c r="R65" s="24">
        <v>46196.0</v>
      </c>
      <c r="S65" s="20" t="str">
        <f>IFERROR(__xludf.DUMMYFUNCTION("IFERROR(
  INDEX(
    QUERY(
      Historial!A:G,
      ""select G where B = '""&amp;A65&amp;""' order by A desc limit 1"",
      0
    ),
    1
  ),
  """"
)"),"")</f>
        <v/>
      </c>
      <c r="T65" s="20" t="str">
        <f t="shared" si="3"/>
        <v/>
      </c>
      <c r="U65" s="20" t="str">
        <f t="shared" si="4"/>
        <v/>
      </c>
      <c r="V65" s="25">
        <v>0.0</v>
      </c>
      <c r="W65" s="26">
        <v>1.0</v>
      </c>
      <c r="X65" s="26">
        <v>0.013</v>
      </c>
      <c r="Y65" s="26">
        <v>692.3076923076924</v>
      </c>
      <c r="Z65" s="26">
        <v>21.0</v>
      </c>
      <c r="AA65" s="26">
        <v>0.091</v>
      </c>
      <c r="AB65" s="26">
        <v>0.0</v>
      </c>
      <c r="AC65" s="27"/>
      <c r="AD65" s="26">
        <v>692.3076923076924</v>
      </c>
      <c r="AE65" s="10" t="s">
        <v>38</v>
      </c>
      <c r="AF65" s="10" t="s">
        <v>39</v>
      </c>
      <c r="AG65" s="27"/>
    </row>
    <row r="66" ht="15.75" customHeight="1">
      <c r="A66" s="34" t="s">
        <v>185</v>
      </c>
      <c r="B66" s="35">
        <v>2200.0</v>
      </c>
      <c r="C66" s="15" t="s">
        <v>87</v>
      </c>
      <c r="D66" s="15" t="s">
        <v>186</v>
      </c>
      <c r="E66" s="15" t="s">
        <v>74</v>
      </c>
      <c r="F66" s="41">
        <v>5.0</v>
      </c>
      <c r="G66" s="33">
        <v>0.0</v>
      </c>
      <c r="H66" s="33">
        <v>0.0</v>
      </c>
      <c r="I66" s="29">
        <v>1.0</v>
      </c>
      <c r="J66" s="19" t="str">
        <f t="shared" ref="J66:J68" si="7">IF(
A66="",
"",
IF(
F66=0,
"sin stock",
IF(
NOT(OR(I66=0,I66=1)),
"ERROR ESPECIAL",
IF(
NOT(ISNUMBER(MATCH(G66,{0;1;2;3;4;5;6;10;11;12;13;14},0))),
"ERROR RELAMPAGO",
IF(
OR(H66&gt;70,AND(H66&gt;0,H66&lt;15)),
"ERROR DESTACADA",
IF(
(I66=1)+(H66&gt;0)+(G66&gt;0)&gt;1,
"ERROR DOBLE OFERTA",
IF(
I66=1,
"especial",
IF(
H66&gt;0,
"destacada",
IF(
G66&gt;0,
IF(
OR(
AND(G66&lt;=6,F66&lt;(G66+1)),
AND(G66=10,F66&lt;2),
AND(G66&gt;=11,F66&lt;1)
),
"REPONER "&amp;
IF(G66&lt;=6,G66+1-F66,
IF(G66=10,2-F66,
1-
F66)
)&amp;
" PARA PROMO",
IF(
G66&lt;=6,
"relampago "&amp;(G66+1)&amp;"x"&amp;G66,
IF(
G66=10,
"2da50off",
IF(
G66&gt;=11,
"relampago "&amp;CHOOSE(G66-10,10,15,20,25)&amp;"%",
"relampago"
)
)
)
),
"sin oferta"
)
)
)
)
)
)
)
)
)</f>
        <v>especial</v>
      </c>
      <c r="K66" s="20">
        <f t="shared" ref="K66:K286" si="8">IF(AND(C66="PROMOS", F66&gt;=1),
   "COMBO ACTIVADO EN CAT. PROMOS",
   IF(OR(F66&lt;=0, B66&lt;=0),
      "SIN STOCK / CARGAR STOCK",
      IF(B66="",
         "CARGAR PRECIO",
         IF(AND(ISNUMBER(G66), G66&gt;0),
            B66 * VLOOKUP(G66, {1,0.5; 2,0.6667; 3,0.75; 4,0.8; 5,0.8333; 6,0.8571; 10,0.75}, 2, FALSE),
            IF(AND(ISNUMBER(H66), H66&gt;0),
               B66 * (1 - H66/100),
               IF(I66=1,
                  B66 * 0.9,
                  "NORMAL / SIN OFERTA"
               )
            )
         )
      )
   )
)</f>
        <v>1980</v>
      </c>
      <c r="L66" s="15"/>
      <c r="M66" s="20"/>
      <c r="N66" s="21">
        <v>0.0</v>
      </c>
      <c r="O66" s="22">
        <v>2.0</v>
      </c>
      <c r="P66" s="23" t="str">
        <f>IFERROR(__xludf.DUMMYFUNCTION("IFERROR(
  INDEX(
    QUERY(
      Historial!A:I,
      ""select I where B = '""&amp;A66&amp;""' order by A desc limit 1"",
      0
    ),
    1
  ),
  """"
)"),"")</f>
        <v/>
      </c>
      <c r="Q66" s="19" t="s">
        <v>63</v>
      </c>
      <c r="R66" s="24">
        <v>46197.0</v>
      </c>
      <c r="S66" s="20">
        <f>IFERROR(__xludf.DUMMYFUNCTION("IFERROR(
  INDEX(
    QUERY(
      Historial!A:G,
      ""select G where B = '""&amp;A66&amp;""' order by A desc limit 1"",
      0
    ),
    1
  ),
  """"
)"),1130.0)</f>
        <v>1130</v>
      </c>
      <c r="T66" s="20" t="str">
        <f t="shared" si="3"/>
        <v/>
      </c>
      <c r="U66" s="20" t="str">
        <f t="shared" si="4"/>
        <v/>
      </c>
      <c r="V66" s="25">
        <v>0.0</v>
      </c>
      <c r="W66" s="26">
        <v>0.0</v>
      </c>
      <c r="X66" s="26">
        <v>0.0</v>
      </c>
      <c r="Y66" s="27"/>
      <c r="Z66" s="26">
        <v>21.0</v>
      </c>
      <c r="AA66" s="26">
        <v>0.0</v>
      </c>
      <c r="AB66" s="26">
        <v>0.0</v>
      </c>
      <c r="AC66" s="27"/>
      <c r="AD66" s="27"/>
      <c r="AE66" s="10" t="s">
        <v>38</v>
      </c>
      <c r="AF66" s="10" t="s">
        <v>44</v>
      </c>
      <c r="AG66" s="27"/>
    </row>
    <row r="67" ht="15.75" customHeight="1">
      <c r="A67" s="34" t="s">
        <v>187</v>
      </c>
      <c r="B67" s="46">
        <v>900.0</v>
      </c>
      <c r="C67" s="15" t="s">
        <v>87</v>
      </c>
      <c r="D67" s="15" t="s">
        <v>188</v>
      </c>
      <c r="E67" s="47" t="s">
        <v>47</v>
      </c>
      <c r="F67" s="36">
        <v>33.0</v>
      </c>
      <c r="G67" s="33">
        <v>10.0</v>
      </c>
      <c r="H67" s="33">
        <v>0.0</v>
      </c>
      <c r="I67" s="29">
        <v>0.0</v>
      </c>
      <c r="J67" s="19" t="str">
        <f t="shared" si="7"/>
        <v>2da50off</v>
      </c>
      <c r="K67" s="20">
        <f t="shared" si="8"/>
        <v>675</v>
      </c>
      <c r="L67" s="15"/>
      <c r="M67" s="20"/>
      <c r="N67" s="21">
        <v>2.0</v>
      </c>
      <c r="O67" s="22">
        <v>5.0</v>
      </c>
      <c r="P67" s="23">
        <f>IFERROR(__xludf.DUMMYFUNCTION("IFERROR(
  INDEX(
    QUERY(
      Historial!A:I,
      ""select I where B = '""&amp;A67&amp;""' order by A desc limit 1"",
      0
    ),
    1
  ),
  """"
)"),46408.0)</f>
        <v>46408</v>
      </c>
      <c r="Q67" s="19" t="s">
        <v>48</v>
      </c>
      <c r="R67" s="24">
        <v>46200.0</v>
      </c>
      <c r="S67" s="20">
        <f>IFERROR(__xludf.DUMMYFUNCTION("IFERROR(
  INDEX(
    QUERY(
      Historial!A:G,
      ""select G where B = '""&amp;A67&amp;""' order by A desc limit 1"",
      0
    ),
    1
  ),
  """"
)"),420.0)</f>
        <v>420</v>
      </c>
      <c r="T67" s="20" t="str">
        <f t="shared" si="3"/>
        <v>✅ OK</v>
      </c>
      <c r="U67" s="20" t="str">
        <f t="shared" si="4"/>
        <v/>
      </c>
      <c r="V67" s="25">
        <v>1.0</v>
      </c>
      <c r="W67" s="26">
        <v>9.0</v>
      </c>
      <c r="X67" s="26">
        <v>0.206</v>
      </c>
      <c r="Y67" s="26">
        <v>160.19417475728156</v>
      </c>
      <c r="Z67" s="26">
        <v>5.0</v>
      </c>
      <c r="AA67" s="26">
        <v>4.326</v>
      </c>
      <c r="AB67" s="26">
        <v>0.0</v>
      </c>
      <c r="AC67" s="26">
        <v>316.0</v>
      </c>
      <c r="AD67" s="26">
        <v>160.19417475728156</v>
      </c>
      <c r="AE67" s="10" t="s">
        <v>38</v>
      </c>
      <c r="AF67" s="10" t="s">
        <v>39</v>
      </c>
      <c r="AG67" s="27"/>
    </row>
    <row r="68" ht="15.75" customHeight="1">
      <c r="A68" s="31" t="s">
        <v>189</v>
      </c>
      <c r="B68" s="20">
        <v>3000.0</v>
      </c>
      <c r="C68" s="20" t="s">
        <v>87</v>
      </c>
      <c r="D68" s="15" t="s">
        <v>190</v>
      </c>
      <c r="E68" s="20" t="s">
        <v>47</v>
      </c>
      <c r="F68" s="39">
        <v>8.0</v>
      </c>
      <c r="G68" s="40">
        <v>0.0</v>
      </c>
      <c r="H68" s="40">
        <v>0.0</v>
      </c>
      <c r="I68" s="40">
        <v>0.0</v>
      </c>
      <c r="J68" s="19" t="str">
        <f t="shared" si="7"/>
        <v>sin oferta</v>
      </c>
      <c r="K68" s="20" t="str">
        <f t="shared" si="8"/>
        <v>NORMAL / SIN OFERTA</v>
      </c>
      <c r="L68" s="20">
        <v>0.0</v>
      </c>
      <c r="M68" s="20">
        <v>0.0</v>
      </c>
      <c r="N68" s="21">
        <v>0.0</v>
      </c>
      <c r="O68" s="22">
        <v>3.0</v>
      </c>
      <c r="P68" s="23">
        <f>IFERROR(__xludf.DUMMYFUNCTION("IFERROR(
  INDEX(
    QUERY(
      Historial!A:I,
      ""select I where B = '""&amp;A68&amp;""' order by A desc limit 1"",
      0
    ),
    1
  ),
  """"
)"),46194.0)</f>
        <v>46194</v>
      </c>
      <c r="Q68" s="19" t="s">
        <v>51</v>
      </c>
      <c r="R68" s="24">
        <v>46201.0</v>
      </c>
      <c r="S68" s="20">
        <f>IFERROR(__xludf.DUMMYFUNCTION("IFERROR(
  INDEX(
    QUERY(
      Historial!A:G,
      ""select G where B = '""&amp;A68&amp;""' order by A desc limit 1"",
      0
    ),
    1
  ),
  """"
)"),1499.0)</f>
        <v>1499</v>
      </c>
      <c r="T68" s="20" t="str">
        <f t="shared" si="3"/>
        <v>✅ OK</v>
      </c>
      <c r="U68" s="20" t="str">
        <f t="shared" si="4"/>
        <v/>
      </c>
      <c r="V68" s="25">
        <v>0.0</v>
      </c>
      <c r="W68" s="26">
        <v>0.0</v>
      </c>
      <c r="X68" s="26">
        <v>0.0</v>
      </c>
      <c r="Y68" s="27"/>
      <c r="Z68" s="26">
        <v>14.0</v>
      </c>
      <c r="AA68" s="26">
        <v>0.0</v>
      </c>
      <c r="AB68" s="26">
        <v>0.0</v>
      </c>
      <c r="AC68" s="26">
        <v>102.0</v>
      </c>
      <c r="AD68" s="27"/>
      <c r="AE68" s="10" t="s">
        <v>38</v>
      </c>
      <c r="AF68" s="10" t="s">
        <v>44</v>
      </c>
      <c r="AG68" s="27"/>
    </row>
    <row r="69" ht="15.75" customHeight="1">
      <c r="A69" s="31" t="s">
        <v>191</v>
      </c>
      <c r="B69" s="40">
        <v>3200.0</v>
      </c>
      <c r="C69" s="20" t="s">
        <v>87</v>
      </c>
      <c r="D69" s="15" t="s">
        <v>192</v>
      </c>
      <c r="E69" s="20" t="s">
        <v>47</v>
      </c>
      <c r="F69" s="39">
        <v>3.0</v>
      </c>
      <c r="G69" s="40">
        <v>0.0</v>
      </c>
      <c r="H69" s="20">
        <v>0.0</v>
      </c>
      <c r="I69" s="20">
        <v>0.0</v>
      </c>
      <c r="J69" s="40">
        <v>0.0</v>
      </c>
      <c r="K69" s="20" t="str">
        <f t="shared" si="8"/>
        <v>NORMAL / SIN OFERTA</v>
      </c>
      <c r="L69" s="20">
        <v>0.0</v>
      </c>
      <c r="M69" s="20">
        <v>0.0</v>
      </c>
      <c r="N69" s="21">
        <v>0.0</v>
      </c>
      <c r="O69" s="22">
        <v>2.0</v>
      </c>
      <c r="P69" s="23">
        <f>IFERROR(__xludf.DUMMYFUNCTION("IFERROR(
  INDEX(
    QUERY(
      Historial!A:I,
      ""select I where B = '""&amp;A69&amp;""' order by A desc limit 1"",
      0
    ),
    1
  ),
  """"
)"),46202.0)</f>
        <v>46202</v>
      </c>
      <c r="Q69" s="19" t="s">
        <v>57</v>
      </c>
      <c r="R69" s="24">
        <v>46202.0</v>
      </c>
      <c r="S69" s="20">
        <f>IFERROR(__xludf.DUMMYFUNCTION("IFERROR(
  INDEX(
    QUERY(
      Historial!A:G,
      ""select G where B = '""&amp;A69&amp;""' order by A desc limit 1"",
      0
    ),
    1
  ),
  """"
)"),1880.0)</f>
        <v>1880</v>
      </c>
      <c r="T69" s="20" t="str">
        <f t="shared" si="3"/>
        <v>✅ OK</v>
      </c>
      <c r="U69" s="20" t="str">
        <f t="shared" si="4"/>
        <v/>
      </c>
      <c r="V69" s="25">
        <v>0.0</v>
      </c>
      <c r="W69" s="26">
        <v>0.0</v>
      </c>
      <c r="X69" s="26">
        <v>0.0</v>
      </c>
      <c r="Y69" s="27"/>
      <c r="Z69" s="26">
        <v>14.0</v>
      </c>
      <c r="AA69" s="26">
        <v>0.0</v>
      </c>
      <c r="AB69" s="26">
        <v>0.0</v>
      </c>
      <c r="AC69" s="26">
        <v>110.0</v>
      </c>
      <c r="AD69" s="27"/>
      <c r="AE69" s="10" t="s">
        <v>38</v>
      </c>
      <c r="AF69" s="10" t="s">
        <v>44</v>
      </c>
      <c r="AG69" s="27"/>
    </row>
    <row r="70" ht="15.75" customHeight="1">
      <c r="A70" s="34" t="s">
        <v>193</v>
      </c>
      <c r="B70" s="35">
        <v>2200.0</v>
      </c>
      <c r="C70" s="15" t="s">
        <v>87</v>
      </c>
      <c r="D70" s="15" t="s">
        <v>194</v>
      </c>
      <c r="E70" s="15" t="s">
        <v>114</v>
      </c>
      <c r="F70" s="36">
        <v>5.0</v>
      </c>
      <c r="G70" s="33">
        <v>0.0</v>
      </c>
      <c r="H70" s="33">
        <v>20.0</v>
      </c>
      <c r="I70" s="29">
        <v>0.0</v>
      </c>
      <c r="J70" s="19" t="str">
        <f t="shared" ref="J70:J89" si="9">IF(
A70="",
"",
IF(
F70=0,
"sin stock",
IF(
NOT(OR(I70=0,I70=1)),
"ERROR ESPECIAL",
IF(
NOT(ISNUMBER(MATCH(G70,{0;1;2;3;4;5;6;10;11;12;13;14},0))),
"ERROR RELAMPAGO",
IF(
OR(H70&gt;70,AND(H70&gt;0,H70&lt;15)),
"ERROR DESTACADA",
IF(
(I70=1)+(H70&gt;0)+(G70&gt;0)&gt;1,
"ERROR DOBLE OFERTA",
IF(
I70=1,
"especial",
IF(
H70&gt;0,
"destacada",
IF(
G70&gt;0,
IF(
OR(
AND(G70&lt;=6,F70&lt;(G70+1)),
AND(G70=10,F70&lt;2),
AND(G70&gt;=11,F70&lt;1)
),
"REPONER "&amp;
IF(G70&lt;=6,G70+1-F70,
IF(G70=10,2-F70,
1-
F70)
)&amp;
" PARA PROMO",
IF(
G70&lt;=6,
"relampago "&amp;(G70+1)&amp;"x"&amp;G70,
IF(
G70=10,
"2da50off",
IF(
G70&gt;=11,
"relampago "&amp;CHOOSE(G70-10,10,15,20,25)&amp;"%",
"relampago"
)
)
)
),
"sin oferta"
)
)
)
)
)
)
)
)
)</f>
        <v>destacada</v>
      </c>
      <c r="K70" s="20">
        <f t="shared" si="8"/>
        <v>1760</v>
      </c>
      <c r="L70" s="15"/>
      <c r="M70" s="20"/>
      <c r="N70" s="21">
        <v>1.0</v>
      </c>
      <c r="O70" s="22">
        <v>3.0</v>
      </c>
      <c r="P70" s="23" t="str">
        <f>IFERROR(__xludf.DUMMYFUNCTION("IFERROR(
  INDEX(
    QUERY(
      Historial!A:I,
      ""select I where B = '""&amp;A70&amp;""' order by A desc limit 1"",
      0
    ),
    1
  ),
  """"
)"),"")</f>
        <v/>
      </c>
      <c r="Q70" s="19" t="s">
        <v>63</v>
      </c>
      <c r="R70" s="24">
        <v>46204.0</v>
      </c>
      <c r="S70" s="20">
        <f>IFERROR(__xludf.DUMMYFUNCTION("IFERROR(
  INDEX(
    QUERY(
      Historial!A:G,
      ""select G where B = '""&amp;A70&amp;""' order by A desc limit 1"",
      0
    ),
    1
  ),
  """"
)"),1100.0)</f>
        <v>1100</v>
      </c>
      <c r="T70" s="20" t="str">
        <f t="shared" si="3"/>
        <v/>
      </c>
      <c r="U70" s="20" t="str">
        <f t="shared" si="4"/>
        <v/>
      </c>
      <c r="V70" s="25">
        <v>0.0</v>
      </c>
      <c r="W70" s="26">
        <v>3.0</v>
      </c>
      <c r="X70" s="26">
        <v>0.04</v>
      </c>
      <c r="Y70" s="26">
        <v>125.0</v>
      </c>
      <c r="Z70" s="26">
        <v>10.0</v>
      </c>
      <c r="AA70" s="26">
        <v>0.56</v>
      </c>
      <c r="AB70" s="26">
        <v>0.0</v>
      </c>
      <c r="AC70" s="27"/>
      <c r="AD70" s="26">
        <v>125.0</v>
      </c>
      <c r="AE70" s="10" t="s">
        <v>38</v>
      </c>
      <c r="AF70" s="10" t="s">
        <v>39</v>
      </c>
      <c r="AG70" s="27"/>
    </row>
    <row r="71" ht="15.75" customHeight="1">
      <c r="A71" s="31" t="s">
        <v>195</v>
      </c>
      <c r="B71" s="20">
        <v>2200.0</v>
      </c>
      <c r="C71" s="20" t="s">
        <v>87</v>
      </c>
      <c r="D71" s="15" t="s">
        <v>196</v>
      </c>
      <c r="E71" s="15" t="s">
        <v>147</v>
      </c>
      <c r="F71" s="41">
        <v>11.0</v>
      </c>
      <c r="G71" s="33">
        <v>0.0</v>
      </c>
      <c r="H71" s="33">
        <v>20.0</v>
      </c>
      <c r="I71" s="29">
        <v>0.0</v>
      </c>
      <c r="J71" s="19" t="str">
        <f t="shared" si="9"/>
        <v>destacada</v>
      </c>
      <c r="K71" s="20">
        <f t="shared" si="8"/>
        <v>1760</v>
      </c>
      <c r="L71" s="15">
        <v>0.0</v>
      </c>
      <c r="M71" s="20"/>
      <c r="N71" s="21">
        <v>2.0</v>
      </c>
      <c r="O71" s="22">
        <v>4.0</v>
      </c>
      <c r="P71" s="23" t="str">
        <f>IFERROR(__xludf.DUMMYFUNCTION("IFERROR(
  INDEX(
    QUERY(
      Historial!A:I,
      ""select I where B = '""&amp;A71&amp;""' order by A desc limit 1"",
      0
    ),
    1
  ),
  """"
)"),"")</f>
        <v/>
      </c>
      <c r="Q71" s="19" t="s">
        <v>37</v>
      </c>
      <c r="R71" s="24">
        <v>46205.0</v>
      </c>
      <c r="S71" s="20" t="str">
        <f>IFERROR(__xludf.DUMMYFUNCTION("IFERROR(
  INDEX(
    QUERY(
      Historial!A:G,
      ""select G where B = '""&amp;A71&amp;""' order by A desc limit 1"",
      0
    ),
    1
  ),
  """"
)"),"")</f>
        <v/>
      </c>
      <c r="T71" s="20" t="str">
        <f t="shared" si="3"/>
        <v/>
      </c>
      <c r="U71" s="20" t="str">
        <f t="shared" si="4"/>
        <v/>
      </c>
      <c r="V71" s="25">
        <v>0.0</v>
      </c>
      <c r="W71" s="26">
        <v>5.0</v>
      </c>
      <c r="X71" s="26">
        <v>0.067</v>
      </c>
      <c r="Y71" s="26">
        <v>164.17910447761193</v>
      </c>
      <c r="Z71" s="26">
        <v>21.0</v>
      </c>
      <c r="AA71" s="26">
        <v>0.46900000000000003</v>
      </c>
      <c r="AB71" s="26">
        <v>0.0</v>
      </c>
      <c r="AC71" s="27"/>
      <c r="AD71" s="26">
        <v>164.17910447761193</v>
      </c>
      <c r="AE71" s="10" t="s">
        <v>38</v>
      </c>
      <c r="AF71" s="10" t="s">
        <v>39</v>
      </c>
      <c r="AG71" s="27"/>
    </row>
    <row r="72" ht="15.75" customHeight="1">
      <c r="A72" s="34" t="s">
        <v>197</v>
      </c>
      <c r="B72" s="35">
        <v>2200.0</v>
      </c>
      <c r="C72" s="15" t="s">
        <v>87</v>
      </c>
      <c r="D72" s="15" t="s">
        <v>198</v>
      </c>
      <c r="E72" s="15"/>
      <c r="F72" s="41">
        <v>5.0</v>
      </c>
      <c r="G72" s="33">
        <v>0.0</v>
      </c>
      <c r="H72" s="33">
        <v>0.0</v>
      </c>
      <c r="I72" s="29">
        <v>0.0</v>
      </c>
      <c r="J72" s="19" t="str">
        <f t="shared" si="9"/>
        <v>sin oferta</v>
      </c>
      <c r="K72" s="20" t="str">
        <f t="shared" si="8"/>
        <v>NORMAL / SIN OFERTA</v>
      </c>
      <c r="L72" s="15"/>
      <c r="M72" s="20"/>
      <c r="N72" s="21">
        <v>0.0</v>
      </c>
      <c r="O72" s="22">
        <v>3.0</v>
      </c>
      <c r="P72" s="23" t="str">
        <f>IFERROR(__xludf.DUMMYFUNCTION("IFERROR(
  INDEX(
    QUERY(
      Historial!A:I,
      ""select I where B = '""&amp;A72&amp;""' order by A desc limit 1"",
      0
    ),
    1
  ),
  """"
)"),"")</f>
        <v/>
      </c>
      <c r="Q72" s="19" t="s">
        <v>43</v>
      </c>
      <c r="R72" s="24">
        <v>46206.0</v>
      </c>
      <c r="S72" s="20" t="str">
        <f>IFERROR(__xludf.DUMMYFUNCTION("IFERROR(
  INDEX(
    QUERY(
      Historial!A:G,
      ""select G where B = '""&amp;A72&amp;""' order by A desc limit 1"",
      0
    ),
    1
  ),
  """"
)"),"")</f>
        <v/>
      </c>
      <c r="T72" s="20" t="str">
        <f t="shared" si="3"/>
        <v/>
      </c>
      <c r="U72" s="20" t="str">
        <f t="shared" si="4"/>
        <v/>
      </c>
      <c r="V72" s="25">
        <v>0.0</v>
      </c>
      <c r="W72" s="26">
        <v>0.0</v>
      </c>
      <c r="X72" s="26">
        <v>0.0</v>
      </c>
      <c r="Y72" s="27"/>
      <c r="Z72" s="26">
        <v>21.0</v>
      </c>
      <c r="AA72" s="26">
        <v>0.0</v>
      </c>
      <c r="AB72" s="26">
        <v>0.0</v>
      </c>
      <c r="AC72" s="27"/>
      <c r="AD72" s="27"/>
      <c r="AE72" s="10" t="s">
        <v>38</v>
      </c>
      <c r="AF72" s="10" t="s">
        <v>44</v>
      </c>
      <c r="AG72" s="27"/>
    </row>
    <row r="73" ht="15.75" customHeight="1">
      <c r="A73" s="34" t="s">
        <v>199</v>
      </c>
      <c r="B73" s="35">
        <v>2300.0</v>
      </c>
      <c r="C73" s="15" t="s">
        <v>87</v>
      </c>
      <c r="D73" s="15" t="s">
        <v>200</v>
      </c>
      <c r="E73" s="15" t="s">
        <v>47</v>
      </c>
      <c r="F73" s="41">
        <v>5.0</v>
      </c>
      <c r="G73" s="33">
        <v>0.0</v>
      </c>
      <c r="H73" s="33">
        <v>0.0</v>
      </c>
      <c r="I73" s="29">
        <v>0.0</v>
      </c>
      <c r="J73" s="19" t="str">
        <f t="shared" si="9"/>
        <v>sin oferta</v>
      </c>
      <c r="K73" s="20" t="str">
        <f t="shared" si="8"/>
        <v>NORMAL / SIN OFERTA</v>
      </c>
      <c r="L73" s="15"/>
      <c r="M73" s="20"/>
      <c r="N73" s="21">
        <v>1.0</v>
      </c>
      <c r="O73" s="22">
        <v>2.0</v>
      </c>
      <c r="P73" s="23">
        <f>IFERROR(__xludf.DUMMYFUNCTION("IFERROR(
  INDEX(
    QUERY(
      Historial!A:I,
      ""select I where B = '""&amp;A73&amp;""' order by A desc limit 1"",
      0
    ),
    1
  ),
  """"
)"),46294.0)</f>
        <v>46294</v>
      </c>
      <c r="Q73" s="19" t="s">
        <v>51</v>
      </c>
      <c r="R73" s="24">
        <v>46208.0</v>
      </c>
      <c r="S73" s="20">
        <f>IFERROR(__xludf.DUMMYFUNCTION("IFERROR(
  INDEX(
    QUERY(
      Historial!A:G,
      ""select G where B = '""&amp;A73&amp;""' order by A desc limit 1"",
      0
    ),
    1
  ),
  """"
)"),1403.0)</f>
        <v>1403</v>
      </c>
      <c r="T73" s="20" t="str">
        <f t="shared" si="3"/>
        <v>✅ OK</v>
      </c>
      <c r="U73" s="20" t="str">
        <f t="shared" si="4"/>
        <v/>
      </c>
      <c r="V73" s="25">
        <v>0.0</v>
      </c>
      <c r="W73" s="26">
        <v>1.0</v>
      </c>
      <c r="X73" s="26">
        <v>0.013</v>
      </c>
      <c r="Y73" s="26">
        <v>384.61538461538464</v>
      </c>
      <c r="Z73" s="26">
        <v>14.0</v>
      </c>
      <c r="AA73" s="26">
        <v>0.13</v>
      </c>
      <c r="AB73" s="26">
        <v>0.0</v>
      </c>
      <c r="AC73" s="26">
        <v>202.0</v>
      </c>
      <c r="AD73" s="26">
        <v>384.61538461538464</v>
      </c>
      <c r="AE73" s="10" t="s">
        <v>52</v>
      </c>
      <c r="AF73" s="10" t="s">
        <v>53</v>
      </c>
      <c r="AG73" s="27"/>
    </row>
    <row r="74" ht="15.75" customHeight="1">
      <c r="A74" s="34" t="s">
        <v>201</v>
      </c>
      <c r="B74" s="35">
        <v>2000.0</v>
      </c>
      <c r="C74" s="15" t="s">
        <v>87</v>
      </c>
      <c r="D74" s="15" t="s">
        <v>202</v>
      </c>
      <c r="E74" s="15" t="s">
        <v>47</v>
      </c>
      <c r="F74" s="41">
        <v>8.0</v>
      </c>
      <c r="G74" s="33">
        <v>0.0</v>
      </c>
      <c r="H74" s="33">
        <v>0.0</v>
      </c>
      <c r="I74" s="29">
        <v>1.0</v>
      </c>
      <c r="J74" s="19" t="str">
        <f t="shared" si="9"/>
        <v>especial</v>
      </c>
      <c r="K74" s="20">
        <f t="shared" si="8"/>
        <v>1800</v>
      </c>
      <c r="L74" s="15"/>
      <c r="M74" s="20"/>
      <c r="N74" s="21">
        <v>0.0</v>
      </c>
      <c r="O74" s="22">
        <v>2.0</v>
      </c>
      <c r="P74" s="23">
        <f>IFERROR(__xludf.DUMMYFUNCTION("IFERROR(
  INDEX(
    QUERY(
      Historial!A:I,
      ""select I where B = '""&amp;A74&amp;""' order by A desc limit 1"",
      0
    ),
    1
  ),
  """"
)"),46251.0)</f>
        <v>46251</v>
      </c>
      <c r="Q74" s="19" t="s">
        <v>57</v>
      </c>
      <c r="R74" s="24">
        <v>46209.0</v>
      </c>
      <c r="S74" s="20">
        <f>IFERROR(__xludf.DUMMYFUNCTION("IFERROR(
  INDEX(
    QUERY(
      Historial!A:G,
      ""select G where B = '""&amp;A74&amp;""' order by A desc limit 1"",
      0
    ),
    1
  ),
  """"
)"),809.0)</f>
        <v>809</v>
      </c>
      <c r="T74" s="20" t="str">
        <f t="shared" si="3"/>
        <v>✅ OK</v>
      </c>
      <c r="U74" s="20" t="str">
        <f t="shared" si="4"/>
        <v/>
      </c>
      <c r="V74" s="25">
        <v>0.0</v>
      </c>
      <c r="W74" s="26">
        <v>0.0</v>
      </c>
      <c r="X74" s="26">
        <v>0.0</v>
      </c>
      <c r="Y74" s="27"/>
      <c r="Z74" s="26">
        <v>21.0</v>
      </c>
      <c r="AA74" s="26">
        <v>0.0</v>
      </c>
      <c r="AB74" s="26">
        <v>0.0</v>
      </c>
      <c r="AC74" s="26">
        <v>159.0</v>
      </c>
      <c r="AD74" s="27"/>
      <c r="AE74" s="10" t="s">
        <v>38</v>
      </c>
      <c r="AF74" s="10" t="s">
        <v>44</v>
      </c>
      <c r="AG74" s="27"/>
    </row>
    <row r="75" ht="15.75" customHeight="1">
      <c r="A75" s="34" t="s">
        <v>203</v>
      </c>
      <c r="B75" s="46">
        <v>3500.0</v>
      </c>
      <c r="C75" s="15" t="s">
        <v>87</v>
      </c>
      <c r="D75" s="15" t="s">
        <v>204</v>
      </c>
      <c r="E75" s="47" t="s">
        <v>47</v>
      </c>
      <c r="F75" s="36">
        <v>3.0</v>
      </c>
      <c r="G75" s="33">
        <v>0.0</v>
      </c>
      <c r="H75" s="33">
        <v>0.0</v>
      </c>
      <c r="I75" s="29">
        <v>0.0</v>
      </c>
      <c r="J75" s="19" t="str">
        <f t="shared" si="9"/>
        <v>sin oferta</v>
      </c>
      <c r="K75" s="20" t="str">
        <f t="shared" si="8"/>
        <v>NORMAL / SIN OFERTA</v>
      </c>
      <c r="L75" s="15"/>
      <c r="M75" s="20"/>
      <c r="N75" s="21">
        <v>0.0</v>
      </c>
      <c r="O75" s="22">
        <v>2.0</v>
      </c>
      <c r="P75" s="23">
        <f>IFERROR(__xludf.DUMMYFUNCTION("IFERROR(
  INDEX(
    QUERY(
      Historial!A:I,
      ""select I where B = '""&amp;A75&amp;""' order by A desc limit 1"",
      0
    ),
    1
  ),
  """"
)"),46356.0)</f>
        <v>46356</v>
      </c>
      <c r="Q75" s="19" t="s">
        <v>60</v>
      </c>
      <c r="R75" s="24">
        <v>46210.0</v>
      </c>
      <c r="S75" s="20">
        <f>IFERROR(__xludf.DUMMYFUNCTION("IFERROR(
  INDEX(
    QUERY(
      Historial!A:G,
      ""select G where B = '""&amp;A75&amp;""' order by A desc limit 1"",
      0
    ),
    1
  ),
  """"
)"),2051.0)</f>
        <v>2051</v>
      </c>
      <c r="T75" s="20" t="str">
        <f t="shared" si="3"/>
        <v>✅ OK</v>
      </c>
      <c r="U75" s="20" t="str">
        <f t="shared" si="4"/>
        <v/>
      </c>
      <c r="V75" s="25">
        <v>0.0</v>
      </c>
      <c r="W75" s="26">
        <v>0.0</v>
      </c>
      <c r="X75" s="26">
        <v>0.0</v>
      </c>
      <c r="Y75" s="27"/>
      <c r="Z75" s="26">
        <v>14.0</v>
      </c>
      <c r="AA75" s="26">
        <v>0.0</v>
      </c>
      <c r="AB75" s="26">
        <v>0.0</v>
      </c>
      <c r="AC75" s="26">
        <v>264.0</v>
      </c>
      <c r="AD75" s="27"/>
      <c r="AE75" s="10" t="s">
        <v>38</v>
      </c>
      <c r="AF75" s="10" t="s">
        <v>44</v>
      </c>
      <c r="AG75" s="27"/>
    </row>
    <row r="76" ht="15.75" customHeight="1">
      <c r="A76" s="28" t="s">
        <v>205</v>
      </c>
      <c r="B76" s="18">
        <v>4500.0</v>
      </c>
      <c r="C76" s="19" t="s">
        <v>87</v>
      </c>
      <c r="D76" s="15" t="s">
        <v>206</v>
      </c>
      <c r="E76" s="57" t="s">
        <v>47</v>
      </c>
      <c r="F76" s="43">
        <v>3.0</v>
      </c>
      <c r="G76" s="33">
        <v>0.0</v>
      </c>
      <c r="H76" s="33">
        <v>0.0</v>
      </c>
      <c r="I76" s="29">
        <v>0.0</v>
      </c>
      <c r="J76" s="19" t="str">
        <f t="shared" si="9"/>
        <v>sin oferta</v>
      </c>
      <c r="K76" s="20" t="str">
        <f t="shared" si="8"/>
        <v>NORMAL / SIN OFERTA</v>
      </c>
      <c r="L76" s="15"/>
      <c r="M76" s="20"/>
      <c r="N76" s="21">
        <v>0.0</v>
      </c>
      <c r="O76" s="22">
        <v>2.0</v>
      </c>
      <c r="P76" s="23">
        <f>IFERROR(__xludf.DUMMYFUNCTION("IFERROR(
  INDEX(
    QUERY(
      Historial!A:I,
      ""select I where B = '""&amp;A76&amp;""' order by A desc limit 1"",
      0
    ),
    1
  ),
  """"
)"),46113.0)</f>
        <v>46113</v>
      </c>
      <c r="Q76" s="19" t="s">
        <v>48</v>
      </c>
      <c r="R76" s="24">
        <v>46214.0</v>
      </c>
      <c r="S76" s="20">
        <f>IFERROR(__xludf.DUMMYFUNCTION("IFERROR(
  INDEX(
    QUERY(
      Historial!A:G,
      ""select G where B = '""&amp;A76&amp;""' order by A desc limit 1"",
      0
    ),
    1
  ),
  """"
)"),2888.0)</f>
        <v>2888</v>
      </c>
      <c r="T76" s="20" t="str">
        <f t="shared" si="3"/>
        <v>🟡 POR VENCER</v>
      </c>
      <c r="U76" s="20" t="str">
        <f t="shared" si="4"/>
        <v>21 días</v>
      </c>
      <c r="V76" s="25">
        <v>0.0</v>
      </c>
      <c r="W76" s="26">
        <v>0.0</v>
      </c>
      <c r="X76" s="26">
        <v>0.0</v>
      </c>
      <c r="Y76" s="27"/>
      <c r="Z76" s="26">
        <v>14.0</v>
      </c>
      <c r="AA76" s="26">
        <v>0.0</v>
      </c>
      <c r="AB76" s="26">
        <v>0.0</v>
      </c>
      <c r="AC76" s="26">
        <v>21.0</v>
      </c>
      <c r="AD76" s="27"/>
      <c r="AE76" s="10" t="s">
        <v>38</v>
      </c>
      <c r="AF76" s="10" t="s">
        <v>44</v>
      </c>
      <c r="AG76" s="27"/>
    </row>
    <row r="77" ht="15.75" customHeight="1">
      <c r="A77" s="31" t="s">
        <v>207</v>
      </c>
      <c r="B77" s="55">
        <v>3000.0</v>
      </c>
      <c r="C77" s="56" t="s">
        <v>87</v>
      </c>
      <c r="D77" s="15" t="s">
        <v>208</v>
      </c>
      <c r="E77" s="56" t="s">
        <v>74</v>
      </c>
      <c r="F77" s="32">
        <v>4.0</v>
      </c>
      <c r="G77" s="33">
        <v>0.0</v>
      </c>
      <c r="H77" s="33">
        <v>0.0</v>
      </c>
      <c r="I77" s="29">
        <v>0.0</v>
      </c>
      <c r="J77" s="19" t="str">
        <f t="shared" si="9"/>
        <v>sin oferta</v>
      </c>
      <c r="K77" s="20" t="str">
        <f t="shared" si="8"/>
        <v>NORMAL / SIN OFERTA</v>
      </c>
      <c r="L77" s="15">
        <v>0.0</v>
      </c>
      <c r="M77" s="20"/>
      <c r="N77" s="21">
        <v>1.0</v>
      </c>
      <c r="O77" s="22">
        <v>3.0</v>
      </c>
      <c r="P77" s="23" t="str">
        <f>IFERROR(__xludf.DUMMYFUNCTION("IFERROR(
  INDEX(
    QUERY(
      Historial!A:I,
      ""select I where B = '""&amp;A77&amp;""' order by A desc limit 1"",
      0
    ),
    1
  ),
  """"
)"),"")</f>
        <v/>
      </c>
      <c r="Q77" s="19" t="s">
        <v>63</v>
      </c>
      <c r="R77" s="24">
        <v>46218.0</v>
      </c>
      <c r="S77" s="20" t="str">
        <f>IFERROR(__xludf.DUMMYFUNCTION("IFERROR(
  INDEX(
    QUERY(
      Historial!A:G,
      ""select G where B = '""&amp;A77&amp;""' order by A desc limit 1"",
      0
    ),
    1
  ),
  """"
)"),"")</f>
        <v/>
      </c>
      <c r="T77" s="20" t="str">
        <f t="shared" si="3"/>
        <v/>
      </c>
      <c r="U77" s="20" t="str">
        <f t="shared" si="4"/>
        <v/>
      </c>
      <c r="V77" s="25">
        <v>0.0</v>
      </c>
      <c r="W77" s="26">
        <v>3.0</v>
      </c>
      <c r="X77" s="26">
        <v>0.04</v>
      </c>
      <c r="Y77" s="26">
        <v>100.0</v>
      </c>
      <c r="Z77" s="26">
        <v>10.0</v>
      </c>
      <c r="AA77" s="26">
        <v>0.56</v>
      </c>
      <c r="AB77" s="26">
        <v>0.0</v>
      </c>
      <c r="AC77" s="27"/>
      <c r="AD77" s="26">
        <v>100.0</v>
      </c>
      <c r="AE77" s="10" t="s">
        <v>38</v>
      </c>
      <c r="AF77" s="10" t="s">
        <v>39</v>
      </c>
      <c r="AG77" s="27"/>
    </row>
    <row r="78" ht="15.75" customHeight="1">
      <c r="A78" s="34" t="s">
        <v>209</v>
      </c>
      <c r="B78" s="35">
        <v>2500.0</v>
      </c>
      <c r="C78" s="15" t="s">
        <v>87</v>
      </c>
      <c r="D78" s="15" t="s">
        <v>210</v>
      </c>
      <c r="E78" s="15" t="s">
        <v>74</v>
      </c>
      <c r="F78" s="41">
        <v>5.0</v>
      </c>
      <c r="G78" s="17">
        <v>10.0</v>
      </c>
      <c r="H78" s="17">
        <v>0.0</v>
      </c>
      <c r="I78" s="18">
        <v>0.0</v>
      </c>
      <c r="J78" s="19" t="str">
        <f t="shared" si="9"/>
        <v>2da50off</v>
      </c>
      <c r="K78" s="20">
        <f t="shared" si="8"/>
        <v>1875</v>
      </c>
      <c r="L78" s="15"/>
      <c r="M78" s="20"/>
      <c r="N78" s="21">
        <v>0.0</v>
      </c>
      <c r="O78" s="22">
        <v>2.0</v>
      </c>
      <c r="P78" s="23" t="str">
        <f>IFERROR(__xludf.DUMMYFUNCTION("IFERROR(
  INDEX(
    QUERY(
      Historial!A:I,
      ""select I where B = '""&amp;A78&amp;""' order by A desc limit 1"",
      0
    ),
    1
  ),
  """"
)"),"")</f>
        <v/>
      </c>
      <c r="Q78" s="19" t="s">
        <v>43</v>
      </c>
      <c r="R78" s="24">
        <v>46220.0</v>
      </c>
      <c r="S78" s="20">
        <f>IFERROR(__xludf.DUMMYFUNCTION("IFERROR(
  INDEX(
    QUERY(
      Historial!A:G,
      ""select G where B = '""&amp;A78&amp;""' order by A desc limit 1"",
      0
    ),
    1
  ),
  """"
)"),875.0)</f>
        <v>875</v>
      </c>
      <c r="T78" s="20" t="str">
        <f t="shared" si="3"/>
        <v/>
      </c>
      <c r="U78" s="20" t="str">
        <f t="shared" si="4"/>
        <v/>
      </c>
      <c r="V78" s="25">
        <v>0.0</v>
      </c>
      <c r="W78" s="26">
        <v>0.0</v>
      </c>
      <c r="X78" s="26">
        <v>0.0</v>
      </c>
      <c r="Y78" s="27"/>
      <c r="Z78" s="26">
        <v>21.0</v>
      </c>
      <c r="AA78" s="26">
        <v>0.0</v>
      </c>
      <c r="AB78" s="26">
        <v>0.0</v>
      </c>
      <c r="AC78" s="27"/>
      <c r="AD78" s="27"/>
      <c r="AE78" s="10" t="s">
        <v>38</v>
      </c>
      <c r="AF78" s="10" t="s">
        <v>44</v>
      </c>
      <c r="AG78" s="27"/>
    </row>
    <row r="79" ht="15.75" customHeight="1">
      <c r="A79" s="31" t="s">
        <v>211</v>
      </c>
      <c r="B79" s="55">
        <v>2500.0</v>
      </c>
      <c r="C79" s="56" t="s">
        <v>87</v>
      </c>
      <c r="D79" s="15" t="s">
        <v>212</v>
      </c>
      <c r="E79" s="56" t="s">
        <v>74</v>
      </c>
      <c r="F79" s="32">
        <v>6.0</v>
      </c>
      <c r="G79" s="40">
        <v>0.0</v>
      </c>
      <c r="H79" s="40">
        <v>0.0</v>
      </c>
      <c r="I79" s="40">
        <v>0.0</v>
      </c>
      <c r="J79" s="19" t="str">
        <f t="shared" si="9"/>
        <v>sin oferta</v>
      </c>
      <c r="K79" s="20" t="str">
        <f t="shared" si="8"/>
        <v>NORMAL / SIN OFERTA</v>
      </c>
      <c r="L79" s="20">
        <v>0.0</v>
      </c>
      <c r="M79" s="20">
        <v>0.0</v>
      </c>
      <c r="N79" s="21">
        <v>2.0</v>
      </c>
      <c r="O79" s="22">
        <v>3.0</v>
      </c>
      <c r="P79" s="23">
        <f>IFERROR(__xludf.DUMMYFUNCTION("IFERROR(
  INDEX(
    QUERY(
      Historial!A:I,
      ""select I where B = '""&amp;A79&amp;""' order by A desc limit 1"",
      0
    ),
    1
  ),
  """"
)"),46313.0)</f>
        <v>46313</v>
      </c>
      <c r="Q79" s="19" t="s">
        <v>48</v>
      </c>
      <c r="R79" s="24">
        <v>46221.0</v>
      </c>
      <c r="S79" s="20">
        <f>IFERROR(__xludf.DUMMYFUNCTION("IFERROR(
  INDEX(
    QUERY(
      Historial!A:G,
      ""select G where B = '""&amp;A79&amp;""' order by A desc limit 1"",
      0
    ),
    1
  ),
  """"
)"),900.0)</f>
        <v>900</v>
      </c>
      <c r="T79" s="20" t="str">
        <f t="shared" si="3"/>
        <v>✅ OK</v>
      </c>
      <c r="U79" s="20" t="str">
        <f t="shared" si="4"/>
        <v/>
      </c>
      <c r="V79" s="25">
        <v>1.0</v>
      </c>
      <c r="W79" s="26">
        <v>3.0</v>
      </c>
      <c r="X79" s="26">
        <v>0.126</v>
      </c>
      <c r="Y79" s="26">
        <v>47.61904761904762</v>
      </c>
      <c r="Z79" s="26">
        <v>10.0</v>
      </c>
      <c r="AA79" s="26">
        <v>1.764</v>
      </c>
      <c r="AB79" s="26">
        <v>0.0</v>
      </c>
      <c r="AC79" s="26">
        <v>221.0</v>
      </c>
      <c r="AD79" s="26">
        <v>47.61904761904762</v>
      </c>
      <c r="AE79" s="10" t="s">
        <v>38</v>
      </c>
      <c r="AF79" s="10" t="s">
        <v>39</v>
      </c>
      <c r="AG79" s="27"/>
    </row>
    <row r="80" ht="15.75" customHeight="1">
      <c r="A80" s="34" t="s">
        <v>213</v>
      </c>
      <c r="B80" s="46">
        <v>3300.0</v>
      </c>
      <c r="C80" s="47" t="s">
        <v>87</v>
      </c>
      <c r="D80" s="15" t="s">
        <v>214</v>
      </c>
      <c r="E80" s="47" t="s">
        <v>147</v>
      </c>
      <c r="F80" s="36">
        <v>11.0</v>
      </c>
      <c r="G80" s="33">
        <v>0.0</v>
      </c>
      <c r="H80" s="33">
        <v>20.0</v>
      </c>
      <c r="I80" s="29">
        <v>0.0</v>
      </c>
      <c r="J80" s="19" t="str">
        <f t="shared" si="9"/>
        <v>destacada</v>
      </c>
      <c r="K80" s="20">
        <f t="shared" si="8"/>
        <v>2640</v>
      </c>
      <c r="L80" s="15"/>
      <c r="M80" s="20"/>
      <c r="N80" s="21">
        <v>5.0</v>
      </c>
      <c r="O80" s="22">
        <v>4.0</v>
      </c>
      <c r="P80" s="23" t="str">
        <f>IFERROR(__xludf.DUMMYFUNCTION("IFERROR(
  INDEX(
    QUERY(
      Historial!A:I,
      ""select I where B = '""&amp;A80&amp;""' order by A desc limit 1"",
      0
    ),
    1
  ),
  """"
)"),"")</f>
        <v/>
      </c>
      <c r="Q80" s="19" t="s">
        <v>57</v>
      </c>
      <c r="R80" s="24">
        <v>46223.0</v>
      </c>
      <c r="S80" s="20">
        <f>IFERROR(__xludf.DUMMYFUNCTION("IFERROR(
  INDEX(
    QUERY(
      Historial!A:G,
      ""select G where B = '""&amp;A80&amp;""' order by A desc limit 1"",
      0
    ),
    1
  ),
  """"
)"),1250.0)</f>
        <v>1250</v>
      </c>
      <c r="T80" s="20" t="str">
        <f t="shared" si="3"/>
        <v/>
      </c>
      <c r="U80" s="20" t="str">
        <f t="shared" si="4"/>
        <v/>
      </c>
      <c r="V80" s="25">
        <v>2.0</v>
      </c>
      <c r="W80" s="26">
        <v>5.0</v>
      </c>
      <c r="X80" s="26">
        <v>0.238</v>
      </c>
      <c r="Y80" s="26">
        <v>46.21848739495798</v>
      </c>
      <c r="Z80" s="26">
        <v>21.0</v>
      </c>
      <c r="AA80" s="26">
        <v>1.666</v>
      </c>
      <c r="AB80" s="26">
        <v>0.0</v>
      </c>
      <c r="AC80" s="27"/>
      <c r="AD80" s="26">
        <v>46.21848739495798</v>
      </c>
      <c r="AE80" s="10" t="s">
        <v>38</v>
      </c>
      <c r="AF80" s="10" t="s">
        <v>39</v>
      </c>
      <c r="AG80" s="27"/>
    </row>
    <row r="81" ht="15.75" customHeight="1">
      <c r="A81" s="31" t="s">
        <v>215</v>
      </c>
      <c r="B81" s="20">
        <v>1500.0</v>
      </c>
      <c r="C81" s="20" t="s">
        <v>87</v>
      </c>
      <c r="D81" s="15" t="s">
        <v>216</v>
      </c>
      <c r="E81" s="20" t="s">
        <v>217</v>
      </c>
      <c r="F81" s="32">
        <v>6.0</v>
      </c>
      <c r="G81" s="40">
        <v>0.0</v>
      </c>
      <c r="H81" s="40">
        <v>15.0</v>
      </c>
      <c r="I81" s="40">
        <v>0.0</v>
      </c>
      <c r="J81" s="19" t="str">
        <f t="shared" si="9"/>
        <v>destacada</v>
      </c>
      <c r="K81" s="20">
        <f t="shared" si="8"/>
        <v>1275</v>
      </c>
      <c r="L81" s="20">
        <v>0.0</v>
      </c>
      <c r="M81" s="20">
        <v>0.0</v>
      </c>
      <c r="N81" s="21">
        <v>1.0</v>
      </c>
      <c r="O81" s="22">
        <v>2.0</v>
      </c>
      <c r="P81" s="23" t="str">
        <f>IFERROR(__xludf.DUMMYFUNCTION("IFERROR(
  INDEX(
    QUERY(
      Historial!A:I,
      ""select I where B = '""&amp;A81&amp;""' order by A desc limit 1"",
      0
    ),
    1
  ),
  """"
)"),"")</f>
        <v/>
      </c>
      <c r="Q81" s="19" t="s">
        <v>60</v>
      </c>
      <c r="R81" s="24">
        <v>46224.0</v>
      </c>
      <c r="S81" s="20" t="str">
        <f>IFERROR(__xludf.DUMMYFUNCTION("IFERROR(
  INDEX(
    QUERY(
      Historial!A:G,
      ""select G where B = '""&amp;A81&amp;""' order by A desc limit 1"",
      0
    ),
    1
  ),
  """"
)"),"")</f>
        <v/>
      </c>
      <c r="T81" s="20" t="str">
        <f t="shared" si="3"/>
        <v/>
      </c>
      <c r="U81" s="20" t="str">
        <f t="shared" si="4"/>
        <v/>
      </c>
      <c r="V81" s="25">
        <v>0.0</v>
      </c>
      <c r="W81" s="26">
        <v>2.0</v>
      </c>
      <c r="X81" s="26">
        <v>0.027</v>
      </c>
      <c r="Y81" s="26">
        <v>222.22222222222223</v>
      </c>
      <c r="Z81" s="26">
        <v>21.0</v>
      </c>
      <c r="AA81" s="26">
        <v>0.189</v>
      </c>
      <c r="AB81" s="26">
        <v>0.0</v>
      </c>
      <c r="AC81" s="27"/>
      <c r="AD81" s="26">
        <v>222.22222222222223</v>
      </c>
      <c r="AE81" s="10" t="s">
        <v>38</v>
      </c>
      <c r="AF81" s="10" t="s">
        <v>39</v>
      </c>
      <c r="AG81" s="27"/>
    </row>
    <row r="82" ht="15.75" customHeight="1">
      <c r="A82" s="34" t="s">
        <v>218</v>
      </c>
      <c r="B82" s="35">
        <v>2000.0</v>
      </c>
      <c r="C82" s="15" t="s">
        <v>87</v>
      </c>
      <c r="D82" s="15" t="s">
        <v>219</v>
      </c>
      <c r="E82" s="15"/>
      <c r="F82" s="41">
        <v>10.0</v>
      </c>
      <c r="G82" s="33">
        <v>0.0</v>
      </c>
      <c r="H82" s="33">
        <v>0.0</v>
      </c>
      <c r="I82" s="29">
        <v>0.0</v>
      </c>
      <c r="J82" s="19" t="str">
        <f t="shared" si="9"/>
        <v>sin oferta</v>
      </c>
      <c r="K82" s="20" t="str">
        <f t="shared" si="8"/>
        <v>NORMAL / SIN OFERTA</v>
      </c>
      <c r="L82" s="15"/>
      <c r="M82" s="20"/>
      <c r="N82" s="21">
        <v>1.0</v>
      </c>
      <c r="O82" s="22">
        <v>2.0</v>
      </c>
      <c r="P82" s="23" t="str">
        <f>IFERROR(__xludf.DUMMYFUNCTION("IFERROR(
  INDEX(
    QUERY(
      Historial!A:I,
      ""select I where B = '""&amp;A82&amp;""' order by A desc limit 1"",
      0
    ),
    1
  ),
  """"
)"),"")</f>
        <v/>
      </c>
      <c r="Q82" s="19" t="s">
        <v>63</v>
      </c>
      <c r="R82" s="24">
        <v>46225.0</v>
      </c>
      <c r="S82" s="20" t="str">
        <f>IFERROR(__xludf.DUMMYFUNCTION("IFERROR(
  INDEX(
    QUERY(
      Historial!A:G,
      ""select G where B = '""&amp;A82&amp;""' order by A desc limit 1"",
      0
    ),
    1
  ),
  """"
)"),"")</f>
        <v/>
      </c>
      <c r="T82" s="20" t="str">
        <f t="shared" si="3"/>
        <v/>
      </c>
      <c r="U82" s="20" t="str">
        <f t="shared" si="4"/>
        <v/>
      </c>
      <c r="V82" s="25">
        <v>0.0</v>
      </c>
      <c r="W82" s="26">
        <v>1.0</v>
      </c>
      <c r="X82" s="26">
        <v>0.013</v>
      </c>
      <c r="Y82" s="26">
        <v>769.2307692307693</v>
      </c>
      <c r="Z82" s="26">
        <v>21.0</v>
      </c>
      <c r="AA82" s="26">
        <v>0.091</v>
      </c>
      <c r="AB82" s="26">
        <v>0.0</v>
      </c>
      <c r="AC82" s="27"/>
      <c r="AD82" s="26">
        <v>769.2307692307693</v>
      </c>
      <c r="AE82" s="10" t="s">
        <v>38</v>
      </c>
      <c r="AF82" s="10" t="s">
        <v>39</v>
      </c>
      <c r="AG82" s="27"/>
    </row>
    <row r="83" ht="15.75" customHeight="1">
      <c r="A83" s="34" t="s">
        <v>220</v>
      </c>
      <c r="B83" s="46">
        <v>1500.0</v>
      </c>
      <c r="C83" s="47" t="s">
        <v>87</v>
      </c>
      <c r="D83" s="15" t="s">
        <v>221</v>
      </c>
      <c r="E83" s="47" t="s">
        <v>74</v>
      </c>
      <c r="F83" s="36">
        <v>7.0</v>
      </c>
      <c r="G83" s="17">
        <v>10.0</v>
      </c>
      <c r="H83" s="33">
        <v>0.0</v>
      </c>
      <c r="I83" s="29">
        <v>0.0</v>
      </c>
      <c r="J83" s="19" t="str">
        <f t="shared" si="9"/>
        <v>2da50off</v>
      </c>
      <c r="K83" s="20">
        <f t="shared" si="8"/>
        <v>1125</v>
      </c>
      <c r="L83" s="15"/>
      <c r="M83" s="20"/>
      <c r="N83" s="21">
        <v>1.0</v>
      </c>
      <c r="O83" s="22">
        <v>3.0</v>
      </c>
      <c r="P83" s="23">
        <f>IFERROR(__xludf.DUMMYFUNCTION("IFERROR(
  INDEX(
    QUERY(
      Historial!A:I,
      ""select I where B = '""&amp;A83&amp;""' order by A desc limit 1"",
      0
    ),
    1
  ),
  """"
)"),47154.0)</f>
        <v>47154</v>
      </c>
      <c r="Q83" s="19" t="s">
        <v>48</v>
      </c>
      <c r="R83" s="24">
        <v>46228.0</v>
      </c>
      <c r="S83" s="20">
        <f>IFERROR(__xludf.DUMMYFUNCTION("IFERROR(
  INDEX(
    QUERY(
      Historial!A:G,
      ""select G where B = '""&amp;A83&amp;""' order by A desc limit 1"",
      0
    ),
    1
  ),
  """"
)"),840.0)</f>
        <v>840</v>
      </c>
      <c r="T83" s="20" t="str">
        <f t="shared" si="3"/>
        <v>✅ OK</v>
      </c>
      <c r="U83" s="20" t="str">
        <f t="shared" si="4"/>
        <v/>
      </c>
      <c r="V83" s="25">
        <v>0.0</v>
      </c>
      <c r="W83" s="26">
        <v>3.0</v>
      </c>
      <c r="X83" s="26">
        <v>0.04</v>
      </c>
      <c r="Y83" s="26">
        <v>175.0</v>
      </c>
      <c r="Z83" s="26">
        <v>21.0</v>
      </c>
      <c r="AA83" s="26">
        <v>0.28</v>
      </c>
      <c r="AB83" s="26">
        <v>0.0</v>
      </c>
      <c r="AC83" s="26">
        <v>1062.0</v>
      </c>
      <c r="AD83" s="26">
        <v>175.0</v>
      </c>
      <c r="AE83" s="10" t="s">
        <v>38</v>
      </c>
      <c r="AF83" s="10" t="s">
        <v>39</v>
      </c>
      <c r="AG83" s="27"/>
    </row>
    <row r="84" ht="15.75" customHeight="1">
      <c r="A84" s="34" t="s">
        <v>222</v>
      </c>
      <c r="B84" s="46">
        <v>2400.0</v>
      </c>
      <c r="C84" s="47" t="s">
        <v>87</v>
      </c>
      <c r="D84" s="15" t="s">
        <v>223</v>
      </c>
      <c r="E84" s="15"/>
      <c r="F84" s="36">
        <v>6.0</v>
      </c>
      <c r="G84" s="33">
        <v>0.0</v>
      </c>
      <c r="H84" s="33">
        <v>0.0</v>
      </c>
      <c r="I84" s="29">
        <v>1.0</v>
      </c>
      <c r="J84" s="19" t="str">
        <f t="shared" si="9"/>
        <v>especial</v>
      </c>
      <c r="K84" s="20">
        <f t="shared" si="8"/>
        <v>2160</v>
      </c>
      <c r="L84" s="15"/>
      <c r="M84" s="20"/>
      <c r="N84" s="21">
        <v>0.0</v>
      </c>
      <c r="O84" s="22">
        <v>2.0</v>
      </c>
      <c r="P84" s="23">
        <f>IFERROR(__xludf.DUMMYFUNCTION("IFERROR(
  INDEX(
    QUERY(
      Historial!A:I,
      ""select I where B = '""&amp;A84&amp;""' order by A desc limit 1"",
      0
    ),
    1
  ),
  """"
)"),46402.0)</f>
        <v>46402</v>
      </c>
      <c r="Q84" s="19" t="s">
        <v>57</v>
      </c>
      <c r="R84" s="24">
        <v>46230.0</v>
      </c>
      <c r="S84" s="20">
        <f>IFERROR(__xludf.DUMMYFUNCTION("IFERROR(
  INDEX(
    QUERY(
      Historial!A:G,
      ""select G where B = '""&amp;A84&amp;""' order by A desc limit 1"",
      0
    ),
    1
  ),
  """"
)"),1200.0)</f>
        <v>1200</v>
      </c>
      <c r="T84" s="20" t="str">
        <f t="shared" si="3"/>
        <v>✅ OK</v>
      </c>
      <c r="U84" s="20" t="str">
        <f t="shared" si="4"/>
        <v/>
      </c>
      <c r="V84" s="25">
        <v>0.0</v>
      </c>
      <c r="W84" s="26">
        <v>0.0</v>
      </c>
      <c r="X84" s="26">
        <v>0.0</v>
      </c>
      <c r="Y84" s="27"/>
      <c r="Z84" s="26">
        <v>21.0</v>
      </c>
      <c r="AA84" s="26">
        <v>0.0</v>
      </c>
      <c r="AB84" s="26">
        <v>0.0</v>
      </c>
      <c r="AC84" s="26">
        <v>310.0</v>
      </c>
      <c r="AD84" s="27"/>
      <c r="AE84" s="10" t="s">
        <v>38</v>
      </c>
      <c r="AF84" s="10" t="s">
        <v>44</v>
      </c>
      <c r="AG84" s="27"/>
    </row>
    <row r="85" ht="15.75" customHeight="1">
      <c r="A85" s="34" t="s">
        <v>224</v>
      </c>
      <c r="B85" s="46">
        <v>3200.0</v>
      </c>
      <c r="C85" s="47" t="s">
        <v>87</v>
      </c>
      <c r="D85" s="15" t="s">
        <v>225</v>
      </c>
      <c r="E85" s="47" t="s">
        <v>74</v>
      </c>
      <c r="F85" s="36">
        <v>4.0</v>
      </c>
      <c r="G85" s="33">
        <v>0.0</v>
      </c>
      <c r="H85" s="33">
        <v>0.0</v>
      </c>
      <c r="I85" s="29">
        <v>0.0</v>
      </c>
      <c r="J85" s="19" t="str">
        <f t="shared" si="9"/>
        <v>sin oferta</v>
      </c>
      <c r="K85" s="20" t="str">
        <f t="shared" si="8"/>
        <v>NORMAL / SIN OFERTA</v>
      </c>
      <c r="L85" s="15"/>
      <c r="M85" s="20"/>
      <c r="N85" s="21">
        <v>1.0</v>
      </c>
      <c r="O85" s="22">
        <v>2.0</v>
      </c>
      <c r="P85" s="23">
        <f>IFERROR(__xludf.DUMMYFUNCTION("IFERROR(
  INDEX(
    QUERY(
      Historial!A:I,
      ""select I where B = '""&amp;A85&amp;""' order by A desc limit 1"",
      0
    ),
    1
  ),
  """"
)"),46393.0)</f>
        <v>46393</v>
      </c>
      <c r="Q85" s="19" t="s">
        <v>60</v>
      </c>
      <c r="R85" s="24">
        <v>46231.0</v>
      </c>
      <c r="S85" s="20">
        <f>IFERROR(__xludf.DUMMYFUNCTION("IFERROR(
  INDEX(
    QUERY(
      Historial!A:G,
      ""select G where B = '""&amp;A85&amp;""' order by A desc limit 1"",
      0
    ),
    1
  ),
  """"
)"),1850.0)</f>
        <v>1850</v>
      </c>
      <c r="T85" s="20" t="str">
        <f t="shared" si="3"/>
        <v>✅ OK</v>
      </c>
      <c r="U85" s="20" t="str">
        <f t="shared" si="4"/>
        <v/>
      </c>
      <c r="V85" s="25">
        <v>0.0</v>
      </c>
      <c r="W85" s="26">
        <v>1.0</v>
      </c>
      <c r="X85" s="26">
        <v>0.013</v>
      </c>
      <c r="Y85" s="26">
        <v>307.6923076923077</v>
      </c>
      <c r="Z85" s="26">
        <v>14.0</v>
      </c>
      <c r="AA85" s="26">
        <v>0.13</v>
      </c>
      <c r="AB85" s="26">
        <v>0.0</v>
      </c>
      <c r="AC85" s="26">
        <v>301.0</v>
      </c>
      <c r="AD85" s="26">
        <v>307.6923076923077</v>
      </c>
      <c r="AE85" s="10" t="s">
        <v>52</v>
      </c>
      <c r="AF85" s="10" t="s">
        <v>53</v>
      </c>
      <c r="AG85" s="27"/>
    </row>
    <row r="86" ht="15.75" customHeight="1">
      <c r="A86" s="34" t="s">
        <v>226</v>
      </c>
      <c r="B86" s="35">
        <v>2000.0</v>
      </c>
      <c r="C86" s="15" t="s">
        <v>87</v>
      </c>
      <c r="D86" s="15" t="s">
        <v>227</v>
      </c>
      <c r="E86" s="15"/>
      <c r="F86" s="41">
        <v>5.0</v>
      </c>
      <c r="G86" s="33">
        <v>0.0</v>
      </c>
      <c r="H86" s="33">
        <v>0.0</v>
      </c>
      <c r="I86" s="29">
        <v>0.0</v>
      </c>
      <c r="J86" s="19" t="str">
        <f t="shared" si="9"/>
        <v>sin oferta</v>
      </c>
      <c r="K86" s="20" t="str">
        <f t="shared" si="8"/>
        <v>NORMAL / SIN OFERTA</v>
      </c>
      <c r="L86" s="15"/>
      <c r="M86" s="20"/>
      <c r="N86" s="21">
        <v>0.0</v>
      </c>
      <c r="O86" s="22">
        <v>3.0</v>
      </c>
      <c r="P86" s="23" t="str">
        <f>IFERROR(__xludf.DUMMYFUNCTION("IFERROR(
  INDEX(
    QUERY(
      Historial!A:I,
      ""select I where B = '""&amp;A86&amp;""' order by A desc limit 1"",
      0
    ),
    1
  ),
  """"
)"),"")</f>
        <v/>
      </c>
      <c r="Q86" s="19" t="s">
        <v>63</v>
      </c>
      <c r="R86" s="24">
        <v>46232.0</v>
      </c>
      <c r="S86" s="20" t="str">
        <f>IFERROR(__xludf.DUMMYFUNCTION("IFERROR(
  INDEX(
    QUERY(
      Historial!A:G,
      ""select G where B = '""&amp;A86&amp;""' order by A desc limit 1"",
      0
    ),
    1
  ),
  """"
)"),"")</f>
        <v/>
      </c>
      <c r="T86" s="20" t="str">
        <f t="shared" si="3"/>
        <v/>
      </c>
      <c r="U86" s="20" t="str">
        <f t="shared" si="4"/>
        <v/>
      </c>
      <c r="V86" s="25">
        <v>0.0</v>
      </c>
      <c r="W86" s="26">
        <v>0.0</v>
      </c>
      <c r="X86" s="26">
        <v>0.0</v>
      </c>
      <c r="Y86" s="27"/>
      <c r="Z86" s="26">
        <v>21.0</v>
      </c>
      <c r="AA86" s="26">
        <v>0.0</v>
      </c>
      <c r="AB86" s="26">
        <v>0.0</v>
      </c>
      <c r="AC86" s="27"/>
      <c r="AD86" s="27"/>
      <c r="AE86" s="10" t="s">
        <v>38</v>
      </c>
      <c r="AF86" s="10" t="s">
        <v>44</v>
      </c>
      <c r="AG86" s="27"/>
    </row>
    <row r="87" ht="15.75" customHeight="1">
      <c r="A87" s="34" t="s">
        <v>228</v>
      </c>
      <c r="B87" s="35">
        <v>3500.0</v>
      </c>
      <c r="C87" s="15" t="s">
        <v>87</v>
      </c>
      <c r="D87" s="15" t="s">
        <v>229</v>
      </c>
      <c r="E87" s="15" t="s">
        <v>147</v>
      </c>
      <c r="F87" s="41">
        <v>5.0</v>
      </c>
      <c r="G87" s="17">
        <v>10.0</v>
      </c>
      <c r="H87" s="17">
        <v>0.0</v>
      </c>
      <c r="I87" s="18">
        <v>0.0</v>
      </c>
      <c r="J87" s="19" t="str">
        <f t="shared" si="9"/>
        <v>2da50off</v>
      </c>
      <c r="K87" s="20">
        <f t="shared" si="8"/>
        <v>2625</v>
      </c>
      <c r="L87" s="15"/>
      <c r="M87" s="20"/>
      <c r="N87" s="21">
        <v>0.0</v>
      </c>
      <c r="O87" s="22">
        <v>2.0</v>
      </c>
      <c r="P87" s="23" t="str">
        <f>IFERROR(__xludf.DUMMYFUNCTION("IFERROR(
  INDEX(
    QUERY(
      Historial!A:I,
      ""select I where B = '""&amp;A87&amp;""' order by A desc limit 1"",
      0
    ),
    1
  ),
  """"
)"),"")</f>
        <v/>
      </c>
      <c r="Q87" s="19" t="s">
        <v>51</v>
      </c>
      <c r="R87" s="24">
        <v>46236.0</v>
      </c>
      <c r="S87" s="20">
        <f>IFERROR(__xludf.DUMMYFUNCTION("IFERROR(
  INDEX(
    QUERY(
      Historial!A:G,
      ""select G where B = '""&amp;A87&amp;""' order by A desc limit 1"",
      0
    ),
    1
  ),
  """"
)"),1425.0)</f>
        <v>1425</v>
      </c>
      <c r="T87" s="20" t="str">
        <f t="shared" si="3"/>
        <v/>
      </c>
      <c r="U87" s="20" t="str">
        <f t="shared" si="4"/>
        <v/>
      </c>
      <c r="V87" s="25">
        <v>0.0</v>
      </c>
      <c r="W87" s="26">
        <v>0.0</v>
      </c>
      <c r="X87" s="26">
        <v>0.0</v>
      </c>
      <c r="Y87" s="27"/>
      <c r="Z87" s="26">
        <v>14.0</v>
      </c>
      <c r="AA87" s="26">
        <v>0.0</v>
      </c>
      <c r="AB87" s="26">
        <v>0.0</v>
      </c>
      <c r="AC87" s="27"/>
      <c r="AD87" s="27"/>
      <c r="AE87" s="10" t="s">
        <v>38</v>
      </c>
      <c r="AF87" s="10" t="s">
        <v>44</v>
      </c>
      <c r="AG87" s="27"/>
    </row>
    <row r="88" ht="15.75" customHeight="1">
      <c r="A88" s="34" t="s">
        <v>230</v>
      </c>
      <c r="B88" s="35">
        <v>1800.0</v>
      </c>
      <c r="C88" s="15" t="s">
        <v>87</v>
      </c>
      <c r="D88" s="15" t="s">
        <v>231</v>
      </c>
      <c r="E88" s="15" t="s">
        <v>147</v>
      </c>
      <c r="F88" s="41">
        <v>6.0</v>
      </c>
      <c r="G88" s="33">
        <v>0.0</v>
      </c>
      <c r="H88" s="33">
        <v>20.0</v>
      </c>
      <c r="I88" s="29">
        <v>0.0</v>
      </c>
      <c r="J88" s="19" t="str">
        <f t="shared" si="9"/>
        <v>destacada</v>
      </c>
      <c r="K88" s="20">
        <f t="shared" si="8"/>
        <v>1440</v>
      </c>
      <c r="L88" s="15"/>
      <c r="M88" s="20"/>
      <c r="N88" s="21">
        <v>1.0</v>
      </c>
      <c r="O88" s="22">
        <v>3.0</v>
      </c>
      <c r="P88" s="23" t="str">
        <f>IFERROR(__xludf.DUMMYFUNCTION("IFERROR(
  INDEX(
    QUERY(
      Historial!A:I,
      ""select I where B = '""&amp;A88&amp;""' order by A desc limit 1"",
      0
    ),
    1
  ),
  """"
)"),"")</f>
        <v/>
      </c>
      <c r="Q88" s="19" t="s">
        <v>57</v>
      </c>
      <c r="R88" s="24">
        <v>46237.0</v>
      </c>
      <c r="S88" s="20">
        <f>IFERROR(__xludf.DUMMYFUNCTION("IFERROR(
  INDEX(
    QUERY(
      Historial!A:G,
      ""select G where B = '""&amp;A88&amp;""' order by A desc limit 1"",
      0
    ),
    1
  ),
  """"
)"),1000.0)</f>
        <v>1000</v>
      </c>
      <c r="T88" s="20" t="str">
        <f t="shared" si="3"/>
        <v/>
      </c>
      <c r="U88" s="20" t="str">
        <f t="shared" si="4"/>
        <v/>
      </c>
      <c r="V88" s="25">
        <v>0.0</v>
      </c>
      <c r="W88" s="26">
        <v>4.0</v>
      </c>
      <c r="X88" s="26">
        <v>0.053</v>
      </c>
      <c r="Y88" s="26">
        <v>113.20754716981132</v>
      </c>
      <c r="Z88" s="26">
        <v>10.0</v>
      </c>
      <c r="AA88" s="26">
        <v>0.742</v>
      </c>
      <c r="AB88" s="26">
        <v>0.0</v>
      </c>
      <c r="AC88" s="27"/>
      <c r="AD88" s="26">
        <v>113.20754716981132</v>
      </c>
      <c r="AE88" s="10" t="s">
        <v>38</v>
      </c>
      <c r="AF88" s="10" t="s">
        <v>39</v>
      </c>
      <c r="AG88" s="27"/>
    </row>
    <row r="89" ht="15.75" customHeight="1">
      <c r="A89" s="34" t="s">
        <v>232</v>
      </c>
      <c r="B89" s="46">
        <v>1700.0</v>
      </c>
      <c r="C89" s="47" t="s">
        <v>87</v>
      </c>
      <c r="D89" s="15" t="s">
        <v>233</v>
      </c>
      <c r="E89" s="47" t="s">
        <v>147</v>
      </c>
      <c r="F89" s="36">
        <v>13.0</v>
      </c>
      <c r="G89" s="17">
        <v>2.0</v>
      </c>
      <c r="H89" s="17">
        <v>0.0</v>
      </c>
      <c r="I89" s="18">
        <v>0.0</v>
      </c>
      <c r="J89" s="19" t="str">
        <f t="shared" si="9"/>
        <v>relampago 3x2</v>
      </c>
      <c r="K89" s="20">
        <f t="shared" si="8"/>
        <v>1133.39</v>
      </c>
      <c r="L89" s="15"/>
      <c r="M89" s="20"/>
      <c r="N89" s="21">
        <v>0.0</v>
      </c>
      <c r="O89" s="22">
        <v>3.0</v>
      </c>
      <c r="P89" s="23">
        <f>IFERROR(__xludf.DUMMYFUNCTION("IFERROR(
  INDEX(
    QUERY(
      Historial!A:I,
      ""select I where B = '""&amp;A89&amp;""' order by A desc limit 1"",
      0
    ),
    1
  ),
  """"
)"),46416.0)</f>
        <v>46416</v>
      </c>
      <c r="Q89" s="19" t="s">
        <v>60</v>
      </c>
      <c r="R89" s="24">
        <v>46238.0</v>
      </c>
      <c r="S89" s="20">
        <f>IFERROR(__xludf.DUMMYFUNCTION("IFERROR(
  INDEX(
    QUERY(
      Historial!A:G,
      ""select G where B = '""&amp;A89&amp;""' order by A desc limit 1"",
      0
    ),
    1
  ),
  """"
)"),750.0)</f>
        <v>750</v>
      </c>
      <c r="T89" s="20" t="str">
        <f t="shared" si="3"/>
        <v>✅ OK</v>
      </c>
      <c r="U89" s="20" t="str">
        <f t="shared" si="4"/>
        <v/>
      </c>
      <c r="V89" s="25">
        <v>0.0</v>
      </c>
      <c r="W89" s="26">
        <v>0.0</v>
      </c>
      <c r="X89" s="26">
        <v>0.0</v>
      </c>
      <c r="Y89" s="27"/>
      <c r="Z89" s="26">
        <v>21.0</v>
      </c>
      <c r="AA89" s="26">
        <v>0.0</v>
      </c>
      <c r="AB89" s="26">
        <v>0.0</v>
      </c>
      <c r="AC89" s="26">
        <v>324.0</v>
      </c>
      <c r="AD89" s="27"/>
      <c r="AE89" s="10" t="s">
        <v>38</v>
      </c>
      <c r="AF89" s="10" t="s">
        <v>44</v>
      </c>
      <c r="AG89" s="27"/>
    </row>
    <row r="90" ht="15.75" customHeight="1">
      <c r="A90" s="31" t="s">
        <v>234</v>
      </c>
      <c r="B90" s="40">
        <v>8000.0</v>
      </c>
      <c r="C90" s="20" t="s">
        <v>87</v>
      </c>
      <c r="D90" s="15" t="s">
        <v>235</v>
      </c>
      <c r="E90" s="20" t="s">
        <v>47</v>
      </c>
      <c r="F90" s="39">
        <v>3.0</v>
      </c>
      <c r="G90" s="40">
        <v>0.0</v>
      </c>
      <c r="H90" s="20">
        <v>0.0</v>
      </c>
      <c r="I90" s="20">
        <v>0.0</v>
      </c>
      <c r="J90" s="40">
        <v>0.0</v>
      </c>
      <c r="K90" s="20" t="str">
        <f t="shared" si="8"/>
        <v>NORMAL / SIN OFERTA</v>
      </c>
      <c r="L90" s="20">
        <v>0.0</v>
      </c>
      <c r="M90" s="20">
        <v>0.0</v>
      </c>
      <c r="N90" s="21">
        <v>0.0</v>
      </c>
      <c r="O90" s="22">
        <v>2.0</v>
      </c>
      <c r="P90" s="23">
        <f>IFERROR(__xludf.DUMMYFUNCTION("IFERROR(
  INDEX(
    QUERY(
      Historial!A:I,
      ""select I where B = '""&amp;A90&amp;""' order by A desc limit 1"",
      0
    ),
    1
  ),
  """"
)"),46125.0)</f>
        <v>46125</v>
      </c>
      <c r="Q90" s="19" t="s">
        <v>63</v>
      </c>
      <c r="R90" s="24">
        <v>46239.0</v>
      </c>
      <c r="S90" s="20">
        <f>IFERROR(__xludf.DUMMYFUNCTION("IFERROR(
  INDEX(
    QUERY(
      Historial!A:G,
      ""select G where B = '""&amp;A90&amp;""' order by A desc limit 1"",
      0
    ),
    1
  ),
  """"
)"),4806.0)</f>
        <v>4806</v>
      </c>
      <c r="T90" s="20" t="str">
        <f t="shared" si="3"/>
        <v>✅ OK</v>
      </c>
      <c r="U90" s="20" t="str">
        <f t="shared" si="4"/>
        <v/>
      </c>
      <c r="V90" s="25">
        <v>0.0</v>
      </c>
      <c r="W90" s="26">
        <v>0.0</v>
      </c>
      <c r="X90" s="26">
        <v>0.0</v>
      </c>
      <c r="Y90" s="27"/>
      <c r="Z90" s="26">
        <v>14.0</v>
      </c>
      <c r="AA90" s="26">
        <v>0.0</v>
      </c>
      <c r="AB90" s="26">
        <v>0.0</v>
      </c>
      <c r="AC90" s="26">
        <v>33.0</v>
      </c>
      <c r="AD90" s="27"/>
      <c r="AE90" s="10" t="s">
        <v>38</v>
      </c>
      <c r="AF90" s="10" t="s">
        <v>44</v>
      </c>
      <c r="AG90" s="27"/>
    </row>
    <row r="91" ht="15.75" customHeight="1">
      <c r="A91" s="34" t="s">
        <v>236</v>
      </c>
      <c r="B91" s="35">
        <v>1500.0</v>
      </c>
      <c r="C91" s="15" t="s">
        <v>87</v>
      </c>
      <c r="D91" s="15" t="s">
        <v>237</v>
      </c>
      <c r="E91" s="15" t="s">
        <v>147</v>
      </c>
      <c r="F91" s="36">
        <v>16.0</v>
      </c>
      <c r="G91" s="17">
        <v>3.0</v>
      </c>
      <c r="H91" s="17">
        <v>0.0</v>
      </c>
      <c r="I91" s="18">
        <v>0.0</v>
      </c>
      <c r="J91" s="19" t="str">
        <f t="shared" ref="J91:J161" si="10">IF(
A91="",
"",
IF(
F91=0,
"sin stock",
IF(
NOT(OR(I91=0,I91=1)),
"ERROR ESPECIAL",
IF(
NOT(ISNUMBER(MATCH(G91,{0;1;2;3;4;5;6;10;11;12;13;14},0))),
"ERROR RELAMPAGO",
IF(
OR(H91&gt;70,AND(H91&gt;0,H91&lt;15)),
"ERROR DESTACADA",
IF(
(I91=1)+(H91&gt;0)+(G91&gt;0)&gt;1,
"ERROR DOBLE OFERTA",
IF(
I91=1,
"especial",
IF(
H91&gt;0,
"destacada",
IF(
G91&gt;0,
IF(
OR(
AND(G91&lt;=6,F91&lt;(G91+1)),
AND(G91=10,F91&lt;2),
AND(G91&gt;=11,F91&lt;1)
),
"REPONER "&amp;
IF(G91&lt;=6,G91+1-F91,
IF(G91=10,2-F91,
1-
F91)
)&amp;
" PARA PROMO",
IF(
G91&lt;=6,
"relampago "&amp;(G91+1)&amp;"x"&amp;G91,
IF(
G91=10,
"2da50off",
IF(
G91&gt;=11,
"relampago "&amp;CHOOSE(G91-10,10,15,20,25)&amp;"%",
"relampago"
)
)
)
),
"sin oferta"
)
)
)
)
)
)
)
)
)</f>
        <v>relampago 4x3</v>
      </c>
      <c r="K91" s="20">
        <f t="shared" si="8"/>
        <v>1125</v>
      </c>
      <c r="L91" s="15"/>
      <c r="M91" s="20"/>
      <c r="N91" s="21">
        <v>4.0</v>
      </c>
      <c r="O91" s="22">
        <v>4.0</v>
      </c>
      <c r="P91" s="23" t="str">
        <f>IFERROR(__xludf.DUMMYFUNCTION("IFERROR(
  INDEX(
    QUERY(
      Historial!A:I,
      ""select I where B = '""&amp;A91&amp;""' order by A desc limit 1"",
      0
    ),
    1
  ),
  """"
)"),"")</f>
        <v/>
      </c>
      <c r="Q91" s="19" t="s">
        <v>48</v>
      </c>
      <c r="R91" s="24">
        <v>46242.0</v>
      </c>
      <c r="S91" s="20" t="str">
        <f>IFERROR(__xludf.DUMMYFUNCTION("IFERROR(
  INDEX(
    QUERY(
      Historial!A:G,
      ""select G where B = '""&amp;A91&amp;""' order by A desc limit 1"",
      0
    ),
    1
  ),
  """"
)"),"")</f>
        <v/>
      </c>
      <c r="T91" s="20" t="str">
        <f t="shared" si="3"/>
        <v/>
      </c>
      <c r="U91" s="20" t="str">
        <f t="shared" si="4"/>
        <v/>
      </c>
      <c r="V91" s="25">
        <v>5.0</v>
      </c>
      <c r="W91" s="26">
        <v>8.0</v>
      </c>
      <c r="X91" s="26">
        <v>0.535</v>
      </c>
      <c r="Y91" s="26">
        <v>29.906542056074766</v>
      </c>
      <c r="Z91" s="26">
        <v>7.0</v>
      </c>
      <c r="AA91" s="26">
        <v>9.63</v>
      </c>
      <c r="AB91" s="26">
        <v>0.0</v>
      </c>
      <c r="AC91" s="27"/>
      <c r="AD91" s="26">
        <v>29.906542056074766</v>
      </c>
      <c r="AE91" s="10" t="s">
        <v>38</v>
      </c>
      <c r="AF91" s="10" t="s">
        <v>39</v>
      </c>
      <c r="AG91" s="27"/>
    </row>
    <row r="92" ht="15.75" customHeight="1">
      <c r="A92" s="34" t="s">
        <v>238</v>
      </c>
      <c r="B92" s="46">
        <v>2000.0</v>
      </c>
      <c r="C92" s="47" t="s">
        <v>87</v>
      </c>
      <c r="D92" s="15" t="s">
        <v>239</v>
      </c>
      <c r="E92" s="47" t="s">
        <v>74</v>
      </c>
      <c r="F92" s="36">
        <v>11.0</v>
      </c>
      <c r="G92" s="33">
        <v>0.0</v>
      </c>
      <c r="H92" s="33">
        <v>0.0</v>
      </c>
      <c r="I92" s="29">
        <v>0.0</v>
      </c>
      <c r="J92" s="19" t="str">
        <f t="shared" si="10"/>
        <v>sin oferta</v>
      </c>
      <c r="K92" s="20" t="str">
        <f t="shared" si="8"/>
        <v>NORMAL / SIN OFERTA</v>
      </c>
      <c r="L92" s="15"/>
      <c r="M92" s="20"/>
      <c r="N92" s="21">
        <v>0.0</v>
      </c>
      <c r="O92" s="22">
        <v>2.0</v>
      </c>
      <c r="P92" s="23">
        <f>IFERROR(__xludf.DUMMYFUNCTION("IFERROR(
  INDEX(
    QUERY(
      Historial!A:I,
      ""select I where B = '""&amp;A92&amp;""' order by A desc limit 1"",
      0
    ),
    1
  ),
  """"
)"),46760.0)</f>
        <v>46760</v>
      </c>
      <c r="Q92" s="19" t="s">
        <v>37</v>
      </c>
      <c r="R92" s="24">
        <v>46247.0</v>
      </c>
      <c r="S92" s="20">
        <f>IFERROR(__xludf.DUMMYFUNCTION("IFERROR(
  INDEX(
    QUERY(
      Historial!A:G,
      ""select G where B = '""&amp;A92&amp;""' order by A desc limit 1"",
      0
    ),
    1
  ),
  """"
)"),600.0)</f>
        <v>600</v>
      </c>
      <c r="T92" s="20" t="str">
        <f t="shared" si="3"/>
        <v>✅ OK</v>
      </c>
      <c r="U92" s="20" t="str">
        <f t="shared" si="4"/>
        <v/>
      </c>
      <c r="V92" s="25">
        <v>0.0</v>
      </c>
      <c r="W92" s="26">
        <v>0.0</v>
      </c>
      <c r="X92" s="26">
        <v>0.0</v>
      </c>
      <c r="Y92" s="27"/>
      <c r="Z92" s="26">
        <v>14.0</v>
      </c>
      <c r="AA92" s="26">
        <v>0.0</v>
      </c>
      <c r="AB92" s="26">
        <v>0.0</v>
      </c>
      <c r="AC92" s="26">
        <v>668.0</v>
      </c>
      <c r="AD92" s="27"/>
      <c r="AE92" s="10" t="s">
        <v>38</v>
      </c>
      <c r="AF92" s="10" t="s">
        <v>44</v>
      </c>
      <c r="AG92" s="27"/>
    </row>
    <row r="93" ht="15.75" customHeight="1">
      <c r="A93" s="34" t="s">
        <v>240</v>
      </c>
      <c r="B93" s="35">
        <v>1200.0</v>
      </c>
      <c r="C93" s="15" t="s">
        <v>87</v>
      </c>
      <c r="D93" s="15" t="s">
        <v>241</v>
      </c>
      <c r="E93" s="15"/>
      <c r="F93" s="41">
        <v>6.0</v>
      </c>
      <c r="G93" s="33">
        <v>0.0</v>
      </c>
      <c r="H93" s="33">
        <v>0.0</v>
      </c>
      <c r="I93" s="29">
        <v>1.0</v>
      </c>
      <c r="J93" s="19" t="str">
        <f t="shared" si="10"/>
        <v>especial</v>
      </c>
      <c r="K93" s="20">
        <f t="shared" si="8"/>
        <v>1080</v>
      </c>
      <c r="L93" s="15"/>
      <c r="M93" s="20"/>
      <c r="N93" s="21">
        <v>0.0</v>
      </c>
      <c r="O93" s="22">
        <v>2.0</v>
      </c>
      <c r="P93" s="23" t="str">
        <f>IFERROR(__xludf.DUMMYFUNCTION("IFERROR(
  INDEX(
    QUERY(
      Historial!A:I,
      ""select I where B = '""&amp;A93&amp;""' order by A desc limit 1"",
      0
    ),
    1
  ),
  """"
)"),"")</f>
        <v/>
      </c>
      <c r="Q93" s="19" t="s">
        <v>43</v>
      </c>
      <c r="R93" s="24">
        <v>46248.0</v>
      </c>
      <c r="S93" s="20">
        <f>IFERROR(__xludf.DUMMYFUNCTION("IFERROR(
  INDEX(
    QUERY(
      Historial!A:G,
      ""select G where B = '""&amp;A93&amp;""' order by A desc limit 1"",
      0
    ),
    1
  ),
  """"
)"),556.0)</f>
        <v>556</v>
      </c>
      <c r="T93" s="20" t="str">
        <f t="shared" si="3"/>
        <v/>
      </c>
      <c r="U93" s="20" t="str">
        <f t="shared" si="4"/>
        <v/>
      </c>
      <c r="V93" s="25">
        <v>0.0</v>
      </c>
      <c r="W93" s="26">
        <v>0.0</v>
      </c>
      <c r="X93" s="26">
        <v>0.0</v>
      </c>
      <c r="Y93" s="27"/>
      <c r="Z93" s="26">
        <v>14.0</v>
      </c>
      <c r="AA93" s="26">
        <v>0.0</v>
      </c>
      <c r="AB93" s="26">
        <v>0.0</v>
      </c>
      <c r="AC93" s="27"/>
      <c r="AD93" s="27"/>
      <c r="AE93" s="10" t="s">
        <v>38</v>
      </c>
      <c r="AF93" s="10" t="s">
        <v>44</v>
      </c>
      <c r="AG93" s="27"/>
    </row>
    <row r="94" ht="15.75" customHeight="1">
      <c r="A94" s="34" t="s">
        <v>242</v>
      </c>
      <c r="B94" s="35">
        <v>2700.0</v>
      </c>
      <c r="C94" s="15" t="s">
        <v>87</v>
      </c>
      <c r="D94" s="15" t="s">
        <v>243</v>
      </c>
      <c r="E94" s="15"/>
      <c r="F94" s="36">
        <v>2.0</v>
      </c>
      <c r="G94" s="33">
        <v>0.0</v>
      </c>
      <c r="H94" s="33">
        <v>0.0</v>
      </c>
      <c r="I94" s="29">
        <v>0.0</v>
      </c>
      <c r="J94" s="19" t="str">
        <f t="shared" si="10"/>
        <v>sin oferta</v>
      </c>
      <c r="K94" s="20" t="str">
        <f t="shared" si="8"/>
        <v>NORMAL / SIN OFERTA</v>
      </c>
      <c r="L94" s="15"/>
      <c r="M94" s="20"/>
      <c r="N94" s="21">
        <v>1.0</v>
      </c>
      <c r="O94" s="22">
        <v>2.0</v>
      </c>
      <c r="P94" s="23" t="str">
        <f>IFERROR(__xludf.DUMMYFUNCTION("IFERROR(
  INDEX(
    QUERY(
      Historial!A:I,
      ""select I where B = '""&amp;A94&amp;""' order by A desc limit 1"",
      0
    ),
    1
  ),
  """"
)"),"")</f>
        <v/>
      </c>
      <c r="Q94" s="19" t="s">
        <v>60</v>
      </c>
      <c r="R94" s="24">
        <v>46252.0</v>
      </c>
      <c r="S94" s="20" t="str">
        <f>IFERROR(__xludf.DUMMYFUNCTION("IFERROR(
  INDEX(
    QUERY(
      Historial!A:G,
      ""select G where B = '""&amp;A94&amp;""' order by A desc limit 1"",
      0
    ),
    1
  ),
  """"
)"),"")</f>
        <v/>
      </c>
      <c r="T94" s="20" t="str">
        <f t="shared" si="3"/>
        <v/>
      </c>
      <c r="U94" s="20" t="str">
        <f t="shared" si="4"/>
        <v/>
      </c>
      <c r="V94" s="25">
        <v>0.0</v>
      </c>
      <c r="W94" s="26">
        <v>1.0</v>
      </c>
      <c r="X94" s="26">
        <v>0.013</v>
      </c>
      <c r="Y94" s="26">
        <v>153.84615384615384</v>
      </c>
      <c r="Z94" s="26">
        <v>14.0</v>
      </c>
      <c r="AA94" s="26">
        <v>0.13</v>
      </c>
      <c r="AB94" s="26">
        <v>0.0</v>
      </c>
      <c r="AC94" s="27"/>
      <c r="AD94" s="26">
        <v>153.84615384615384</v>
      </c>
      <c r="AE94" s="10" t="s">
        <v>38</v>
      </c>
      <c r="AF94" s="10" t="s">
        <v>39</v>
      </c>
      <c r="AG94" s="27"/>
    </row>
    <row r="95" ht="15.75" customHeight="1">
      <c r="A95" s="34" t="s">
        <v>244</v>
      </c>
      <c r="B95" s="35">
        <v>1800.0</v>
      </c>
      <c r="C95" s="15" t="s">
        <v>87</v>
      </c>
      <c r="D95" s="15" t="s">
        <v>245</v>
      </c>
      <c r="E95" s="15"/>
      <c r="F95" s="41">
        <v>8.0</v>
      </c>
      <c r="G95" s="17">
        <v>10.0</v>
      </c>
      <c r="H95" s="17">
        <v>0.0</v>
      </c>
      <c r="I95" s="18">
        <v>0.0</v>
      </c>
      <c r="J95" s="19" t="str">
        <f t="shared" si="10"/>
        <v>2da50off</v>
      </c>
      <c r="K95" s="20">
        <f t="shared" si="8"/>
        <v>1350</v>
      </c>
      <c r="L95" s="15"/>
      <c r="M95" s="20"/>
      <c r="N95" s="21">
        <v>0.0</v>
      </c>
      <c r="O95" s="22">
        <v>3.0</v>
      </c>
      <c r="P95" s="23" t="str">
        <f>IFERROR(__xludf.DUMMYFUNCTION("IFERROR(
  INDEX(
    QUERY(
      Historial!A:I,
      ""select I where B = '""&amp;A95&amp;""' order by A desc limit 1"",
      0
    ),
    1
  ),
  """"
)"),"")</f>
        <v/>
      </c>
      <c r="Q95" s="19" t="s">
        <v>43</v>
      </c>
      <c r="R95" s="24">
        <v>46255.0</v>
      </c>
      <c r="S95" s="20" t="str">
        <f>IFERROR(__xludf.DUMMYFUNCTION("IFERROR(
  INDEX(
    QUERY(
      Historial!A:G,
      ""select G where B = '""&amp;A95&amp;""' order by A desc limit 1"",
      0
    ),
    1
  ),
  """"
)"),"")</f>
        <v/>
      </c>
      <c r="T95" s="20" t="str">
        <f t="shared" si="3"/>
        <v/>
      </c>
      <c r="U95" s="20" t="str">
        <f t="shared" si="4"/>
        <v/>
      </c>
      <c r="V95" s="25">
        <v>0.0</v>
      </c>
      <c r="W95" s="26">
        <v>0.0</v>
      </c>
      <c r="X95" s="26">
        <v>0.0</v>
      </c>
      <c r="Y95" s="27"/>
      <c r="Z95" s="26">
        <v>21.0</v>
      </c>
      <c r="AA95" s="26">
        <v>0.0</v>
      </c>
      <c r="AB95" s="26">
        <v>0.0</v>
      </c>
      <c r="AC95" s="27"/>
      <c r="AD95" s="27"/>
      <c r="AE95" s="10" t="s">
        <v>38</v>
      </c>
      <c r="AF95" s="10" t="s">
        <v>44</v>
      </c>
      <c r="AG95" s="27"/>
    </row>
    <row r="96" ht="15.75" customHeight="1">
      <c r="A96" s="34" t="s">
        <v>246</v>
      </c>
      <c r="B96" s="35">
        <v>1800.0</v>
      </c>
      <c r="C96" s="15" t="s">
        <v>87</v>
      </c>
      <c r="D96" s="15" t="s">
        <v>247</v>
      </c>
      <c r="E96" s="15"/>
      <c r="F96" s="41">
        <v>8.0</v>
      </c>
      <c r="G96" s="17">
        <v>10.0</v>
      </c>
      <c r="H96" s="17">
        <v>0.0</v>
      </c>
      <c r="I96" s="18">
        <v>0.0</v>
      </c>
      <c r="J96" s="19" t="str">
        <f t="shared" si="10"/>
        <v>2da50off</v>
      </c>
      <c r="K96" s="20">
        <f t="shared" si="8"/>
        <v>1350</v>
      </c>
      <c r="L96" s="15"/>
      <c r="M96" s="20"/>
      <c r="N96" s="21">
        <v>0.0</v>
      </c>
      <c r="O96" s="22">
        <v>3.0</v>
      </c>
      <c r="P96" s="23" t="str">
        <f>IFERROR(__xludf.DUMMYFUNCTION("IFERROR(
  INDEX(
    QUERY(
      Historial!A:I,
      ""select I where B = '""&amp;A96&amp;""' order by A desc limit 1"",
      0
    ),
    1
  ),
  """"
)"),"")</f>
        <v/>
      </c>
      <c r="Q96" s="19" t="s">
        <v>48</v>
      </c>
      <c r="R96" s="24">
        <v>46256.0</v>
      </c>
      <c r="S96" s="20" t="str">
        <f>IFERROR(__xludf.DUMMYFUNCTION("IFERROR(
  INDEX(
    QUERY(
      Historial!A:G,
      ""select G where B = '""&amp;A96&amp;""' order by A desc limit 1"",
      0
    ),
    1
  ),
  """"
)"),"")</f>
        <v/>
      </c>
      <c r="T96" s="20" t="str">
        <f t="shared" si="3"/>
        <v/>
      </c>
      <c r="U96" s="20" t="str">
        <f t="shared" si="4"/>
        <v/>
      </c>
      <c r="V96" s="25">
        <v>0.0</v>
      </c>
      <c r="W96" s="26">
        <v>0.0</v>
      </c>
      <c r="X96" s="26">
        <v>0.0</v>
      </c>
      <c r="Y96" s="27"/>
      <c r="Z96" s="26">
        <v>10.0</v>
      </c>
      <c r="AA96" s="26">
        <v>0.0</v>
      </c>
      <c r="AB96" s="26">
        <v>0.0</v>
      </c>
      <c r="AC96" s="27"/>
      <c r="AD96" s="27"/>
      <c r="AE96" s="10" t="s">
        <v>38</v>
      </c>
      <c r="AF96" s="10" t="s">
        <v>44</v>
      </c>
      <c r="AG96" s="27"/>
    </row>
    <row r="97" ht="15.75" customHeight="1">
      <c r="A97" s="34" t="s">
        <v>248</v>
      </c>
      <c r="B97" s="35">
        <v>1800.0</v>
      </c>
      <c r="C97" s="15" t="s">
        <v>87</v>
      </c>
      <c r="D97" s="15" t="s">
        <v>249</v>
      </c>
      <c r="E97" s="15" t="s">
        <v>47</v>
      </c>
      <c r="F97" s="36">
        <v>5.0</v>
      </c>
      <c r="G97" s="33">
        <v>0.0</v>
      </c>
      <c r="H97" s="33">
        <v>0.0</v>
      </c>
      <c r="I97" s="29">
        <v>0.0</v>
      </c>
      <c r="J97" s="19" t="str">
        <f t="shared" si="10"/>
        <v>sin oferta</v>
      </c>
      <c r="K97" s="20" t="str">
        <f t="shared" si="8"/>
        <v>NORMAL / SIN OFERTA</v>
      </c>
      <c r="L97" s="15"/>
      <c r="M97" s="20"/>
      <c r="N97" s="21">
        <v>2.0</v>
      </c>
      <c r="O97" s="22">
        <v>2.0</v>
      </c>
      <c r="P97" s="23" t="str">
        <f>IFERROR(__xludf.DUMMYFUNCTION("IFERROR(
  INDEX(
    QUERY(
      Historial!A:I,
      ""select I where B = '""&amp;A97&amp;""' order by A desc limit 1"",
      0
    ),
    1
  ),
  """"
)"),"")</f>
        <v/>
      </c>
      <c r="Q97" s="19" t="s">
        <v>51</v>
      </c>
      <c r="R97" s="24">
        <v>46257.0</v>
      </c>
      <c r="S97" s="20">
        <f>IFERROR(__xludf.DUMMYFUNCTION("IFERROR(
  INDEX(
    QUERY(
      Historial!A:G,
      ""select G where B = '""&amp;A97&amp;""' order by A desc limit 1"",
      0
    ),
    1
  ),
  """"
)"),999.0)</f>
        <v>999</v>
      </c>
      <c r="T97" s="20" t="str">
        <f t="shared" si="3"/>
        <v/>
      </c>
      <c r="U97" s="20" t="str">
        <f t="shared" si="4"/>
        <v/>
      </c>
      <c r="V97" s="25">
        <v>1.0</v>
      </c>
      <c r="W97" s="26">
        <v>2.0</v>
      </c>
      <c r="X97" s="26">
        <v>0.112</v>
      </c>
      <c r="Y97" s="26">
        <v>44.64285714285714</v>
      </c>
      <c r="Z97" s="26">
        <v>14.0</v>
      </c>
      <c r="AA97" s="26">
        <v>1.12</v>
      </c>
      <c r="AB97" s="26">
        <v>0.0</v>
      </c>
      <c r="AC97" s="27"/>
      <c r="AD97" s="26">
        <v>44.64285714285714</v>
      </c>
      <c r="AE97" s="10" t="s">
        <v>38</v>
      </c>
      <c r="AF97" s="10" t="s">
        <v>39</v>
      </c>
      <c r="AG97" s="27"/>
    </row>
    <row r="98" ht="15.75" customHeight="1">
      <c r="A98" s="34" t="s">
        <v>250</v>
      </c>
      <c r="B98" s="35">
        <v>1800.0</v>
      </c>
      <c r="C98" s="15" t="s">
        <v>87</v>
      </c>
      <c r="D98" s="15" t="s">
        <v>251</v>
      </c>
      <c r="E98" s="15"/>
      <c r="F98" s="41">
        <v>6.0</v>
      </c>
      <c r="G98" s="33">
        <v>0.0</v>
      </c>
      <c r="H98" s="33">
        <v>0.0</v>
      </c>
      <c r="I98" s="29">
        <v>0.0</v>
      </c>
      <c r="J98" s="19" t="str">
        <f t="shared" si="10"/>
        <v>sin oferta</v>
      </c>
      <c r="K98" s="20" t="str">
        <f t="shared" si="8"/>
        <v>NORMAL / SIN OFERTA</v>
      </c>
      <c r="L98" s="15"/>
      <c r="M98" s="20"/>
      <c r="N98" s="21">
        <v>0.0</v>
      </c>
      <c r="O98" s="22">
        <v>3.0</v>
      </c>
      <c r="P98" s="23" t="str">
        <f>IFERROR(__xludf.DUMMYFUNCTION("IFERROR(
  INDEX(
    QUERY(
      Historial!A:I,
      ""select I where B = '""&amp;A98&amp;""' order by A desc limit 1"",
      0
    ),
    1
  ),
  """"
)"),"")</f>
        <v/>
      </c>
      <c r="Q98" s="19" t="s">
        <v>57</v>
      </c>
      <c r="R98" s="24">
        <v>46258.0</v>
      </c>
      <c r="S98" s="20" t="str">
        <f>IFERROR(__xludf.DUMMYFUNCTION("IFERROR(
  INDEX(
    QUERY(
      Historial!A:G,
      ""select G where B = '""&amp;A98&amp;""' order by A desc limit 1"",
      0
    ),
    1
  ),
  """"
)"),"")</f>
        <v/>
      </c>
      <c r="T98" s="20" t="str">
        <f t="shared" si="3"/>
        <v/>
      </c>
      <c r="U98" s="20" t="str">
        <f t="shared" si="4"/>
        <v/>
      </c>
      <c r="V98" s="25">
        <v>0.0</v>
      </c>
      <c r="W98" s="26">
        <v>0.0</v>
      </c>
      <c r="X98" s="26">
        <v>0.0</v>
      </c>
      <c r="Y98" s="27"/>
      <c r="Z98" s="26">
        <v>21.0</v>
      </c>
      <c r="AA98" s="26">
        <v>0.0</v>
      </c>
      <c r="AB98" s="26">
        <v>0.0</v>
      </c>
      <c r="AC98" s="27"/>
      <c r="AD98" s="27"/>
      <c r="AE98" s="10" t="s">
        <v>38</v>
      </c>
      <c r="AF98" s="10" t="s">
        <v>44</v>
      </c>
      <c r="AG98" s="27"/>
    </row>
    <row r="99" ht="15.75" customHeight="1">
      <c r="A99" s="34" t="s">
        <v>252</v>
      </c>
      <c r="B99" s="46">
        <v>1800.0</v>
      </c>
      <c r="C99" s="47" t="s">
        <v>87</v>
      </c>
      <c r="D99" s="15" t="s">
        <v>253</v>
      </c>
      <c r="E99" s="47" t="s">
        <v>74</v>
      </c>
      <c r="F99" s="36">
        <v>9.0</v>
      </c>
      <c r="G99" s="17">
        <v>10.0</v>
      </c>
      <c r="H99" s="17">
        <v>0.0</v>
      </c>
      <c r="I99" s="18">
        <v>0.0</v>
      </c>
      <c r="J99" s="19" t="str">
        <f t="shared" si="10"/>
        <v>2da50off</v>
      </c>
      <c r="K99" s="20">
        <f t="shared" si="8"/>
        <v>1350</v>
      </c>
      <c r="L99" s="15"/>
      <c r="M99" s="20"/>
      <c r="N99" s="21">
        <v>0.0</v>
      </c>
      <c r="O99" s="22">
        <v>2.0</v>
      </c>
      <c r="P99" s="23">
        <f>IFERROR(__xludf.DUMMYFUNCTION("IFERROR(
  INDEX(
    QUERY(
      Historial!A:I,
      ""select I where B = '""&amp;A99&amp;""' order by A desc limit 1"",
      0
    ),
    1
  ),
  """"
)"),46446.0)</f>
        <v>46446</v>
      </c>
      <c r="Q99" s="19" t="s">
        <v>60</v>
      </c>
      <c r="R99" s="24">
        <v>46259.0</v>
      </c>
      <c r="S99" s="20">
        <f>IFERROR(__xludf.DUMMYFUNCTION("IFERROR(
  INDEX(
    QUERY(
      Historial!A:G,
      ""select G where B = '""&amp;A99&amp;""' order by A desc limit 1"",
      0
    ),
    1
  ),
  """"
)"),968.0)</f>
        <v>968</v>
      </c>
      <c r="T99" s="20" t="str">
        <f t="shared" si="3"/>
        <v>✅ OK</v>
      </c>
      <c r="U99" s="20" t="str">
        <f t="shared" si="4"/>
        <v/>
      </c>
      <c r="V99" s="25">
        <v>0.0</v>
      </c>
      <c r="W99" s="26">
        <v>0.0</v>
      </c>
      <c r="X99" s="26">
        <v>0.0</v>
      </c>
      <c r="Y99" s="27"/>
      <c r="Z99" s="26">
        <v>14.0</v>
      </c>
      <c r="AA99" s="26">
        <v>0.0</v>
      </c>
      <c r="AB99" s="26">
        <v>0.0</v>
      </c>
      <c r="AC99" s="26">
        <v>354.0</v>
      </c>
      <c r="AD99" s="27"/>
      <c r="AE99" s="10" t="s">
        <v>38</v>
      </c>
      <c r="AF99" s="10" t="s">
        <v>44</v>
      </c>
      <c r="AG99" s="27"/>
    </row>
    <row r="100" ht="15.75" customHeight="1">
      <c r="A100" s="34" t="s">
        <v>254</v>
      </c>
      <c r="B100" s="35">
        <v>3200.0</v>
      </c>
      <c r="C100" s="15" t="s">
        <v>87</v>
      </c>
      <c r="D100" s="15" t="s">
        <v>255</v>
      </c>
      <c r="E100" s="15" t="s">
        <v>47</v>
      </c>
      <c r="F100" s="41">
        <v>3.0</v>
      </c>
      <c r="G100" s="15">
        <v>0.0</v>
      </c>
      <c r="H100" s="33">
        <v>0.0</v>
      </c>
      <c r="I100" s="19">
        <v>0.0</v>
      </c>
      <c r="J100" s="19" t="str">
        <f t="shared" si="10"/>
        <v>sin oferta</v>
      </c>
      <c r="K100" s="20" t="str">
        <f t="shared" si="8"/>
        <v>NORMAL / SIN OFERTA</v>
      </c>
      <c r="L100" s="20"/>
      <c r="M100" s="20"/>
      <c r="N100" s="21">
        <v>0.0</v>
      </c>
      <c r="O100" s="22">
        <v>2.0</v>
      </c>
      <c r="P100" s="23" t="str">
        <f>IFERROR(__xludf.DUMMYFUNCTION("IFERROR(
  INDEX(
    QUERY(
      Historial!A:I,
      ""select I where B = '""&amp;A100&amp;""' order by A desc limit 1"",
      0
    ),
    1
  ),
  """"
)"),"")</f>
        <v/>
      </c>
      <c r="Q100" s="19" t="s">
        <v>63</v>
      </c>
      <c r="R100" s="24">
        <v>46260.0</v>
      </c>
      <c r="S100" s="20">
        <f>IFERROR(__xludf.DUMMYFUNCTION("IFERROR(
  INDEX(
    QUERY(
      Historial!A:G,
      ""select G where B = '""&amp;A100&amp;""' order by A desc limit 1"",
      0
    ),
    1
  ),
  """"
)"),2107.0)</f>
        <v>2107</v>
      </c>
      <c r="T100" s="20" t="str">
        <f t="shared" si="3"/>
        <v/>
      </c>
      <c r="U100" s="20" t="str">
        <f t="shared" si="4"/>
        <v/>
      </c>
      <c r="V100" s="25">
        <v>0.0</v>
      </c>
      <c r="W100" s="26">
        <v>0.0</v>
      </c>
      <c r="X100" s="26">
        <v>0.0</v>
      </c>
      <c r="Y100" s="27"/>
      <c r="Z100" s="26">
        <v>14.0</v>
      </c>
      <c r="AA100" s="26">
        <v>0.0</v>
      </c>
      <c r="AB100" s="26">
        <v>0.0</v>
      </c>
      <c r="AC100" s="27"/>
      <c r="AD100" s="27"/>
      <c r="AE100" s="10" t="s">
        <v>38</v>
      </c>
      <c r="AF100" s="10" t="s">
        <v>44</v>
      </c>
      <c r="AG100" s="27"/>
    </row>
    <row r="101" ht="15.75" customHeight="1">
      <c r="A101" s="34" t="s">
        <v>256</v>
      </c>
      <c r="B101" s="46">
        <v>2000.0</v>
      </c>
      <c r="C101" s="15" t="s">
        <v>87</v>
      </c>
      <c r="D101" s="15" t="s">
        <v>257</v>
      </c>
      <c r="E101" s="15"/>
      <c r="F101" s="36">
        <v>5.0</v>
      </c>
      <c r="G101" s="33">
        <v>0.0</v>
      </c>
      <c r="H101" s="33">
        <v>0.0</v>
      </c>
      <c r="I101" s="29">
        <v>0.0</v>
      </c>
      <c r="J101" s="19" t="str">
        <f t="shared" si="10"/>
        <v>sin oferta</v>
      </c>
      <c r="K101" s="20" t="str">
        <f t="shared" si="8"/>
        <v>NORMAL / SIN OFERTA</v>
      </c>
      <c r="L101" s="15">
        <v>0.0</v>
      </c>
      <c r="M101" s="20"/>
      <c r="N101" s="21">
        <v>2.0</v>
      </c>
      <c r="O101" s="22">
        <v>2.0</v>
      </c>
      <c r="P101" s="23" t="str">
        <f>IFERROR(__xludf.DUMMYFUNCTION("IFERROR(
  INDEX(
    QUERY(
      Historial!A:I,
      ""select I where B = '""&amp;A101&amp;""' order by A desc limit 1"",
      0
    ),
    1
  ),
  """"
)"),"")</f>
        <v/>
      </c>
      <c r="Q101" s="19" t="s">
        <v>37</v>
      </c>
      <c r="R101" s="24">
        <v>46261.0</v>
      </c>
      <c r="S101" s="20">
        <f>IFERROR(__xludf.DUMMYFUNCTION("IFERROR(
  INDEX(
    QUERY(
      Historial!A:G,
      ""select G where B = '""&amp;A101&amp;""' order by A desc limit 1"",
      0
    ),
    1
  ),
  """"
)"),700.0)</f>
        <v>700</v>
      </c>
      <c r="T101" s="20" t="str">
        <f t="shared" si="3"/>
        <v/>
      </c>
      <c r="U101" s="20" t="str">
        <f t="shared" si="4"/>
        <v/>
      </c>
      <c r="V101" s="25">
        <v>1.0</v>
      </c>
      <c r="W101" s="26">
        <v>1.0</v>
      </c>
      <c r="X101" s="26">
        <v>0.099</v>
      </c>
      <c r="Y101" s="26">
        <v>50.505050505050505</v>
      </c>
      <c r="Z101" s="26">
        <v>14.0</v>
      </c>
      <c r="AA101" s="26">
        <v>0.99</v>
      </c>
      <c r="AB101" s="26">
        <v>0.0</v>
      </c>
      <c r="AC101" s="27"/>
      <c r="AD101" s="26">
        <v>50.505050505050505</v>
      </c>
      <c r="AE101" s="10" t="s">
        <v>38</v>
      </c>
      <c r="AF101" s="10" t="s">
        <v>39</v>
      </c>
      <c r="AG101" s="27"/>
    </row>
    <row r="102" ht="15.75" customHeight="1">
      <c r="A102" s="34" t="s">
        <v>258</v>
      </c>
      <c r="B102" s="35">
        <v>2000.0</v>
      </c>
      <c r="C102" s="15" t="s">
        <v>87</v>
      </c>
      <c r="D102" s="15" t="s">
        <v>259</v>
      </c>
      <c r="E102" s="15"/>
      <c r="F102" s="41">
        <v>6.0</v>
      </c>
      <c r="G102" s="33">
        <v>0.0</v>
      </c>
      <c r="H102" s="33">
        <v>0.0</v>
      </c>
      <c r="I102" s="29">
        <v>0.0</v>
      </c>
      <c r="J102" s="19" t="str">
        <f t="shared" si="10"/>
        <v>sin oferta</v>
      </c>
      <c r="K102" s="20" t="str">
        <f t="shared" si="8"/>
        <v>NORMAL / SIN OFERTA</v>
      </c>
      <c r="L102" s="15"/>
      <c r="M102" s="20"/>
      <c r="N102" s="21">
        <v>0.0</v>
      </c>
      <c r="O102" s="22">
        <v>3.0</v>
      </c>
      <c r="P102" s="23" t="str">
        <f>IFERROR(__xludf.DUMMYFUNCTION("IFERROR(
  INDEX(
    QUERY(
      Historial!A:I,
      ""select I where B = '""&amp;A102&amp;""' order by A desc limit 1"",
      0
    ),
    1
  ),
  """"
)"),"")</f>
        <v/>
      </c>
      <c r="Q102" s="19" t="s">
        <v>43</v>
      </c>
      <c r="R102" s="24">
        <v>46262.0</v>
      </c>
      <c r="S102" s="20" t="str">
        <f>IFERROR(__xludf.DUMMYFUNCTION("IFERROR(
  INDEX(
    QUERY(
      Historial!A:G,
      ""select G where B = '""&amp;A102&amp;""' order by A desc limit 1"",
      0
    ),
    1
  ),
  """"
)"),"")</f>
        <v/>
      </c>
      <c r="T102" s="20" t="str">
        <f t="shared" si="3"/>
        <v/>
      </c>
      <c r="U102" s="20" t="str">
        <f t="shared" si="4"/>
        <v/>
      </c>
      <c r="V102" s="25">
        <v>0.0</v>
      </c>
      <c r="W102" s="26">
        <v>0.0</v>
      </c>
      <c r="X102" s="26">
        <v>0.0</v>
      </c>
      <c r="Y102" s="27"/>
      <c r="Z102" s="26">
        <v>21.0</v>
      </c>
      <c r="AA102" s="26">
        <v>0.0</v>
      </c>
      <c r="AB102" s="26">
        <v>0.0</v>
      </c>
      <c r="AC102" s="27"/>
      <c r="AD102" s="27"/>
      <c r="AE102" s="10" t="s">
        <v>38</v>
      </c>
      <c r="AF102" s="10" t="s">
        <v>44</v>
      </c>
      <c r="AG102" s="27"/>
    </row>
    <row r="103" ht="15.75" customHeight="1">
      <c r="A103" s="31" t="s">
        <v>260</v>
      </c>
      <c r="B103" s="20">
        <v>1800.0</v>
      </c>
      <c r="C103" s="20" t="s">
        <v>87</v>
      </c>
      <c r="D103" s="15" t="s">
        <v>261</v>
      </c>
      <c r="E103" s="15"/>
      <c r="F103" s="36">
        <v>7.0</v>
      </c>
      <c r="G103" s="33">
        <v>0.0</v>
      </c>
      <c r="H103" s="33">
        <v>0.0</v>
      </c>
      <c r="I103" s="29">
        <v>0.0</v>
      </c>
      <c r="J103" s="19" t="str">
        <f t="shared" si="10"/>
        <v>sin oferta</v>
      </c>
      <c r="K103" s="20" t="str">
        <f t="shared" si="8"/>
        <v>NORMAL / SIN OFERTA</v>
      </c>
      <c r="L103" s="15"/>
      <c r="M103" s="20"/>
      <c r="N103" s="21">
        <v>2.0</v>
      </c>
      <c r="O103" s="22">
        <v>2.0</v>
      </c>
      <c r="P103" s="23" t="str">
        <f>IFERROR(__xludf.DUMMYFUNCTION("IFERROR(
  INDEX(
    QUERY(
      Historial!A:I,
      ""select I where B = '""&amp;A103&amp;""' order by A desc limit 1"",
      0
    ),
    1
  ),
  """"
)"),"")</f>
        <v/>
      </c>
      <c r="Q103" s="19" t="s">
        <v>63</v>
      </c>
      <c r="R103" s="24">
        <v>46267.0</v>
      </c>
      <c r="S103" s="20" t="str">
        <f>IFERROR(__xludf.DUMMYFUNCTION("IFERROR(
  INDEX(
    QUERY(
      Historial!A:G,
      ""select G where B = '""&amp;A103&amp;""' order by A desc limit 1"",
      0
    ),
    1
  ),
  """"
)"),"")</f>
        <v/>
      </c>
      <c r="T103" s="20" t="str">
        <f t="shared" si="3"/>
        <v/>
      </c>
      <c r="U103" s="20" t="str">
        <f t="shared" si="4"/>
        <v/>
      </c>
      <c r="V103" s="25">
        <v>1.0</v>
      </c>
      <c r="W103" s="26">
        <v>1.0</v>
      </c>
      <c r="X103" s="26">
        <v>0.099</v>
      </c>
      <c r="Y103" s="26">
        <v>70.7070707070707</v>
      </c>
      <c r="Z103" s="26">
        <v>14.0</v>
      </c>
      <c r="AA103" s="26">
        <v>0.99</v>
      </c>
      <c r="AB103" s="26">
        <v>0.0</v>
      </c>
      <c r="AC103" s="27"/>
      <c r="AD103" s="26">
        <v>70.7070707070707</v>
      </c>
      <c r="AE103" s="10" t="s">
        <v>38</v>
      </c>
      <c r="AF103" s="10" t="s">
        <v>39</v>
      </c>
      <c r="AG103" s="27"/>
    </row>
    <row r="104" ht="15.75" customHeight="1">
      <c r="A104" s="34" t="s">
        <v>262</v>
      </c>
      <c r="B104" s="46">
        <v>3500.0</v>
      </c>
      <c r="C104" s="15" t="s">
        <v>87</v>
      </c>
      <c r="D104" s="15" t="s">
        <v>263</v>
      </c>
      <c r="E104" s="47" t="s">
        <v>47</v>
      </c>
      <c r="F104" s="36">
        <v>10.0</v>
      </c>
      <c r="G104" s="33">
        <v>10.0</v>
      </c>
      <c r="H104" s="33">
        <v>0.0</v>
      </c>
      <c r="I104" s="29">
        <v>0.0</v>
      </c>
      <c r="J104" s="19" t="str">
        <f t="shared" si="10"/>
        <v>2da50off</v>
      </c>
      <c r="K104" s="20">
        <f t="shared" si="8"/>
        <v>2625</v>
      </c>
      <c r="L104" s="15"/>
      <c r="M104" s="20"/>
      <c r="N104" s="21">
        <v>1.0</v>
      </c>
      <c r="O104" s="22">
        <v>2.0</v>
      </c>
      <c r="P104" s="23">
        <f>IFERROR(__xludf.DUMMYFUNCTION("IFERROR(
  INDEX(
    QUERY(
      Historial!A:I,
      ""select I where B = '""&amp;A104&amp;""' order by A desc limit 1"",
      0
    ),
    1
  ),
  """"
)"),46812.0)</f>
        <v>46812</v>
      </c>
      <c r="Q104" s="19" t="s">
        <v>37</v>
      </c>
      <c r="R104" s="24">
        <v>46268.0</v>
      </c>
      <c r="S104" s="20">
        <f>IFERROR(__xludf.DUMMYFUNCTION("IFERROR(
  INDEX(
    QUERY(
      Historial!A:G,
      ""select G where B = '""&amp;A104&amp;""' order by A desc limit 1"",
      0
    ),
    1
  ),
  """"
)"),1800.0)</f>
        <v>1800</v>
      </c>
      <c r="T104" s="20" t="str">
        <f t="shared" si="3"/>
        <v>✅ OK</v>
      </c>
      <c r="U104" s="20" t="str">
        <f t="shared" si="4"/>
        <v/>
      </c>
      <c r="V104" s="25">
        <v>0.0</v>
      </c>
      <c r="W104" s="26">
        <v>1.0</v>
      </c>
      <c r="X104" s="26">
        <v>0.013</v>
      </c>
      <c r="Y104" s="26">
        <v>769.2307692307693</v>
      </c>
      <c r="Z104" s="26">
        <v>21.0</v>
      </c>
      <c r="AA104" s="26">
        <v>0.091</v>
      </c>
      <c r="AB104" s="26">
        <v>0.0</v>
      </c>
      <c r="AC104" s="26">
        <v>720.0</v>
      </c>
      <c r="AD104" s="26">
        <v>769.2307692307693</v>
      </c>
      <c r="AE104" s="10" t="s">
        <v>52</v>
      </c>
      <c r="AF104" s="10" t="s">
        <v>53</v>
      </c>
      <c r="AG104" s="27"/>
    </row>
    <row r="105" ht="15.75" customHeight="1">
      <c r="A105" s="34" t="s">
        <v>264</v>
      </c>
      <c r="B105" s="46">
        <v>3500.0</v>
      </c>
      <c r="C105" s="47" t="s">
        <v>87</v>
      </c>
      <c r="D105" s="15" t="s">
        <v>265</v>
      </c>
      <c r="E105" s="47" t="s">
        <v>47</v>
      </c>
      <c r="F105" s="36">
        <v>7.0</v>
      </c>
      <c r="G105" s="33">
        <v>0.0</v>
      </c>
      <c r="H105" s="33">
        <v>0.0</v>
      </c>
      <c r="I105" s="29">
        <v>0.0</v>
      </c>
      <c r="J105" s="19" t="str">
        <f t="shared" si="10"/>
        <v>sin oferta</v>
      </c>
      <c r="K105" s="20" t="str">
        <f t="shared" si="8"/>
        <v>NORMAL / SIN OFERTA</v>
      </c>
      <c r="L105" s="15"/>
      <c r="M105" s="20"/>
      <c r="N105" s="21">
        <v>1.0</v>
      </c>
      <c r="O105" s="22">
        <v>2.0</v>
      </c>
      <c r="P105" s="23">
        <f>IFERROR(__xludf.DUMMYFUNCTION("IFERROR(
  INDEX(
    QUERY(
      Historial!A:I,
      ""select I where B = '""&amp;A105&amp;""' order by A desc limit 1"",
      0
    ),
    1
  ),
  """"
)"),46812.0)</f>
        <v>46812</v>
      </c>
      <c r="Q105" s="19" t="s">
        <v>43</v>
      </c>
      <c r="R105" s="24">
        <v>46269.0</v>
      </c>
      <c r="S105" s="20">
        <f>IFERROR(__xludf.DUMMYFUNCTION("IFERROR(
  INDEX(
    QUERY(
      Historial!A:G,
      ""select G where B = '""&amp;A105&amp;""' order by A desc limit 1"",
      0
    ),
    1
  ),
  """"
)"),1600.0)</f>
        <v>1600</v>
      </c>
      <c r="T105" s="20" t="str">
        <f t="shared" si="3"/>
        <v>✅ OK</v>
      </c>
      <c r="U105" s="20" t="str">
        <f t="shared" si="4"/>
        <v/>
      </c>
      <c r="V105" s="25">
        <v>0.0</v>
      </c>
      <c r="W105" s="26">
        <v>1.0</v>
      </c>
      <c r="X105" s="26">
        <v>0.013</v>
      </c>
      <c r="Y105" s="26">
        <v>538.4615384615385</v>
      </c>
      <c r="Z105" s="26">
        <v>21.0</v>
      </c>
      <c r="AA105" s="26">
        <v>0.091</v>
      </c>
      <c r="AB105" s="26">
        <v>0.0</v>
      </c>
      <c r="AC105" s="26">
        <v>720.0</v>
      </c>
      <c r="AD105" s="26">
        <v>538.4615384615385</v>
      </c>
      <c r="AE105" s="10" t="s">
        <v>38</v>
      </c>
      <c r="AF105" s="10" t="s">
        <v>39</v>
      </c>
      <c r="AG105" s="27"/>
    </row>
    <row r="106" ht="15.75" customHeight="1">
      <c r="A106" s="34" t="s">
        <v>266</v>
      </c>
      <c r="B106" s="35">
        <v>3899.0</v>
      </c>
      <c r="C106" s="15" t="s">
        <v>87</v>
      </c>
      <c r="D106" s="15" t="s">
        <v>267</v>
      </c>
      <c r="E106" s="15" t="s">
        <v>147</v>
      </c>
      <c r="F106" s="41">
        <v>4.0</v>
      </c>
      <c r="G106" s="33">
        <v>0.0</v>
      </c>
      <c r="H106" s="33">
        <v>0.0</v>
      </c>
      <c r="I106" s="29">
        <v>0.0</v>
      </c>
      <c r="J106" s="19" t="str">
        <f t="shared" si="10"/>
        <v>sin oferta</v>
      </c>
      <c r="K106" s="20" t="str">
        <f t="shared" si="8"/>
        <v>NORMAL / SIN OFERTA</v>
      </c>
      <c r="L106" s="15"/>
      <c r="M106" s="20"/>
      <c r="N106" s="21">
        <v>0.0</v>
      </c>
      <c r="O106" s="22">
        <v>2.0</v>
      </c>
      <c r="P106" s="23" t="str">
        <f>IFERROR(__xludf.DUMMYFUNCTION("IFERROR(
  INDEX(
    QUERY(
      Historial!A:I,
      ""select I where B = '""&amp;A106&amp;""' order by A desc limit 1"",
      0
    ),
    1
  ),
  """"
)"),"")</f>
        <v/>
      </c>
      <c r="Q106" s="19" t="s">
        <v>57</v>
      </c>
      <c r="R106" s="24">
        <v>46272.0</v>
      </c>
      <c r="S106" s="20">
        <f>IFERROR(__xludf.DUMMYFUNCTION("IFERROR(
  INDEX(
    QUERY(
      Historial!A:G,
      ""select G where B = '""&amp;A106&amp;""' order by A desc limit 1"",
      0
    ),
    1
  ),
  """"
)"),2166.0)</f>
        <v>2166</v>
      </c>
      <c r="T106" s="20" t="str">
        <f t="shared" si="3"/>
        <v/>
      </c>
      <c r="U106" s="20" t="str">
        <f t="shared" si="4"/>
        <v/>
      </c>
      <c r="V106" s="25">
        <v>0.0</v>
      </c>
      <c r="W106" s="26">
        <v>0.0</v>
      </c>
      <c r="X106" s="26">
        <v>0.0</v>
      </c>
      <c r="Y106" s="27"/>
      <c r="Z106" s="26">
        <v>21.0</v>
      </c>
      <c r="AA106" s="26">
        <v>0.0</v>
      </c>
      <c r="AB106" s="26">
        <v>0.0</v>
      </c>
      <c r="AC106" s="27"/>
      <c r="AD106" s="27"/>
      <c r="AE106" s="10" t="s">
        <v>38</v>
      </c>
      <c r="AF106" s="10" t="s">
        <v>44</v>
      </c>
      <c r="AG106" s="27"/>
    </row>
    <row r="107" ht="15.75" customHeight="1">
      <c r="A107" s="34" t="s">
        <v>268</v>
      </c>
      <c r="B107" s="35">
        <v>3500.0</v>
      </c>
      <c r="C107" s="15" t="s">
        <v>87</v>
      </c>
      <c r="D107" s="15" t="s">
        <v>269</v>
      </c>
      <c r="E107" s="15" t="s">
        <v>147</v>
      </c>
      <c r="F107" s="41">
        <v>9.0</v>
      </c>
      <c r="G107" s="17">
        <v>10.0</v>
      </c>
      <c r="H107" s="17">
        <v>0.0</v>
      </c>
      <c r="I107" s="18">
        <v>0.0</v>
      </c>
      <c r="J107" s="19" t="str">
        <f t="shared" si="10"/>
        <v>2da50off</v>
      </c>
      <c r="K107" s="20">
        <f t="shared" si="8"/>
        <v>2625</v>
      </c>
      <c r="L107" s="15"/>
      <c r="M107" s="20"/>
      <c r="N107" s="21">
        <v>1.0</v>
      </c>
      <c r="O107" s="22">
        <v>2.0</v>
      </c>
      <c r="P107" s="23" t="str">
        <f>IFERROR(__xludf.DUMMYFUNCTION("IFERROR(
  INDEX(
    QUERY(
      Historial!A:I,
      ""select I where B = '""&amp;A107&amp;""' order by A desc limit 1"",
      0
    ),
    1
  ),
  """"
)"),"")</f>
        <v/>
      </c>
      <c r="Q107" s="19" t="s">
        <v>60</v>
      </c>
      <c r="R107" s="24">
        <v>46273.0</v>
      </c>
      <c r="S107" s="20">
        <f>IFERROR(__xludf.DUMMYFUNCTION("IFERROR(
  INDEX(
    QUERY(
      Historial!A:G,
      ""select G where B = '""&amp;A107&amp;""' order by A desc limit 1"",
      0
    ),
    1
  ),
  """"
)"),1650.0)</f>
        <v>1650</v>
      </c>
      <c r="T107" s="20" t="str">
        <f t="shared" si="3"/>
        <v/>
      </c>
      <c r="U107" s="20" t="str">
        <f t="shared" si="4"/>
        <v/>
      </c>
      <c r="V107" s="25">
        <v>0.0</v>
      </c>
      <c r="W107" s="26">
        <v>1.0</v>
      </c>
      <c r="X107" s="26">
        <v>0.013</v>
      </c>
      <c r="Y107" s="26">
        <v>692.3076923076924</v>
      </c>
      <c r="Z107" s="26">
        <v>14.0</v>
      </c>
      <c r="AA107" s="26">
        <v>0.13</v>
      </c>
      <c r="AB107" s="26">
        <v>0.0</v>
      </c>
      <c r="AC107" s="27"/>
      <c r="AD107" s="26">
        <v>692.3076923076924</v>
      </c>
      <c r="AE107" s="10" t="s">
        <v>38</v>
      </c>
      <c r="AF107" s="10" t="s">
        <v>39</v>
      </c>
      <c r="AG107" s="27"/>
    </row>
    <row r="108" ht="15.75" customHeight="1">
      <c r="A108" s="34" t="s">
        <v>270</v>
      </c>
      <c r="B108" s="46">
        <v>3500.0</v>
      </c>
      <c r="C108" s="15" t="s">
        <v>87</v>
      </c>
      <c r="D108" s="15" t="s">
        <v>271</v>
      </c>
      <c r="E108" s="47" t="s">
        <v>47</v>
      </c>
      <c r="F108" s="36">
        <v>11.0</v>
      </c>
      <c r="G108" s="33">
        <v>0.0</v>
      </c>
      <c r="H108" s="33">
        <v>0.0</v>
      </c>
      <c r="I108" s="29">
        <v>0.0</v>
      </c>
      <c r="J108" s="19" t="str">
        <f t="shared" si="10"/>
        <v>sin oferta</v>
      </c>
      <c r="K108" s="20" t="str">
        <f t="shared" si="8"/>
        <v>NORMAL / SIN OFERTA</v>
      </c>
      <c r="L108" s="15"/>
      <c r="M108" s="20"/>
      <c r="N108" s="21">
        <v>0.0</v>
      </c>
      <c r="O108" s="22">
        <v>3.0</v>
      </c>
      <c r="P108" s="23">
        <f>IFERROR(__xludf.DUMMYFUNCTION("IFERROR(
  INDEX(
    QUERY(
      Historial!A:I,
      ""select I where B = '""&amp;A108&amp;""' order by A desc limit 1"",
      0
    ),
    1
  ),
  """"
)"),46811.0)</f>
        <v>46811</v>
      </c>
      <c r="Q108" s="19" t="s">
        <v>37</v>
      </c>
      <c r="R108" s="24">
        <v>46275.0</v>
      </c>
      <c r="S108" s="20">
        <f>IFERROR(__xludf.DUMMYFUNCTION("IFERROR(
  INDEX(
    QUERY(
      Historial!A:G,
      ""select G where B = '""&amp;A108&amp;""' order by A desc limit 1"",
      0
    ),
    1
  ),
  """"
)"),1500.0)</f>
        <v>1500</v>
      </c>
      <c r="T108" s="20" t="str">
        <f t="shared" si="3"/>
        <v>✅ OK</v>
      </c>
      <c r="U108" s="20" t="str">
        <f t="shared" si="4"/>
        <v/>
      </c>
      <c r="V108" s="25">
        <v>0.0</v>
      </c>
      <c r="W108" s="26">
        <v>0.0</v>
      </c>
      <c r="X108" s="26">
        <v>0.0</v>
      </c>
      <c r="Y108" s="27"/>
      <c r="Z108" s="26">
        <v>21.0</v>
      </c>
      <c r="AA108" s="26">
        <v>0.0</v>
      </c>
      <c r="AB108" s="26">
        <v>0.0</v>
      </c>
      <c r="AC108" s="26">
        <v>719.0</v>
      </c>
      <c r="AD108" s="27"/>
      <c r="AE108" s="10" t="s">
        <v>38</v>
      </c>
      <c r="AF108" s="10" t="s">
        <v>44</v>
      </c>
      <c r="AG108" s="27"/>
    </row>
    <row r="109" ht="15.75" customHeight="1">
      <c r="A109" s="58" t="s">
        <v>272</v>
      </c>
      <c r="B109" s="21">
        <v>3500.0</v>
      </c>
      <c r="C109" s="56" t="s">
        <v>87</v>
      </c>
      <c r="D109" s="56" t="s">
        <v>273</v>
      </c>
      <c r="E109" s="56" t="s">
        <v>114</v>
      </c>
      <c r="F109" s="32">
        <v>48.0</v>
      </c>
      <c r="G109" s="33">
        <v>0.0</v>
      </c>
      <c r="H109" s="33">
        <v>0.0</v>
      </c>
      <c r="I109" s="29">
        <v>0.0</v>
      </c>
      <c r="J109" s="19" t="str">
        <f t="shared" si="10"/>
        <v>sin oferta</v>
      </c>
      <c r="K109" s="20" t="str">
        <f t="shared" si="8"/>
        <v>NORMAL / SIN OFERTA</v>
      </c>
      <c r="L109" s="15"/>
      <c r="M109" s="20"/>
      <c r="N109" s="21">
        <v>0.0</v>
      </c>
      <c r="O109" s="22">
        <v>2.0</v>
      </c>
      <c r="P109" s="23" t="str">
        <f>IFERROR(__xludf.DUMMYFUNCTION("IFERROR(
  INDEX(
    QUERY(
      Historial!A:I,
      ""select I where B = '""&amp;A109&amp;""' order by A desc limit 1"",
      0
    ),
    1
  ),
  """"
)"),"")</f>
        <v/>
      </c>
      <c r="Q109" s="19" t="s">
        <v>43</v>
      </c>
      <c r="R109" s="24">
        <v>46276.0</v>
      </c>
      <c r="S109" s="20">
        <f>IFERROR(__xludf.DUMMYFUNCTION("IFERROR(
  INDEX(
    QUERY(
      Historial!A:G,
      ""select G where B = '""&amp;A109&amp;""' order by A desc limit 1"",
      0
    ),
    1
  ),
  """"
)"),2100.0)</f>
        <v>2100</v>
      </c>
      <c r="T109" s="20" t="str">
        <f t="shared" si="3"/>
        <v/>
      </c>
      <c r="U109" s="20" t="str">
        <f t="shared" si="4"/>
        <v/>
      </c>
      <c r="V109" s="25">
        <v>0.0</v>
      </c>
      <c r="W109" s="26">
        <v>0.0</v>
      </c>
      <c r="X109" s="26">
        <v>0.0</v>
      </c>
      <c r="Y109" s="27"/>
      <c r="Z109" s="26">
        <v>14.0</v>
      </c>
      <c r="AA109" s="26">
        <v>0.0</v>
      </c>
      <c r="AB109" s="26">
        <v>0.0</v>
      </c>
      <c r="AC109" s="27"/>
      <c r="AD109" s="27"/>
      <c r="AE109" s="10" t="s">
        <v>38</v>
      </c>
      <c r="AF109" s="10" t="s">
        <v>44</v>
      </c>
      <c r="AG109" s="27"/>
    </row>
    <row r="110" ht="15.75" customHeight="1">
      <c r="A110" s="58" t="s">
        <v>274</v>
      </c>
      <c r="B110" s="21">
        <v>700.0</v>
      </c>
      <c r="C110" s="56" t="s">
        <v>87</v>
      </c>
      <c r="D110" s="56" t="s">
        <v>275</v>
      </c>
      <c r="E110" s="56" t="s">
        <v>47</v>
      </c>
      <c r="F110" s="32">
        <v>4.0</v>
      </c>
      <c r="G110" s="33">
        <v>0.0</v>
      </c>
      <c r="H110" s="33">
        <v>0.0</v>
      </c>
      <c r="I110" s="29">
        <v>0.0</v>
      </c>
      <c r="J110" s="19" t="str">
        <f t="shared" si="10"/>
        <v>sin oferta</v>
      </c>
      <c r="K110" s="20" t="str">
        <f t="shared" si="8"/>
        <v>NORMAL / SIN OFERTA</v>
      </c>
      <c r="L110" s="15"/>
      <c r="M110" s="20"/>
      <c r="N110" s="21">
        <v>0.0</v>
      </c>
      <c r="O110" s="22">
        <v>2.0</v>
      </c>
      <c r="P110" s="23">
        <f>IFERROR(__xludf.DUMMYFUNCTION("IFERROR(
  INDEX(
    QUERY(
      Historial!A:I,
      ""select I where B = '""&amp;A110&amp;""' order by A desc limit 1"",
      0
    ),
    1
  ),
  """"
)"),46317.0)</f>
        <v>46317</v>
      </c>
      <c r="Q110" s="19" t="s">
        <v>48</v>
      </c>
      <c r="R110" s="24">
        <v>46277.0</v>
      </c>
      <c r="S110" s="20">
        <f>IFERROR(__xludf.DUMMYFUNCTION("IFERROR(
  INDEX(
    QUERY(
      Historial!A:G,
      ""select G where B = '""&amp;A110&amp;""' order by A desc limit 1"",
      0
    ),
    1
  ),
  """"
)"),459.0)</f>
        <v>459</v>
      </c>
      <c r="T110" s="20" t="str">
        <f t="shared" si="3"/>
        <v>✅ OK</v>
      </c>
      <c r="U110" s="20" t="str">
        <f t="shared" si="4"/>
        <v/>
      </c>
      <c r="V110" s="25">
        <v>0.0</v>
      </c>
      <c r="W110" s="26">
        <v>0.0</v>
      </c>
      <c r="X110" s="26">
        <v>0.0</v>
      </c>
      <c r="Y110" s="27"/>
      <c r="Z110" s="26">
        <v>14.0</v>
      </c>
      <c r="AA110" s="26">
        <v>0.0</v>
      </c>
      <c r="AB110" s="26">
        <v>0.0</v>
      </c>
      <c r="AC110" s="26">
        <v>225.0</v>
      </c>
      <c r="AD110" s="27"/>
      <c r="AE110" s="10" t="s">
        <v>38</v>
      </c>
      <c r="AF110" s="10" t="s">
        <v>44</v>
      </c>
      <c r="AG110" s="27"/>
    </row>
    <row r="111" ht="15.75" customHeight="1">
      <c r="A111" s="58" t="s">
        <v>276</v>
      </c>
      <c r="B111" s="21">
        <v>700.0</v>
      </c>
      <c r="C111" s="56" t="s">
        <v>87</v>
      </c>
      <c r="D111" s="56" t="s">
        <v>277</v>
      </c>
      <c r="E111" s="56" t="s">
        <v>114</v>
      </c>
      <c r="F111" s="32">
        <v>3.0</v>
      </c>
      <c r="G111" s="33">
        <v>0.0</v>
      </c>
      <c r="H111" s="33">
        <v>0.0</v>
      </c>
      <c r="I111" s="29">
        <v>0.0</v>
      </c>
      <c r="J111" s="19" t="str">
        <f t="shared" si="10"/>
        <v>sin oferta</v>
      </c>
      <c r="K111" s="20" t="str">
        <f t="shared" si="8"/>
        <v>NORMAL / SIN OFERTA</v>
      </c>
      <c r="L111" s="15"/>
      <c r="M111" s="20"/>
      <c r="N111" s="21">
        <v>0.0</v>
      </c>
      <c r="O111" s="22">
        <v>2.0</v>
      </c>
      <c r="P111" s="23">
        <f>IFERROR(__xludf.DUMMYFUNCTION("IFERROR(
  INDEX(
    QUERY(
      Historial!A:I,
      ""select I where B = '""&amp;A111&amp;""' order by A desc limit 1"",
      0
    ),
    1
  ),
  """"
)"),46379.0)</f>
        <v>46379</v>
      </c>
      <c r="Q111" s="19" t="s">
        <v>51</v>
      </c>
      <c r="R111" s="24">
        <v>46278.0</v>
      </c>
      <c r="S111" s="20">
        <f>IFERROR(__xludf.DUMMYFUNCTION("IFERROR(
  INDEX(
    QUERY(
      Historial!A:G,
      ""select G where B = '""&amp;A111&amp;""' order by A desc limit 1"",
      0
    ),
    1
  ),
  """"
)"),350.0)</f>
        <v>350</v>
      </c>
      <c r="T111" s="20" t="str">
        <f t="shared" si="3"/>
        <v>✅ OK</v>
      </c>
      <c r="U111" s="20" t="str">
        <f t="shared" si="4"/>
        <v/>
      </c>
      <c r="V111" s="25">
        <v>0.0</v>
      </c>
      <c r="W111" s="26">
        <v>0.0</v>
      </c>
      <c r="X111" s="26">
        <v>0.0</v>
      </c>
      <c r="Y111" s="27"/>
      <c r="Z111" s="26">
        <v>14.0</v>
      </c>
      <c r="AA111" s="26">
        <v>0.0</v>
      </c>
      <c r="AB111" s="26">
        <v>0.0</v>
      </c>
      <c r="AC111" s="26">
        <v>287.0</v>
      </c>
      <c r="AD111" s="27"/>
      <c r="AE111" s="10" t="s">
        <v>38</v>
      </c>
      <c r="AF111" s="10" t="s">
        <v>44</v>
      </c>
      <c r="AG111" s="27"/>
    </row>
    <row r="112" ht="15.75" customHeight="1">
      <c r="A112" s="58" t="s">
        <v>278</v>
      </c>
      <c r="B112" s="21">
        <v>1500.0</v>
      </c>
      <c r="C112" s="56" t="s">
        <v>87</v>
      </c>
      <c r="D112" s="56" t="s">
        <v>279</v>
      </c>
      <c r="E112" s="56" t="s">
        <v>74</v>
      </c>
      <c r="F112" s="32">
        <v>4.0</v>
      </c>
      <c r="G112" s="33">
        <v>0.0</v>
      </c>
      <c r="H112" s="33">
        <v>0.0</v>
      </c>
      <c r="I112" s="29">
        <v>0.0</v>
      </c>
      <c r="J112" s="19" t="str">
        <f t="shared" si="10"/>
        <v>sin oferta</v>
      </c>
      <c r="K112" s="20" t="str">
        <f t="shared" si="8"/>
        <v>NORMAL / SIN OFERTA</v>
      </c>
      <c r="L112" s="15"/>
      <c r="M112" s="20"/>
      <c r="N112" s="21">
        <v>0.0</v>
      </c>
      <c r="O112" s="22">
        <v>2.0</v>
      </c>
      <c r="P112" s="23">
        <f>IFERROR(__xludf.DUMMYFUNCTION("IFERROR(
  INDEX(
    QUERY(
      Historial!A:I,
      ""select I where B = '""&amp;A112&amp;""' order by A desc limit 1"",
      0
    ),
    1
  ),
  """"
)"),46468.0)</f>
        <v>46468</v>
      </c>
      <c r="Q112" s="19" t="s">
        <v>63</v>
      </c>
      <c r="R112" s="24">
        <v>46281.0</v>
      </c>
      <c r="S112" s="20">
        <f>IFERROR(__xludf.DUMMYFUNCTION("IFERROR(
  INDEX(
    QUERY(
      Historial!A:G,
      ""select G where B = '""&amp;A112&amp;""' order by A desc limit 1"",
      0
    ),
    1
  ),
  """"
)"),900.0)</f>
        <v>900</v>
      </c>
      <c r="T112" s="20" t="str">
        <f t="shared" si="3"/>
        <v>✅ OK</v>
      </c>
      <c r="U112" s="20" t="str">
        <f t="shared" si="4"/>
        <v/>
      </c>
      <c r="V112" s="25">
        <v>0.0</v>
      </c>
      <c r="W112" s="26">
        <v>0.0</v>
      </c>
      <c r="X112" s="26">
        <v>0.0</v>
      </c>
      <c r="Y112" s="27"/>
      <c r="Z112" s="26">
        <v>14.0</v>
      </c>
      <c r="AA112" s="26">
        <v>0.0</v>
      </c>
      <c r="AB112" s="26">
        <v>0.0</v>
      </c>
      <c r="AC112" s="26">
        <v>376.0</v>
      </c>
      <c r="AD112" s="27"/>
      <c r="AE112" s="10" t="s">
        <v>38</v>
      </c>
      <c r="AF112" s="10" t="s">
        <v>44</v>
      </c>
      <c r="AG112" s="27"/>
    </row>
    <row r="113" ht="15.75" customHeight="1">
      <c r="A113" s="58" t="s">
        <v>280</v>
      </c>
      <c r="B113" s="21">
        <v>1800.0</v>
      </c>
      <c r="C113" s="56" t="s">
        <v>87</v>
      </c>
      <c r="D113" s="56" t="s">
        <v>281</v>
      </c>
      <c r="E113" s="56" t="s">
        <v>74</v>
      </c>
      <c r="F113" s="32">
        <v>3.0</v>
      </c>
      <c r="G113" s="33">
        <v>0.0</v>
      </c>
      <c r="H113" s="33">
        <v>0.0</v>
      </c>
      <c r="I113" s="29">
        <v>0.0</v>
      </c>
      <c r="J113" s="19" t="str">
        <f t="shared" si="10"/>
        <v>sin oferta</v>
      </c>
      <c r="K113" s="20" t="str">
        <f t="shared" si="8"/>
        <v>NORMAL / SIN OFERTA</v>
      </c>
      <c r="L113" s="15"/>
      <c r="M113" s="20"/>
      <c r="N113" s="21">
        <v>0.0</v>
      </c>
      <c r="O113" s="22">
        <v>2.0</v>
      </c>
      <c r="P113" s="23">
        <f>IFERROR(__xludf.DUMMYFUNCTION("IFERROR(
  INDEX(
    QUERY(
      Historial!A:I,
      ""select I where B = '""&amp;A113&amp;""' order by A desc limit 1"",
      0
    ),
    1
  ),
  """"
)"),46268.0)</f>
        <v>46268</v>
      </c>
      <c r="Q113" s="19" t="s">
        <v>43</v>
      </c>
      <c r="R113" s="24">
        <v>46283.0</v>
      </c>
      <c r="S113" s="20">
        <f>IFERROR(__xludf.DUMMYFUNCTION("IFERROR(
  INDEX(
    QUERY(
      Historial!A:G,
      ""select G where B = '""&amp;A113&amp;""' order by A desc limit 1"",
      0
    ),
    1
  ),
  """"
)"),1000.0)</f>
        <v>1000</v>
      </c>
      <c r="T113" s="20" t="str">
        <f t="shared" si="3"/>
        <v>✅ OK</v>
      </c>
      <c r="U113" s="20" t="str">
        <f t="shared" si="4"/>
        <v/>
      </c>
      <c r="V113" s="25">
        <v>0.0</v>
      </c>
      <c r="W113" s="26">
        <v>0.0</v>
      </c>
      <c r="X113" s="26">
        <v>0.0</v>
      </c>
      <c r="Y113" s="27"/>
      <c r="Z113" s="26">
        <v>14.0</v>
      </c>
      <c r="AA113" s="26">
        <v>0.0</v>
      </c>
      <c r="AB113" s="26">
        <v>0.0</v>
      </c>
      <c r="AC113" s="26">
        <v>176.0</v>
      </c>
      <c r="AD113" s="27"/>
      <c r="AE113" s="10" t="s">
        <v>38</v>
      </c>
      <c r="AF113" s="10" t="s">
        <v>44</v>
      </c>
      <c r="AG113" s="27"/>
    </row>
    <row r="114" ht="15.75" customHeight="1">
      <c r="A114" s="58" t="s">
        <v>282</v>
      </c>
      <c r="B114" s="21">
        <v>4600.0</v>
      </c>
      <c r="C114" s="56" t="s">
        <v>87</v>
      </c>
      <c r="D114" s="56" t="s">
        <v>283</v>
      </c>
      <c r="E114" s="56" t="s">
        <v>74</v>
      </c>
      <c r="F114" s="32">
        <v>5.0</v>
      </c>
      <c r="G114" s="33">
        <v>0.0</v>
      </c>
      <c r="H114" s="33">
        <v>0.0</v>
      </c>
      <c r="I114" s="29">
        <v>0.0</v>
      </c>
      <c r="J114" s="19" t="str">
        <f t="shared" si="10"/>
        <v>sin oferta</v>
      </c>
      <c r="K114" s="20" t="str">
        <f t="shared" si="8"/>
        <v>NORMAL / SIN OFERTA</v>
      </c>
      <c r="L114" s="15"/>
      <c r="M114" s="20"/>
      <c r="N114" s="21">
        <v>0.0</v>
      </c>
      <c r="O114" s="22">
        <v>2.0</v>
      </c>
      <c r="P114" s="23">
        <f>IFERROR(__xludf.DUMMYFUNCTION("IFERROR(
  INDEX(
    QUERY(
      Historial!A:I,
      ""select I where B = '""&amp;A114&amp;""' order by A desc limit 1"",
      0
    ),
    1
  ),
  """"
)"),46168.0)</f>
        <v>46168</v>
      </c>
      <c r="Q114" s="19" t="s">
        <v>51</v>
      </c>
      <c r="R114" s="24">
        <v>46285.0</v>
      </c>
      <c r="S114" s="20">
        <f>IFERROR(__xludf.DUMMYFUNCTION("IFERROR(
  INDEX(
    QUERY(
      Historial!A:G,
      ""select G where B = '""&amp;A114&amp;""' order by A desc limit 1"",
      0
    ),
    1
  ),
  """"
)"),3021.0)</f>
        <v>3021</v>
      </c>
      <c r="T114" s="20" t="str">
        <f t="shared" si="3"/>
        <v>✅ OK</v>
      </c>
      <c r="U114" s="20" t="str">
        <f t="shared" si="4"/>
        <v/>
      </c>
      <c r="V114" s="25">
        <v>0.0</v>
      </c>
      <c r="W114" s="26">
        <v>0.0</v>
      </c>
      <c r="X114" s="26">
        <v>0.0</v>
      </c>
      <c r="Y114" s="27"/>
      <c r="Z114" s="26">
        <v>14.0</v>
      </c>
      <c r="AA114" s="26">
        <v>0.0</v>
      </c>
      <c r="AB114" s="26">
        <v>0.0</v>
      </c>
      <c r="AC114" s="26">
        <v>76.0</v>
      </c>
      <c r="AD114" s="27"/>
      <c r="AE114" s="10" t="s">
        <v>38</v>
      </c>
      <c r="AF114" s="10" t="s">
        <v>44</v>
      </c>
      <c r="AG114" s="27"/>
    </row>
    <row r="115" ht="15.75" customHeight="1">
      <c r="A115" s="58" t="s">
        <v>284</v>
      </c>
      <c r="B115" s="21">
        <v>4000.0</v>
      </c>
      <c r="C115" s="56" t="s">
        <v>87</v>
      </c>
      <c r="D115" s="56" t="s">
        <v>285</v>
      </c>
      <c r="E115" s="56" t="s">
        <v>74</v>
      </c>
      <c r="F115" s="32">
        <v>3.0</v>
      </c>
      <c r="G115" s="33">
        <v>0.0</v>
      </c>
      <c r="H115" s="33">
        <v>0.0</v>
      </c>
      <c r="I115" s="29">
        <v>0.0</v>
      </c>
      <c r="J115" s="19" t="str">
        <f t="shared" si="10"/>
        <v>sin oferta</v>
      </c>
      <c r="K115" s="20" t="str">
        <f t="shared" si="8"/>
        <v>NORMAL / SIN OFERTA</v>
      </c>
      <c r="L115" s="15"/>
      <c r="M115" s="20"/>
      <c r="N115" s="21">
        <v>0.0</v>
      </c>
      <c r="O115" s="22">
        <v>2.0</v>
      </c>
      <c r="P115" s="23">
        <f>IFERROR(__xludf.DUMMYFUNCTION("IFERROR(
  INDEX(
    QUERY(
      Historial!A:I,
      ""select I where B = '""&amp;A115&amp;""' order by A desc limit 1"",
      0
    ),
    1
  ),
  """"
)"),46131.0)</f>
        <v>46131</v>
      </c>
      <c r="Q115" s="19" t="s">
        <v>63</v>
      </c>
      <c r="R115" s="24">
        <v>46288.0</v>
      </c>
      <c r="S115" s="20">
        <f>IFERROR(__xludf.DUMMYFUNCTION("IFERROR(
  INDEX(
    QUERY(
      Historial!A:G,
      ""select G where B = '""&amp;A115&amp;""' order by A desc limit 1"",
      0
    ),
    1
  ),
  """"
)"),2704.0)</f>
        <v>2704</v>
      </c>
      <c r="T115" s="20" t="str">
        <f t="shared" si="3"/>
        <v>✅ OK</v>
      </c>
      <c r="U115" s="20" t="str">
        <f t="shared" si="4"/>
        <v/>
      </c>
      <c r="V115" s="25">
        <v>0.0</v>
      </c>
      <c r="W115" s="26">
        <v>0.0</v>
      </c>
      <c r="X115" s="26">
        <v>0.0</v>
      </c>
      <c r="Y115" s="27"/>
      <c r="Z115" s="26">
        <v>14.0</v>
      </c>
      <c r="AA115" s="26">
        <v>0.0</v>
      </c>
      <c r="AB115" s="26">
        <v>0.0</v>
      </c>
      <c r="AC115" s="26">
        <v>39.0</v>
      </c>
      <c r="AD115" s="27"/>
      <c r="AE115" s="10" t="s">
        <v>38</v>
      </c>
      <c r="AF115" s="10" t="s">
        <v>44</v>
      </c>
      <c r="AG115" s="27"/>
    </row>
    <row r="116" ht="15.75" customHeight="1">
      <c r="A116" s="58" t="s">
        <v>286</v>
      </c>
      <c r="B116" s="21">
        <v>7000.0</v>
      </c>
      <c r="C116" s="56" t="s">
        <v>87</v>
      </c>
      <c r="D116" s="56" t="s">
        <v>287</v>
      </c>
      <c r="E116" s="56" t="s">
        <v>147</v>
      </c>
      <c r="F116" s="32">
        <v>8.0</v>
      </c>
      <c r="G116" s="33">
        <v>0.0</v>
      </c>
      <c r="H116" s="33">
        <v>0.0</v>
      </c>
      <c r="I116" s="29">
        <v>0.0</v>
      </c>
      <c r="J116" s="19" t="str">
        <f t="shared" si="10"/>
        <v>sin oferta</v>
      </c>
      <c r="K116" s="20" t="str">
        <f t="shared" si="8"/>
        <v>NORMAL / SIN OFERTA</v>
      </c>
      <c r="L116" s="15"/>
      <c r="M116" s="20"/>
      <c r="N116" s="21">
        <v>0.0</v>
      </c>
      <c r="O116" s="22">
        <v>2.0</v>
      </c>
      <c r="P116" s="23">
        <f>IFERROR(__xludf.DUMMYFUNCTION("IFERROR(
  INDEX(
    QUERY(
      Historial!A:I,
      ""select I where B = '""&amp;A116&amp;""' order by A desc limit 1"",
      0
    ),
    1
  ),
  """"
)"),46191.0)</f>
        <v>46191</v>
      </c>
      <c r="Q116" s="19" t="s">
        <v>37</v>
      </c>
      <c r="R116" s="24">
        <v>46289.0</v>
      </c>
      <c r="S116" s="20">
        <f>IFERROR(__xludf.DUMMYFUNCTION("IFERROR(
  INDEX(
    QUERY(
      Historial!A:G,
      ""select G where B = '""&amp;A116&amp;""' order by A desc limit 1"",
      0
    ),
    1
  ),
  """"
)"),2570.0)</f>
        <v>2570</v>
      </c>
      <c r="T116" s="20" t="str">
        <f t="shared" si="3"/>
        <v>✅ OK</v>
      </c>
      <c r="U116" s="20" t="str">
        <f t="shared" si="4"/>
        <v/>
      </c>
      <c r="V116" s="25">
        <v>0.0</v>
      </c>
      <c r="W116" s="26">
        <v>0.0</v>
      </c>
      <c r="X116" s="26">
        <v>0.0</v>
      </c>
      <c r="Y116" s="27"/>
      <c r="Z116" s="26">
        <v>14.0</v>
      </c>
      <c r="AA116" s="26">
        <v>0.0</v>
      </c>
      <c r="AB116" s="26">
        <v>0.0</v>
      </c>
      <c r="AC116" s="26">
        <v>99.0</v>
      </c>
      <c r="AD116" s="27"/>
      <c r="AE116" s="10" t="s">
        <v>38</v>
      </c>
      <c r="AF116" s="10" t="s">
        <v>44</v>
      </c>
      <c r="AG116" s="27"/>
    </row>
    <row r="117" ht="15.75" customHeight="1">
      <c r="A117" s="58" t="s">
        <v>288</v>
      </c>
      <c r="B117" s="21">
        <v>3200.0</v>
      </c>
      <c r="C117" s="56" t="s">
        <v>87</v>
      </c>
      <c r="D117" s="56" t="s">
        <v>289</v>
      </c>
      <c r="E117" s="56" t="s">
        <v>147</v>
      </c>
      <c r="F117" s="32">
        <v>6.0</v>
      </c>
      <c r="G117" s="33">
        <v>0.0</v>
      </c>
      <c r="H117" s="33">
        <v>0.0</v>
      </c>
      <c r="I117" s="29">
        <v>0.0</v>
      </c>
      <c r="J117" s="19" t="str">
        <f t="shared" si="10"/>
        <v>sin oferta</v>
      </c>
      <c r="K117" s="20" t="str">
        <f t="shared" si="8"/>
        <v>NORMAL / SIN OFERTA</v>
      </c>
      <c r="L117" s="15"/>
      <c r="M117" s="20"/>
      <c r="N117" s="21">
        <v>0.0</v>
      </c>
      <c r="O117" s="22">
        <v>2.0</v>
      </c>
      <c r="P117" s="23" t="str">
        <f>IFERROR(__xludf.DUMMYFUNCTION("IFERROR(
  INDEX(
    QUERY(
      Historial!A:I,
      ""select I where B = '""&amp;A117&amp;""' order by A desc limit 1"",
      0
    ),
    1
  ),
  """"
)"),"")</f>
        <v/>
      </c>
      <c r="Q117" s="19" t="s">
        <v>43</v>
      </c>
      <c r="R117" s="24">
        <v>46290.0</v>
      </c>
      <c r="S117" s="20">
        <f>IFERROR(__xludf.DUMMYFUNCTION("IFERROR(
  INDEX(
    QUERY(
      Historial!A:G,
      ""select G where B = '""&amp;A117&amp;""' order by A desc limit 1"",
      0
    ),
    1
  ),
  """"
)"),1800.0)</f>
        <v>1800</v>
      </c>
      <c r="T117" s="20" t="str">
        <f t="shared" si="3"/>
        <v/>
      </c>
      <c r="U117" s="20" t="str">
        <f t="shared" si="4"/>
        <v/>
      </c>
      <c r="V117" s="25">
        <v>0.0</v>
      </c>
      <c r="W117" s="26">
        <v>0.0</v>
      </c>
      <c r="X117" s="26">
        <v>0.0</v>
      </c>
      <c r="Y117" s="27"/>
      <c r="Z117" s="26">
        <v>14.0</v>
      </c>
      <c r="AA117" s="26">
        <v>0.0</v>
      </c>
      <c r="AB117" s="26">
        <v>0.0</v>
      </c>
      <c r="AC117" s="27"/>
      <c r="AD117" s="27"/>
      <c r="AE117" s="10" t="s">
        <v>38</v>
      </c>
      <c r="AF117" s="10" t="s">
        <v>44</v>
      </c>
      <c r="AG117" s="27"/>
    </row>
    <row r="118" ht="15.75" customHeight="1">
      <c r="A118" s="58" t="s">
        <v>290</v>
      </c>
      <c r="B118" s="21">
        <v>1300.0</v>
      </c>
      <c r="C118" s="56" t="s">
        <v>87</v>
      </c>
      <c r="D118" s="56" t="s">
        <v>291</v>
      </c>
      <c r="E118" s="56" t="s">
        <v>147</v>
      </c>
      <c r="F118" s="32">
        <v>39.0</v>
      </c>
      <c r="G118" s="33">
        <v>0.0</v>
      </c>
      <c r="H118" s="33">
        <v>0.0</v>
      </c>
      <c r="I118" s="29">
        <v>0.0</v>
      </c>
      <c r="J118" s="19" t="str">
        <f t="shared" si="10"/>
        <v>sin oferta</v>
      </c>
      <c r="K118" s="20" t="str">
        <f t="shared" si="8"/>
        <v>NORMAL / SIN OFERTA</v>
      </c>
      <c r="L118" s="15"/>
      <c r="M118" s="20"/>
      <c r="N118" s="21">
        <v>2.0</v>
      </c>
      <c r="O118" s="22">
        <v>2.0</v>
      </c>
      <c r="P118" s="23">
        <f>IFERROR(__xludf.DUMMYFUNCTION("IFERROR(
  INDEX(
    QUERY(
      Historial!A:I,
      ""select I where B = '""&amp;A118&amp;""' order by A desc limit 1"",
      0
    ),
    1
  ),
  """"
)"),46311.0)</f>
        <v>46311</v>
      </c>
      <c r="Q118" s="19" t="s">
        <v>48</v>
      </c>
      <c r="R118" s="24">
        <v>46291.0</v>
      </c>
      <c r="S118" s="20">
        <f>IFERROR(__xludf.DUMMYFUNCTION("IFERROR(
  INDEX(
    QUERY(
      Historial!A:G,
      ""select G where B = '""&amp;A118&amp;""' order by A desc limit 1"",
      0
    ),
    1
  ),
  """"
)"),600.0)</f>
        <v>600</v>
      </c>
      <c r="T118" s="20" t="str">
        <f t="shared" si="3"/>
        <v>✅ OK</v>
      </c>
      <c r="U118" s="20" t="str">
        <f t="shared" si="4"/>
        <v/>
      </c>
      <c r="V118" s="25">
        <v>1.0</v>
      </c>
      <c r="W118" s="26">
        <v>1.0</v>
      </c>
      <c r="X118" s="26">
        <v>0.099</v>
      </c>
      <c r="Y118" s="26">
        <v>393.93939393939394</v>
      </c>
      <c r="Z118" s="26">
        <v>14.0</v>
      </c>
      <c r="AA118" s="26">
        <v>0.99</v>
      </c>
      <c r="AB118" s="26">
        <v>0.0</v>
      </c>
      <c r="AC118" s="26">
        <v>219.0</v>
      </c>
      <c r="AD118" s="26">
        <v>393.93939393939394</v>
      </c>
      <c r="AE118" s="10" t="s">
        <v>52</v>
      </c>
      <c r="AF118" s="10" t="s">
        <v>53</v>
      </c>
      <c r="AG118" s="27"/>
    </row>
    <row r="119" ht="15.75" customHeight="1">
      <c r="A119" s="58" t="s">
        <v>292</v>
      </c>
      <c r="B119" s="21">
        <v>700.0</v>
      </c>
      <c r="C119" s="56" t="s">
        <v>87</v>
      </c>
      <c r="D119" s="56" t="s">
        <v>293</v>
      </c>
      <c r="E119" s="56" t="s">
        <v>147</v>
      </c>
      <c r="F119" s="32">
        <v>20.0</v>
      </c>
      <c r="G119" s="33">
        <v>0.0</v>
      </c>
      <c r="H119" s="33">
        <v>0.0</v>
      </c>
      <c r="I119" s="29">
        <v>0.0</v>
      </c>
      <c r="J119" s="19" t="str">
        <f t="shared" si="10"/>
        <v>sin oferta</v>
      </c>
      <c r="K119" s="20" t="str">
        <f t="shared" si="8"/>
        <v>NORMAL / SIN OFERTA</v>
      </c>
      <c r="L119" s="15"/>
      <c r="M119" s="20"/>
      <c r="N119" s="21">
        <v>0.0</v>
      </c>
      <c r="O119" s="22">
        <v>2.0</v>
      </c>
      <c r="P119" s="23">
        <f>IFERROR(__xludf.DUMMYFUNCTION("IFERROR(
  INDEX(
    QUERY(
      Historial!A:I,
      ""select I where B = '""&amp;A119&amp;""' order by A desc limit 1"",
      0
    ),
    1
  ),
  """"
)"),46323.0)</f>
        <v>46323</v>
      </c>
      <c r="Q119" s="19" t="s">
        <v>57</v>
      </c>
      <c r="R119" s="24">
        <v>46293.0</v>
      </c>
      <c r="S119" s="20">
        <f>IFERROR(__xludf.DUMMYFUNCTION("IFERROR(
  INDEX(
    QUERY(
      Historial!A:G,
      ""select G where B = '""&amp;A119&amp;""' order by A desc limit 1"",
      0
    ),
    1
  ),
  """"
)"),430.0)</f>
        <v>430</v>
      </c>
      <c r="T119" s="20" t="str">
        <f t="shared" si="3"/>
        <v>✅ OK</v>
      </c>
      <c r="U119" s="20" t="str">
        <f t="shared" si="4"/>
        <v/>
      </c>
      <c r="V119" s="25">
        <v>0.0</v>
      </c>
      <c r="W119" s="26">
        <v>0.0</v>
      </c>
      <c r="X119" s="26">
        <v>0.0</v>
      </c>
      <c r="Y119" s="27"/>
      <c r="Z119" s="26">
        <v>21.0</v>
      </c>
      <c r="AA119" s="26">
        <v>0.0</v>
      </c>
      <c r="AB119" s="26">
        <v>0.0</v>
      </c>
      <c r="AC119" s="26">
        <v>231.0</v>
      </c>
      <c r="AD119" s="27"/>
      <c r="AE119" s="10" t="s">
        <v>38</v>
      </c>
      <c r="AF119" s="10" t="s">
        <v>44</v>
      </c>
      <c r="AG119" s="27"/>
    </row>
    <row r="120" ht="15.75" customHeight="1">
      <c r="A120" s="58" t="s">
        <v>294</v>
      </c>
      <c r="B120" s="21">
        <v>2500.0</v>
      </c>
      <c r="C120" s="56" t="s">
        <v>87</v>
      </c>
      <c r="D120" s="56" t="s">
        <v>295</v>
      </c>
      <c r="E120" s="56" t="s">
        <v>147</v>
      </c>
      <c r="F120" s="32">
        <v>12.0</v>
      </c>
      <c r="G120" s="33">
        <v>0.0</v>
      </c>
      <c r="H120" s="33">
        <v>0.0</v>
      </c>
      <c r="I120" s="29">
        <v>0.0</v>
      </c>
      <c r="J120" s="19" t="str">
        <f t="shared" si="10"/>
        <v>sin oferta</v>
      </c>
      <c r="K120" s="20" t="str">
        <f t="shared" si="8"/>
        <v>NORMAL / SIN OFERTA</v>
      </c>
      <c r="L120" s="15"/>
      <c r="M120" s="20"/>
      <c r="N120" s="21">
        <v>0.0</v>
      </c>
      <c r="O120" s="22">
        <v>2.0</v>
      </c>
      <c r="P120" s="23">
        <f>IFERROR(__xludf.DUMMYFUNCTION("IFERROR(
  INDEX(
    QUERY(
      Historial!A:I,
      ""select I where B = '""&amp;A120&amp;""' order by A desc limit 1"",
      0
    ),
    1
  ),
  """"
)"),46406.0)</f>
        <v>46406</v>
      </c>
      <c r="Q120" s="19" t="s">
        <v>60</v>
      </c>
      <c r="R120" s="24">
        <v>46294.0</v>
      </c>
      <c r="S120" s="20">
        <f>IFERROR(__xludf.DUMMYFUNCTION("IFERROR(
  INDEX(
    QUERY(
      Historial!A:G,
      ""select G where B = '""&amp;A120&amp;""' order by A desc limit 1"",
      0
    ),
    1
  ),
  """"
)"),1400.0)</f>
        <v>1400</v>
      </c>
      <c r="T120" s="20" t="str">
        <f t="shared" si="3"/>
        <v>✅ OK</v>
      </c>
      <c r="U120" s="20" t="str">
        <f t="shared" si="4"/>
        <v/>
      </c>
      <c r="V120" s="25">
        <v>0.0</v>
      </c>
      <c r="W120" s="26">
        <v>0.0</v>
      </c>
      <c r="X120" s="26">
        <v>0.0</v>
      </c>
      <c r="Y120" s="27"/>
      <c r="Z120" s="26">
        <v>14.0</v>
      </c>
      <c r="AA120" s="26">
        <v>0.0</v>
      </c>
      <c r="AB120" s="26">
        <v>0.0</v>
      </c>
      <c r="AC120" s="26">
        <v>314.0</v>
      </c>
      <c r="AD120" s="27"/>
      <c r="AE120" s="10" t="s">
        <v>38</v>
      </c>
      <c r="AF120" s="10" t="s">
        <v>44</v>
      </c>
      <c r="AG120" s="27"/>
    </row>
    <row r="121" ht="15.75" customHeight="1">
      <c r="A121" s="58" t="s">
        <v>296</v>
      </c>
      <c r="B121" s="21">
        <v>13999.0</v>
      </c>
      <c r="C121" s="56" t="s">
        <v>297</v>
      </c>
      <c r="D121" s="56" t="s">
        <v>298</v>
      </c>
      <c r="E121" s="56" t="s">
        <v>147</v>
      </c>
      <c r="F121" s="32">
        <v>5.0</v>
      </c>
      <c r="G121" s="33">
        <v>0.0</v>
      </c>
      <c r="H121" s="33">
        <v>0.0</v>
      </c>
      <c r="I121" s="29">
        <v>0.0</v>
      </c>
      <c r="J121" s="19" t="str">
        <f t="shared" si="10"/>
        <v>sin oferta</v>
      </c>
      <c r="K121" s="20" t="str">
        <f t="shared" si="8"/>
        <v>NORMAL / SIN OFERTA</v>
      </c>
      <c r="L121" s="15"/>
      <c r="M121" s="20"/>
      <c r="N121" s="21">
        <v>0.0</v>
      </c>
      <c r="O121" s="22">
        <v>2.0</v>
      </c>
      <c r="P121" s="23" t="str">
        <f>IFERROR(__xludf.DUMMYFUNCTION("IFERROR(
  INDEX(
    QUERY(
      Historial!A:I,
      ""select I where B = '""&amp;A121&amp;""' order by A desc limit 1"",
      0
    ),
    1
  ),
  """"
)"),"")</f>
        <v/>
      </c>
      <c r="Q121" s="19" t="s">
        <v>63</v>
      </c>
      <c r="R121" s="24">
        <v>46295.0</v>
      </c>
      <c r="S121" s="20">
        <f>IFERROR(__xludf.DUMMYFUNCTION("IFERROR(
  INDEX(
    QUERY(
      Historial!A:G,
      ""select G where B = '""&amp;A121&amp;""' order by A desc limit 1"",
      0
    ),
    1
  ),
  """"
)"),8000.0)</f>
        <v>8000</v>
      </c>
      <c r="T121" s="20" t="str">
        <f t="shared" si="3"/>
        <v/>
      </c>
      <c r="U121" s="20" t="str">
        <f t="shared" si="4"/>
        <v/>
      </c>
      <c r="V121" s="25">
        <v>0.0</v>
      </c>
      <c r="W121" s="26">
        <v>0.0</v>
      </c>
      <c r="X121" s="26">
        <v>0.0</v>
      </c>
      <c r="Y121" s="27"/>
      <c r="Z121" s="26">
        <v>14.0</v>
      </c>
      <c r="AA121" s="26">
        <v>0.0</v>
      </c>
      <c r="AB121" s="26">
        <v>0.0</v>
      </c>
      <c r="AC121" s="27"/>
      <c r="AD121" s="27"/>
      <c r="AE121" s="10" t="s">
        <v>38</v>
      </c>
      <c r="AF121" s="10" t="s">
        <v>44</v>
      </c>
      <c r="AG121" s="27"/>
    </row>
    <row r="122" ht="15.75" customHeight="1">
      <c r="A122" s="58" t="s">
        <v>299</v>
      </c>
      <c r="B122" s="21">
        <v>13500.0</v>
      </c>
      <c r="C122" s="56" t="s">
        <v>297</v>
      </c>
      <c r="D122" s="56" t="s">
        <v>300</v>
      </c>
      <c r="E122" s="56" t="s">
        <v>147</v>
      </c>
      <c r="F122" s="32">
        <v>4.5</v>
      </c>
      <c r="G122" s="33">
        <v>0.0</v>
      </c>
      <c r="H122" s="33">
        <v>0.0</v>
      </c>
      <c r="I122" s="29">
        <v>0.0</v>
      </c>
      <c r="J122" s="19" t="str">
        <f t="shared" si="10"/>
        <v>sin oferta</v>
      </c>
      <c r="K122" s="20" t="str">
        <f t="shared" si="8"/>
        <v>NORMAL / SIN OFERTA</v>
      </c>
      <c r="L122" s="15"/>
      <c r="M122" s="20"/>
      <c r="N122" s="21">
        <v>0.0</v>
      </c>
      <c r="O122" s="22">
        <v>2.0</v>
      </c>
      <c r="P122" s="23" t="str">
        <f>IFERROR(__xludf.DUMMYFUNCTION("IFERROR(
  INDEX(
    QUERY(
      Historial!A:I,
      ""select I where B = '""&amp;A122&amp;""' order by A desc limit 1"",
      0
    ),
    1
  ),
  """"
)"),"")</f>
        <v/>
      </c>
      <c r="Q122" s="19" t="s">
        <v>37</v>
      </c>
      <c r="R122" s="24">
        <v>46296.0</v>
      </c>
      <c r="S122" s="20">
        <f>IFERROR(__xludf.DUMMYFUNCTION("IFERROR(
  INDEX(
    QUERY(
      Historial!A:G,
      ""select G where B = '""&amp;A122&amp;""' order by A desc limit 1"",
      0
    ),
    1
  ),
  """"
)"),8000.0)</f>
        <v>8000</v>
      </c>
      <c r="T122" s="20" t="str">
        <f t="shared" si="3"/>
        <v/>
      </c>
      <c r="U122" s="20" t="str">
        <f t="shared" si="4"/>
        <v/>
      </c>
      <c r="V122" s="25">
        <v>0.0</v>
      </c>
      <c r="W122" s="26">
        <v>0.0</v>
      </c>
      <c r="X122" s="26">
        <v>0.0</v>
      </c>
      <c r="Y122" s="27"/>
      <c r="Z122" s="26">
        <v>14.0</v>
      </c>
      <c r="AA122" s="26">
        <v>0.0</v>
      </c>
      <c r="AB122" s="26">
        <v>0.0</v>
      </c>
      <c r="AC122" s="27"/>
      <c r="AD122" s="27"/>
      <c r="AE122" s="10" t="s">
        <v>38</v>
      </c>
      <c r="AF122" s="10" t="s">
        <v>44</v>
      </c>
      <c r="AG122" s="27"/>
    </row>
    <row r="123" ht="15.75" customHeight="1">
      <c r="A123" s="58" t="s">
        <v>301</v>
      </c>
      <c r="B123" s="21">
        <v>1500.0</v>
      </c>
      <c r="C123" s="56" t="s">
        <v>87</v>
      </c>
      <c r="D123" s="56" t="s">
        <v>302</v>
      </c>
      <c r="E123" s="56" t="s">
        <v>147</v>
      </c>
      <c r="F123" s="32">
        <v>4.0</v>
      </c>
      <c r="G123" s="33">
        <v>0.0</v>
      </c>
      <c r="H123" s="33">
        <v>0.0</v>
      </c>
      <c r="I123" s="29">
        <v>0.0</v>
      </c>
      <c r="J123" s="19" t="str">
        <f t="shared" si="10"/>
        <v>sin oferta</v>
      </c>
      <c r="K123" s="20" t="str">
        <f t="shared" si="8"/>
        <v>NORMAL / SIN OFERTA</v>
      </c>
      <c r="L123" s="15"/>
      <c r="M123" s="20"/>
      <c r="N123" s="21">
        <v>0.0</v>
      </c>
      <c r="O123" s="22">
        <v>2.0</v>
      </c>
      <c r="P123" s="23" t="str">
        <f>IFERROR(__xludf.DUMMYFUNCTION("IFERROR(
  INDEX(
    QUERY(
      Historial!A:I,
      ""select I where B = '""&amp;A123&amp;""' order by A desc limit 1"",
      0
    ),
    1
  ),
  """"
)"),"")</f>
        <v/>
      </c>
      <c r="Q123" s="19" t="s">
        <v>43</v>
      </c>
      <c r="R123" s="24">
        <v>46297.0</v>
      </c>
      <c r="S123" s="20">
        <f>IFERROR(__xludf.DUMMYFUNCTION("IFERROR(
  INDEX(
    QUERY(
      Historial!A:G,
      ""select G where B = '""&amp;A123&amp;""' order by A desc limit 1"",
      0
    ),
    1
  ),
  """"
)"),900.0)</f>
        <v>900</v>
      </c>
      <c r="T123" s="20" t="str">
        <f t="shared" si="3"/>
        <v/>
      </c>
      <c r="U123" s="20" t="str">
        <f t="shared" si="4"/>
        <v/>
      </c>
      <c r="V123" s="25">
        <v>0.0</v>
      </c>
      <c r="W123" s="26">
        <v>0.0</v>
      </c>
      <c r="X123" s="26">
        <v>0.0</v>
      </c>
      <c r="Y123" s="27"/>
      <c r="Z123" s="26">
        <v>14.0</v>
      </c>
      <c r="AA123" s="26">
        <v>0.0</v>
      </c>
      <c r="AB123" s="26">
        <v>0.0</v>
      </c>
      <c r="AC123" s="27"/>
      <c r="AD123" s="27"/>
      <c r="AE123" s="10" t="s">
        <v>38</v>
      </c>
      <c r="AF123" s="10" t="s">
        <v>44</v>
      </c>
      <c r="AG123" s="27"/>
    </row>
    <row r="124" ht="15.75" customHeight="1">
      <c r="A124" s="58" t="s">
        <v>303</v>
      </c>
      <c r="B124" s="21">
        <v>3000.0</v>
      </c>
      <c r="C124" s="56" t="s">
        <v>87</v>
      </c>
      <c r="D124" s="56" t="s">
        <v>304</v>
      </c>
      <c r="E124" s="56" t="s">
        <v>147</v>
      </c>
      <c r="F124" s="32">
        <v>4.0</v>
      </c>
      <c r="G124" s="33">
        <v>0.0</v>
      </c>
      <c r="H124" s="33">
        <v>0.0</v>
      </c>
      <c r="I124" s="29">
        <v>0.0</v>
      </c>
      <c r="J124" s="19" t="str">
        <f t="shared" si="10"/>
        <v>sin oferta</v>
      </c>
      <c r="K124" s="20" t="str">
        <f t="shared" si="8"/>
        <v>NORMAL / SIN OFERTA</v>
      </c>
      <c r="L124" s="15"/>
      <c r="M124" s="20"/>
      <c r="N124" s="21">
        <v>0.0</v>
      </c>
      <c r="O124" s="22">
        <v>2.0</v>
      </c>
      <c r="P124" s="23" t="str">
        <f>IFERROR(__xludf.DUMMYFUNCTION("IFERROR(
  INDEX(
    QUERY(
      Historial!A:I,
      ""select I where B = '""&amp;A124&amp;""' order by A desc limit 1"",
      0
    ),
    1
  ),
  """"
)"),"")</f>
        <v/>
      </c>
      <c r="Q124" s="19" t="s">
        <v>48</v>
      </c>
      <c r="R124" s="24">
        <v>46298.0</v>
      </c>
      <c r="S124" s="20">
        <f>IFERROR(__xludf.DUMMYFUNCTION("IFERROR(
  INDEX(
    QUERY(
      Historial!A:G,
      ""select G where B = '""&amp;A124&amp;""' order by A desc limit 1"",
      0
    ),
    1
  ),
  """"
)"),1500.0)</f>
        <v>1500</v>
      </c>
      <c r="T124" s="20" t="str">
        <f t="shared" si="3"/>
        <v/>
      </c>
      <c r="U124" s="20" t="str">
        <f t="shared" si="4"/>
        <v/>
      </c>
      <c r="V124" s="25">
        <v>0.0</v>
      </c>
      <c r="W124" s="26">
        <v>0.0</v>
      </c>
      <c r="X124" s="26">
        <v>0.0</v>
      </c>
      <c r="Y124" s="27"/>
      <c r="Z124" s="26">
        <v>14.0</v>
      </c>
      <c r="AA124" s="26">
        <v>0.0</v>
      </c>
      <c r="AB124" s="26">
        <v>0.0</v>
      </c>
      <c r="AC124" s="27"/>
      <c r="AD124" s="27"/>
      <c r="AE124" s="10" t="s">
        <v>38</v>
      </c>
      <c r="AF124" s="10" t="s">
        <v>44</v>
      </c>
      <c r="AG124" s="27"/>
    </row>
    <row r="125" ht="15.75" customHeight="1">
      <c r="A125" s="58" t="s">
        <v>305</v>
      </c>
      <c r="B125" s="21">
        <v>6000.0</v>
      </c>
      <c r="C125" s="56" t="s">
        <v>87</v>
      </c>
      <c r="D125" s="56" t="s">
        <v>306</v>
      </c>
      <c r="E125" s="56" t="s">
        <v>147</v>
      </c>
      <c r="F125" s="32">
        <v>4.0</v>
      </c>
      <c r="G125" s="33">
        <v>0.0</v>
      </c>
      <c r="H125" s="33">
        <v>0.0</v>
      </c>
      <c r="I125" s="29">
        <v>0.0</v>
      </c>
      <c r="J125" s="19" t="str">
        <f t="shared" si="10"/>
        <v>sin oferta</v>
      </c>
      <c r="K125" s="20" t="str">
        <f t="shared" si="8"/>
        <v>NORMAL / SIN OFERTA</v>
      </c>
      <c r="L125" s="15"/>
      <c r="M125" s="20"/>
      <c r="N125" s="21">
        <v>0.0</v>
      </c>
      <c r="O125" s="22">
        <v>2.0</v>
      </c>
      <c r="P125" s="23" t="str">
        <f>IFERROR(__xludf.DUMMYFUNCTION("IFERROR(
  INDEX(
    QUERY(
      Historial!A:I,
      ""select I where B = '""&amp;A125&amp;""' order by A desc limit 1"",
      0
    ),
    1
  ),
  """"
)"),"")</f>
        <v/>
      </c>
      <c r="Q125" s="19" t="s">
        <v>51</v>
      </c>
      <c r="R125" s="24">
        <v>46299.0</v>
      </c>
      <c r="S125" s="20">
        <f>IFERROR(__xludf.DUMMYFUNCTION("IFERROR(
  INDEX(
    QUERY(
      Historial!A:G,
      ""select G where B = '""&amp;A125&amp;""' order by A desc limit 1"",
      0
    ),
    1
  ),
  """"
)"),4000.0)</f>
        <v>4000</v>
      </c>
      <c r="T125" s="20" t="str">
        <f t="shared" si="3"/>
        <v/>
      </c>
      <c r="U125" s="20" t="str">
        <f t="shared" si="4"/>
        <v/>
      </c>
      <c r="V125" s="25">
        <v>0.0</v>
      </c>
      <c r="W125" s="26">
        <v>0.0</v>
      </c>
      <c r="X125" s="26">
        <v>0.0</v>
      </c>
      <c r="Y125" s="27"/>
      <c r="Z125" s="26">
        <v>14.0</v>
      </c>
      <c r="AA125" s="26">
        <v>0.0</v>
      </c>
      <c r="AB125" s="26">
        <v>0.0</v>
      </c>
      <c r="AC125" s="27"/>
      <c r="AD125" s="27"/>
      <c r="AE125" s="10" t="s">
        <v>38</v>
      </c>
      <c r="AF125" s="10" t="s">
        <v>44</v>
      </c>
      <c r="AG125" s="27"/>
    </row>
    <row r="126" ht="15.75" customHeight="1">
      <c r="A126" s="58" t="s">
        <v>307</v>
      </c>
      <c r="B126" s="21">
        <v>3600.0</v>
      </c>
      <c r="C126" s="56" t="s">
        <v>87</v>
      </c>
      <c r="D126" s="56" t="s">
        <v>308</v>
      </c>
      <c r="E126" s="56" t="s">
        <v>147</v>
      </c>
      <c r="F126" s="32">
        <v>4.0</v>
      </c>
      <c r="G126" s="33">
        <v>0.0</v>
      </c>
      <c r="H126" s="33">
        <v>0.0</v>
      </c>
      <c r="I126" s="29">
        <v>0.0</v>
      </c>
      <c r="J126" s="19" t="str">
        <f t="shared" si="10"/>
        <v>sin oferta</v>
      </c>
      <c r="K126" s="20" t="str">
        <f t="shared" si="8"/>
        <v>NORMAL / SIN OFERTA</v>
      </c>
      <c r="L126" s="15"/>
      <c r="M126" s="20"/>
      <c r="N126" s="21">
        <v>0.0</v>
      </c>
      <c r="O126" s="22">
        <v>2.0</v>
      </c>
      <c r="P126" s="23">
        <f>IFERROR(__xludf.DUMMYFUNCTION("IFERROR(
  INDEX(
    QUERY(
      Historial!A:I,
      ""select I where B = '""&amp;A126&amp;""' order by A desc limit 1"",
      0
    ),
    1
  ),
  """"
)"),46599.0)</f>
        <v>46599</v>
      </c>
      <c r="Q126" s="19" t="s">
        <v>57</v>
      </c>
      <c r="R126" s="24">
        <v>46300.0</v>
      </c>
      <c r="S126" s="20">
        <f>IFERROR(__xludf.DUMMYFUNCTION("IFERROR(
  INDEX(
    QUERY(
      Historial!A:G,
      ""select G where B = '""&amp;A126&amp;""' order by A desc limit 1"",
      0
    ),
    1
  ),
  """"
)"),1900.0)</f>
        <v>1900</v>
      </c>
      <c r="T126" s="20" t="str">
        <f t="shared" si="3"/>
        <v>✅ OK</v>
      </c>
      <c r="U126" s="20" t="str">
        <f t="shared" si="4"/>
        <v/>
      </c>
      <c r="V126" s="25">
        <v>0.0</v>
      </c>
      <c r="W126" s="26">
        <v>0.0</v>
      </c>
      <c r="X126" s="26">
        <v>0.0</v>
      </c>
      <c r="Y126" s="27"/>
      <c r="Z126" s="26">
        <v>14.0</v>
      </c>
      <c r="AA126" s="26">
        <v>0.0</v>
      </c>
      <c r="AB126" s="26">
        <v>0.0</v>
      </c>
      <c r="AC126" s="26">
        <v>507.0</v>
      </c>
      <c r="AD126" s="27"/>
      <c r="AE126" s="10" t="s">
        <v>38</v>
      </c>
      <c r="AF126" s="10" t="s">
        <v>44</v>
      </c>
      <c r="AG126" s="27"/>
    </row>
    <row r="127" ht="15.75" customHeight="1">
      <c r="A127" s="58" t="s">
        <v>309</v>
      </c>
      <c r="B127" s="21">
        <v>5800.0</v>
      </c>
      <c r="C127" s="56" t="s">
        <v>87</v>
      </c>
      <c r="D127" s="56" t="s">
        <v>310</v>
      </c>
      <c r="E127" s="56" t="s">
        <v>147</v>
      </c>
      <c r="F127" s="32">
        <v>3.0</v>
      </c>
      <c r="G127" s="33">
        <v>0.0</v>
      </c>
      <c r="H127" s="33">
        <v>0.0</v>
      </c>
      <c r="I127" s="29">
        <v>0.0</v>
      </c>
      <c r="J127" s="19" t="str">
        <f t="shared" si="10"/>
        <v>sin oferta</v>
      </c>
      <c r="K127" s="20" t="str">
        <f t="shared" si="8"/>
        <v>NORMAL / SIN OFERTA</v>
      </c>
      <c r="L127" s="15"/>
      <c r="M127" s="20"/>
      <c r="N127" s="21">
        <v>0.0</v>
      </c>
      <c r="O127" s="22">
        <v>2.0</v>
      </c>
      <c r="P127" s="23" t="str">
        <f>IFERROR(__xludf.DUMMYFUNCTION("IFERROR(
  INDEX(
    QUERY(
      Historial!A:I,
      ""select I where B = '""&amp;A127&amp;""' order by A desc limit 1"",
      0
    ),
    1
  ),
  """"
)"),"")</f>
        <v/>
      </c>
      <c r="Q127" s="19" t="s">
        <v>60</v>
      </c>
      <c r="R127" s="24">
        <v>46301.0</v>
      </c>
      <c r="S127" s="20">
        <f>IFERROR(__xludf.DUMMYFUNCTION("IFERROR(
  INDEX(
    QUERY(
      Historial!A:G,
      ""select G where B = '""&amp;A127&amp;""' order by A desc limit 1"",
      0
    ),
    1
  ),
  """"
)"),3874.0)</f>
        <v>3874</v>
      </c>
      <c r="T127" s="20" t="str">
        <f t="shared" si="3"/>
        <v/>
      </c>
      <c r="U127" s="20" t="str">
        <f t="shared" si="4"/>
        <v/>
      </c>
      <c r="V127" s="25">
        <v>0.0</v>
      </c>
      <c r="W127" s="26">
        <v>0.0</v>
      </c>
      <c r="X127" s="26">
        <v>0.0</v>
      </c>
      <c r="Y127" s="27"/>
      <c r="Z127" s="26">
        <v>14.0</v>
      </c>
      <c r="AA127" s="26">
        <v>0.0</v>
      </c>
      <c r="AB127" s="26">
        <v>0.0</v>
      </c>
      <c r="AC127" s="27"/>
      <c r="AD127" s="27"/>
      <c r="AE127" s="10" t="s">
        <v>38</v>
      </c>
      <c r="AF127" s="10" t="s">
        <v>44</v>
      </c>
      <c r="AG127" s="27"/>
    </row>
    <row r="128" ht="15.75" customHeight="1">
      <c r="A128" s="58" t="s">
        <v>311</v>
      </c>
      <c r="B128" s="21">
        <v>2850.0</v>
      </c>
      <c r="C128" s="56" t="s">
        <v>87</v>
      </c>
      <c r="D128" s="56" t="s">
        <v>312</v>
      </c>
      <c r="E128" s="56" t="s">
        <v>147</v>
      </c>
      <c r="F128" s="32">
        <v>4.0</v>
      </c>
      <c r="G128" s="33">
        <v>0.0</v>
      </c>
      <c r="H128" s="33">
        <v>0.0</v>
      </c>
      <c r="I128" s="29">
        <v>0.0</v>
      </c>
      <c r="J128" s="19" t="str">
        <f t="shared" si="10"/>
        <v>sin oferta</v>
      </c>
      <c r="K128" s="20" t="str">
        <f t="shared" si="8"/>
        <v>NORMAL / SIN OFERTA</v>
      </c>
      <c r="L128" s="15"/>
      <c r="M128" s="20"/>
      <c r="N128" s="21">
        <v>0.0</v>
      </c>
      <c r="O128" s="22">
        <v>2.0</v>
      </c>
      <c r="P128" s="23" t="str">
        <f>IFERROR(__xludf.DUMMYFUNCTION("IFERROR(
  INDEX(
    QUERY(
      Historial!A:I,
      ""select I where B = '""&amp;A128&amp;""' order by A desc limit 1"",
      0
    ),
    1
  ),
  """"
)"),"")</f>
        <v/>
      </c>
      <c r="Q128" s="19" t="s">
        <v>63</v>
      </c>
      <c r="R128" s="24">
        <v>46302.0</v>
      </c>
      <c r="S128" s="20">
        <f>IFERROR(__xludf.DUMMYFUNCTION("IFERROR(
  INDEX(
    QUERY(
      Historial!A:G,
      ""select G where B = '""&amp;A128&amp;""' order by A desc limit 1"",
      0
    ),
    1
  ),
  """"
)"),1900.0)</f>
        <v>1900</v>
      </c>
      <c r="T128" s="20" t="str">
        <f t="shared" si="3"/>
        <v/>
      </c>
      <c r="U128" s="20" t="str">
        <f t="shared" si="4"/>
        <v/>
      </c>
      <c r="V128" s="25">
        <v>0.0</v>
      </c>
      <c r="W128" s="26">
        <v>0.0</v>
      </c>
      <c r="X128" s="26">
        <v>0.0</v>
      </c>
      <c r="Y128" s="27"/>
      <c r="Z128" s="26">
        <v>14.0</v>
      </c>
      <c r="AA128" s="26">
        <v>0.0</v>
      </c>
      <c r="AB128" s="26">
        <v>0.0</v>
      </c>
      <c r="AC128" s="27"/>
      <c r="AD128" s="27"/>
      <c r="AE128" s="10" t="s">
        <v>38</v>
      </c>
      <c r="AF128" s="10" t="s">
        <v>44</v>
      </c>
      <c r="AG128" s="27"/>
    </row>
    <row r="129" ht="15.75" customHeight="1">
      <c r="A129" s="58" t="s">
        <v>313</v>
      </c>
      <c r="B129" s="21">
        <v>3000.0</v>
      </c>
      <c r="C129" s="56" t="s">
        <v>87</v>
      </c>
      <c r="D129" s="56" t="s">
        <v>314</v>
      </c>
      <c r="E129" s="56" t="s">
        <v>147</v>
      </c>
      <c r="F129" s="32">
        <v>4.0</v>
      </c>
      <c r="G129" s="33">
        <v>0.0</v>
      </c>
      <c r="H129" s="33">
        <v>0.0</v>
      </c>
      <c r="I129" s="29">
        <v>0.0</v>
      </c>
      <c r="J129" s="19" t="str">
        <f t="shared" si="10"/>
        <v>sin oferta</v>
      </c>
      <c r="K129" s="20" t="str">
        <f t="shared" si="8"/>
        <v>NORMAL / SIN OFERTA</v>
      </c>
      <c r="L129" s="15"/>
      <c r="M129" s="20"/>
      <c r="N129" s="21">
        <v>0.0</v>
      </c>
      <c r="O129" s="22">
        <v>2.0</v>
      </c>
      <c r="P129" s="23" t="str">
        <f>IFERROR(__xludf.DUMMYFUNCTION("IFERROR(
  INDEX(
    QUERY(
      Historial!A:I,
      ""select I where B = '""&amp;A129&amp;""' order by A desc limit 1"",
      0
    ),
    1
  ),
  """"
)"),"")</f>
        <v/>
      </c>
      <c r="Q129" s="19" t="s">
        <v>37</v>
      </c>
      <c r="R129" s="24">
        <v>46303.0</v>
      </c>
      <c r="S129" s="20">
        <f>IFERROR(__xludf.DUMMYFUNCTION("IFERROR(
  INDEX(
    QUERY(
      Historial!A:G,
      ""select G where B = '""&amp;A129&amp;""' order by A desc limit 1"",
      0
    ),
    1
  ),
  """"
)"),1456.0)</f>
        <v>1456</v>
      </c>
      <c r="T129" s="20" t="str">
        <f t="shared" si="3"/>
        <v/>
      </c>
      <c r="U129" s="20" t="str">
        <f t="shared" si="4"/>
        <v/>
      </c>
      <c r="V129" s="25">
        <v>0.0</v>
      </c>
      <c r="W129" s="26">
        <v>0.0</v>
      </c>
      <c r="X129" s="26">
        <v>0.0</v>
      </c>
      <c r="Y129" s="27"/>
      <c r="Z129" s="26">
        <v>14.0</v>
      </c>
      <c r="AA129" s="26">
        <v>0.0</v>
      </c>
      <c r="AB129" s="26">
        <v>0.0</v>
      </c>
      <c r="AC129" s="27"/>
      <c r="AD129" s="27"/>
      <c r="AE129" s="10" t="s">
        <v>38</v>
      </c>
      <c r="AF129" s="10" t="s">
        <v>44</v>
      </c>
      <c r="AG129" s="27"/>
    </row>
    <row r="130" ht="15.75" customHeight="1">
      <c r="A130" s="58" t="s">
        <v>315</v>
      </c>
      <c r="B130" s="21">
        <v>2500.0</v>
      </c>
      <c r="C130" s="56" t="s">
        <v>87</v>
      </c>
      <c r="D130" s="56" t="s">
        <v>316</v>
      </c>
      <c r="E130" s="56" t="s">
        <v>74</v>
      </c>
      <c r="F130" s="32">
        <v>12.0</v>
      </c>
      <c r="G130" s="33">
        <v>0.0</v>
      </c>
      <c r="H130" s="33">
        <v>0.0</v>
      </c>
      <c r="I130" s="29">
        <v>0.0</v>
      </c>
      <c r="J130" s="19" t="str">
        <f t="shared" si="10"/>
        <v>sin oferta</v>
      </c>
      <c r="K130" s="20" t="str">
        <f t="shared" si="8"/>
        <v>NORMAL / SIN OFERTA</v>
      </c>
      <c r="L130" s="15"/>
      <c r="M130" s="20"/>
      <c r="N130" s="21">
        <v>0.0</v>
      </c>
      <c r="O130" s="22">
        <v>2.0</v>
      </c>
      <c r="P130" s="23" t="str">
        <f>IFERROR(__xludf.DUMMYFUNCTION("IFERROR(
  INDEX(
    QUERY(
      Historial!A:I,
      ""select I where B = '""&amp;A130&amp;""' order by A desc limit 1"",
      0
    ),
    1
  ),
  """"
)"),"")</f>
        <v/>
      </c>
      <c r="Q130" s="19" t="s">
        <v>43</v>
      </c>
      <c r="R130" s="24">
        <v>46304.0</v>
      </c>
      <c r="S130" s="20">
        <f>IFERROR(__xludf.DUMMYFUNCTION("IFERROR(
  INDEX(
    QUERY(
      Historial!A:G,
      ""select G where B = '""&amp;A130&amp;""' order by A desc limit 1"",
      0
    ),
    1
  ),
  """"
)"),1400.0)</f>
        <v>1400</v>
      </c>
      <c r="T130" s="20" t="str">
        <f t="shared" si="3"/>
        <v/>
      </c>
      <c r="U130" s="20" t="str">
        <f t="shared" si="4"/>
        <v/>
      </c>
      <c r="V130" s="25">
        <v>0.0</v>
      </c>
      <c r="W130" s="26">
        <v>0.0</v>
      </c>
      <c r="X130" s="26">
        <v>0.0</v>
      </c>
      <c r="Y130" s="27"/>
      <c r="Z130" s="26">
        <v>14.0</v>
      </c>
      <c r="AA130" s="26">
        <v>0.0</v>
      </c>
      <c r="AB130" s="26">
        <v>0.0</v>
      </c>
      <c r="AC130" s="27"/>
      <c r="AD130" s="27"/>
      <c r="AE130" s="10" t="s">
        <v>38</v>
      </c>
      <c r="AF130" s="10" t="s">
        <v>44</v>
      </c>
      <c r="AG130" s="27"/>
    </row>
    <row r="131" ht="15.75" customHeight="1">
      <c r="A131" s="58" t="s">
        <v>317</v>
      </c>
      <c r="B131" s="21">
        <v>700.0</v>
      </c>
      <c r="C131" s="56" t="s">
        <v>87</v>
      </c>
      <c r="D131" s="56" t="s">
        <v>318</v>
      </c>
      <c r="E131" s="56" t="s">
        <v>74</v>
      </c>
      <c r="F131" s="32">
        <v>12.0</v>
      </c>
      <c r="G131" s="33">
        <v>0.0</v>
      </c>
      <c r="H131" s="33">
        <v>0.0</v>
      </c>
      <c r="I131" s="29">
        <v>0.0</v>
      </c>
      <c r="J131" s="19" t="str">
        <f t="shared" si="10"/>
        <v>sin oferta</v>
      </c>
      <c r="K131" s="20" t="str">
        <f t="shared" si="8"/>
        <v>NORMAL / SIN OFERTA</v>
      </c>
      <c r="L131" s="15"/>
      <c r="M131" s="20"/>
      <c r="N131" s="21">
        <v>0.0</v>
      </c>
      <c r="O131" s="22">
        <v>2.0</v>
      </c>
      <c r="P131" s="23">
        <f>IFERROR(__xludf.DUMMYFUNCTION("IFERROR(
  INDEX(
    QUERY(
      Historial!A:I,
      ""select I where B = '""&amp;A131&amp;""' order by A desc limit 1"",
      0
    ),
    1
  ),
  """"
)"),46752.0)</f>
        <v>46752</v>
      </c>
      <c r="Q131" s="19" t="s">
        <v>48</v>
      </c>
      <c r="R131" s="24">
        <v>46305.0</v>
      </c>
      <c r="S131" s="20">
        <f>IFERROR(__xludf.DUMMYFUNCTION("IFERROR(
  INDEX(
    QUERY(
      Historial!A:G,
      ""select G where B = '""&amp;A131&amp;""' order by A desc limit 1"",
      0
    ),
    1
  ),
  """"
)"),333.0)</f>
        <v>333</v>
      </c>
      <c r="T131" s="20" t="str">
        <f t="shared" si="3"/>
        <v>✅ OK</v>
      </c>
      <c r="U131" s="20" t="str">
        <f t="shared" si="4"/>
        <v/>
      </c>
      <c r="V131" s="25">
        <v>0.0</v>
      </c>
      <c r="W131" s="26">
        <v>0.0</v>
      </c>
      <c r="X131" s="26">
        <v>0.0</v>
      </c>
      <c r="Y131" s="27"/>
      <c r="Z131" s="26">
        <v>14.0</v>
      </c>
      <c r="AA131" s="26">
        <v>0.0</v>
      </c>
      <c r="AB131" s="26">
        <v>0.0</v>
      </c>
      <c r="AC131" s="26">
        <v>660.0</v>
      </c>
      <c r="AD131" s="27"/>
      <c r="AE131" s="10" t="s">
        <v>38</v>
      </c>
      <c r="AF131" s="10" t="s">
        <v>44</v>
      </c>
      <c r="AG131" s="27"/>
    </row>
    <row r="132" ht="15.75" customHeight="1">
      <c r="A132" s="58" t="s">
        <v>319</v>
      </c>
      <c r="B132" s="21">
        <v>700.0</v>
      </c>
      <c r="C132" s="56" t="s">
        <v>87</v>
      </c>
      <c r="D132" s="56" t="s">
        <v>320</v>
      </c>
      <c r="E132" s="20"/>
      <c r="F132" s="32">
        <v>3.0</v>
      </c>
      <c r="G132" s="33">
        <v>0.0</v>
      </c>
      <c r="H132" s="33">
        <v>0.0</v>
      </c>
      <c r="I132" s="29">
        <v>0.0</v>
      </c>
      <c r="J132" s="19" t="str">
        <f t="shared" si="10"/>
        <v>sin oferta</v>
      </c>
      <c r="K132" s="20" t="str">
        <f t="shared" si="8"/>
        <v>NORMAL / SIN OFERTA</v>
      </c>
      <c r="L132" s="15"/>
      <c r="M132" s="20"/>
      <c r="N132" s="21">
        <v>0.0</v>
      </c>
      <c r="O132" s="22">
        <v>2.0</v>
      </c>
      <c r="P132" s="23">
        <f>IFERROR(__xludf.DUMMYFUNCTION("IFERROR(
  INDEX(
    QUERY(
      Historial!A:I,
      ""select I where B = '""&amp;A132&amp;""' order by A desc limit 1"",
      0
    ),
    1
  ),
  """"
)"),46365.0)</f>
        <v>46365</v>
      </c>
      <c r="Q132" s="19" t="s">
        <v>51</v>
      </c>
      <c r="R132" s="24">
        <v>46306.0</v>
      </c>
      <c r="S132" s="20">
        <f>IFERROR(__xludf.DUMMYFUNCTION("IFERROR(
  INDEX(
    QUERY(
      Historial!A:G,
      ""select G where B = '""&amp;A132&amp;""' order by A desc limit 1"",
      0
    ),
    1
  ),
  """"
)"),459.0)</f>
        <v>459</v>
      </c>
      <c r="T132" s="20" t="str">
        <f t="shared" si="3"/>
        <v>✅ OK</v>
      </c>
      <c r="U132" s="20" t="str">
        <f t="shared" si="4"/>
        <v/>
      </c>
      <c r="V132" s="25">
        <v>0.0</v>
      </c>
      <c r="W132" s="26">
        <v>0.0</v>
      </c>
      <c r="X132" s="26">
        <v>0.0</v>
      </c>
      <c r="Y132" s="27"/>
      <c r="Z132" s="26">
        <v>14.0</v>
      </c>
      <c r="AA132" s="26">
        <v>0.0</v>
      </c>
      <c r="AB132" s="26">
        <v>0.0</v>
      </c>
      <c r="AC132" s="26">
        <v>273.0</v>
      </c>
      <c r="AD132" s="27"/>
      <c r="AE132" s="10" t="s">
        <v>38</v>
      </c>
      <c r="AF132" s="10" t="s">
        <v>44</v>
      </c>
      <c r="AG132" s="27"/>
    </row>
    <row r="133" ht="15.75" customHeight="1">
      <c r="A133" s="58" t="s">
        <v>321</v>
      </c>
      <c r="B133" s="21">
        <v>600.0</v>
      </c>
      <c r="C133" s="56" t="s">
        <v>87</v>
      </c>
      <c r="D133" s="56" t="s">
        <v>322</v>
      </c>
      <c r="E133" s="56" t="s">
        <v>47</v>
      </c>
      <c r="F133" s="32">
        <v>3.0</v>
      </c>
      <c r="G133" s="33">
        <v>0.0</v>
      </c>
      <c r="H133" s="33">
        <v>0.0</v>
      </c>
      <c r="I133" s="29">
        <v>0.0</v>
      </c>
      <c r="J133" s="19" t="str">
        <f t="shared" si="10"/>
        <v>sin oferta</v>
      </c>
      <c r="K133" s="20" t="str">
        <f t="shared" si="8"/>
        <v>NORMAL / SIN OFERTA</v>
      </c>
      <c r="L133" s="15"/>
      <c r="M133" s="20"/>
      <c r="N133" s="21">
        <v>0.0</v>
      </c>
      <c r="O133" s="22">
        <v>2.0</v>
      </c>
      <c r="P133" s="23">
        <f>IFERROR(__xludf.DUMMYFUNCTION("IFERROR(
  INDEX(
    QUERY(
      Historial!A:I,
      ""select I where B = '""&amp;A133&amp;""' order by A desc limit 1"",
      0
    ),
    1
  ),
  """"
)"),46408.0)</f>
        <v>46408</v>
      </c>
      <c r="Q133" s="19" t="s">
        <v>57</v>
      </c>
      <c r="R133" s="24">
        <v>46307.0</v>
      </c>
      <c r="S133" s="20">
        <f>IFERROR(__xludf.DUMMYFUNCTION("IFERROR(
  INDEX(
    QUERY(
      Historial!A:G,
      ""select G where B = '""&amp;A133&amp;""' order by A desc limit 1"",
      0
    ),
    1
  ),
  """"
)"),459.0)</f>
        <v>459</v>
      </c>
      <c r="T133" s="20" t="str">
        <f t="shared" si="3"/>
        <v>✅ OK</v>
      </c>
      <c r="U133" s="20" t="str">
        <f t="shared" si="4"/>
        <v/>
      </c>
      <c r="V133" s="25">
        <v>0.0</v>
      </c>
      <c r="W133" s="26">
        <v>0.0</v>
      </c>
      <c r="X133" s="26">
        <v>0.0</v>
      </c>
      <c r="Y133" s="27"/>
      <c r="Z133" s="26">
        <v>14.0</v>
      </c>
      <c r="AA133" s="26">
        <v>0.0</v>
      </c>
      <c r="AB133" s="26">
        <v>0.0</v>
      </c>
      <c r="AC133" s="26">
        <v>316.0</v>
      </c>
      <c r="AD133" s="27"/>
      <c r="AE133" s="10" t="s">
        <v>38</v>
      </c>
      <c r="AF133" s="10" t="s">
        <v>44</v>
      </c>
      <c r="AG133" s="27"/>
    </row>
    <row r="134" ht="15.75" customHeight="1">
      <c r="A134" s="58" t="s">
        <v>323</v>
      </c>
      <c r="B134" s="21">
        <v>560.0</v>
      </c>
      <c r="C134" s="56" t="s">
        <v>87</v>
      </c>
      <c r="D134" s="56" t="s">
        <v>324</v>
      </c>
      <c r="E134" s="56" t="s">
        <v>47</v>
      </c>
      <c r="F134" s="32">
        <v>3.0</v>
      </c>
      <c r="G134" s="17">
        <v>13.0</v>
      </c>
      <c r="H134" s="33">
        <v>0.0</v>
      </c>
      <c r="I134" s="29">
        <v>0.0</v>
      </c>
      <c r="J134" s="19" t="str">
        <f t="shared" si="10"/>
        <v>relampago 20%</v>
      </c>
      <c r="K134" s="20" t="str">
        <f t="shared" si="8"/>
        <v>#N/A</v>
      </c>
      <c r="L134" s="15"/>
      <c r="M134" s="20"/>
      <c r="N134" s="21">
        <v>0.0</v>
      </c>
      <c r="O134" s="22">
        <v>2.0</v>
      </c>
      <c r="P134" s="23" t="str">
        <f>IFERROR(__xludf.DUMMYFUNCTION("IFERROR(
  INDEX(
    QUERY(
      Historial!A:I,
      ""select I where B = '""&amp;A134&amp;""' order by A desc limit 1"",
      0
    ),
    1
  ),
  """"
)"),"")</f>
        <v/>
      </c>
      <c r="Q134" s="19" t="s">
        <v>60</v>
      </c>
      <c r="R134" s="24">
        <v>46308.0</v>
      </c>
      <c r="S134" s="20" t="str">
        <f>IFERROR(__xludf.DUMMYFUNCTION("IFERROR(
  INDEX(
    QUERY(
      Historial!A:G,
      ""select G where B = '""&amp;A134&amp;""' order by A desc limit 1"",
      0
    ),
    1
  ),
  """"
)"),"")</f>
        <v/>
      </c>
      <c r="T134" s="20" t="str">
        <f t="shared" si="3"/>
        <v/>
      </c>
      <c r="U134" s="20" t="str">
        <f t="shared" si="4"/>
        <v/>
      </c>
      <c r="V134" s="25">
        <v>0.0</v>
      </c>
      <c r="W134" s="26">
        <v>0.0</v>
      </c>
      <c r="X134" s="26">
        <v>0.0</v>
      </c>
      <c r="Y134" s="27"/>
      <c r="Z134" s="26">
        <v>14.0</v>
      </c>
      <c r="AA134" s="26">
        <v>0.0</v>
      </c>
      <c r="AB134" s="26">
        <v>0.0</v>
      </c>
      <c r="AC134" s="27"/>
      <c r="AD134" s="27"/>
      <c r="AE134" s="10" t="s">
        <v>38</v>
      </c>
      <c r="AF134" s="10" t="s">
        <v>44</v>
      </c>
      <c r="AG134" s="27"/>
    </row>
    <row r="135" ht="15.75" customHeight="1">
      <c r="A135" s="58" t="s">
        <v>325</v>
      </c>
      <c r="B135" s="21">
        <v>125.0</v>
      </c>
      <c r="C135" s="56" t="s">
        <v>87</v>
      </c>
      <c r="D135" s="56" t="s">
        <v>326</v>
      </c>
      <c r="E135" s="56" t="s">
        <v>74</v>
      </c>
      <c r="F135" s="32">
        <v>78.0</v>
      </c>
      <c r="G135" s="33">
        <v>0.0</v>
      </c>
      <c r="H135" s="33">
        <v>0.0</v>
      </c>
      <c r="I135" s="29">
        <v>0.0</v>
      </c>
      <c r="J135" s="19" t="str">
        <f t="shared" si="10"/>
        <v>sin oferta</v>
      </c>
      <c r="K135" s="20" t="str">
        <f t="shared" si="8"/>
        <v>NORMAL / SIN OFERTA</v>
      </c>
      <c r="L135" s="15"/>
      <c r="M135" s="20"/>
      <c r="N135" s="21">
        <v>3.0</v>
      </c>
      <c r="O135" s="22">
        <v>2.0</v>
      </c>
      <c r="P135" s="23">
        <f>IFERROR(__xludf.DUMMYFUNCTION("IFERROR(
  INDEX(
    QUERY(
      Historial!A:I,
      ""select I where B = '""&amp;A135&amp;""' order by A desc limit 1"",
      0
    ),
    1
  ),
  """"
)"),46421.0)</f>
        <v>46421</v>
      </c>
      <c r="Q135" s="19" t="s">
        <v>63</v>
      </c>
      <c r="R135" s="24">
        <v>46309.0</v>
      </c>
      <c r="S135" s="20">
        <f>IFERROR(__xludf.DUMMYFUNCTION("IFERROR(
  INDEX(
    QUERY(
      Historial!A:G,
      ""select G where B = '""&amp;A135&amp;""' order by A desc limit 1"",
      0
    ),
    1
  ),
  """"
)"),82.0)</f>
        <v>82</v>
      </c>
      <c r="T135" s="20" t="str">
        <f t="shared" si="3"/>
        <v>✅ OK</v>
      </c>
      <c r="U135" s="20" t="str">
        <f t="shared" si="4"/>
        <v/>
      </c>
      <c r="V135" s="25">
        <v>2.0</v>
      </c>
      <c r="W135" s="26">
        <v>2.0</v>
      </c>
      <c r="X135" s="26">
        <v>0.198</v>
      </c>
      <c r="Y135" s="26">
        <v>393.93939393939394</v>
      </c>
      <c r="Z135" s="26">
        <v>14.0</v>
      </c>
      <c r="AA135" s="26">
        <v>1.98</v>
      </c>
      <c r="AB135" s="26">
        <v>0.0</v>
      </c>
      <c r="AC135" s="26">
        <v>329.0</v>
      </c>
      <c r="AD135" s="26">
        <v>393.93939393939394</v>
      </c>
      <c r="AE135" s="10" t="s">
        <v>52</v>
      </c>
      <c r="AF135" s="10" t="s">
        <v>53</v>
      </c>
      <c r="AG135" s="27"/>
    </row>
    <row r="136" ht="15.75" customHeight="1">
      <c r="A136" s="58" t="s">
        <v>327</v>
      </c>
      <c r="B136" s="21">
        <v>125.0</v>
      </c>
      <c r="C136" s="56" t="s">
        <v>87</v>
      </c>
      <c r="D136" s="56" t="s">
        <v>328</v>
      </c>
      <c r="E136" s="56" t="s">
        <v>74</v>
      </c>
      <c r="F136" s="32">
        <v>78.0</v>
      </c>
      <c r="G136" s="33">
        <v>0.0</v>
      </c>
      <c r="H136" s="33">
        <v>0.0</v>
      </c>
      <c r="I136" s="29">
        <v>0.0</v>
      </c>
      <c r="J136" s="19" t="str">
        <f t="shared" si="10"/>
        <v>sin oferta</v>
      </c>
      <c r="K136" s="20" t="str">
        <f t="shared" si="8"/>
        <v>NORMAL / SIN OFERTA</v>
      </c>
      <c r="L136" s="15"/>
      <c r="M136" s="20"/>
      <c r="N136" s="21">
        <v>5.0</v>
      </c>
      <c r="O136" s="22">
        <v>2.0</v>
      </c>
      <c r="P136" s="23">
        <f>IFERROR(__xludf.DUMMYFUNCTION("IFERROR(
  INDEX(
    QUERY(
      Historial!A:I,
      ""select I where B = '""&amp;A136&amp;""' order by A desc limit 1"",
      0
    ),
    1
  ),
  """"
)"),46414.0)</f>
        <v>46414</v>
      </c>
      <c r="Q136" s="19" t="s">
        <v>37</v>
      </c>
      <c r="R136" s="24">
        <v>46310.0</v>
      </c>
      <c r="S136" s="20">
        <f>IFERROR(__xludf.DUMMYFUNCTION("IFERROR(
  INDEX(
    QUERY(
      Historial!A:G,
      ""select G where B = '""&amp;A136&amp;""' order by A desc limit 1"",
      0
    ),
    1
  ),
  """"
)"),88.0)</f>
        <v>88</v>
      </c>
      <c r="T136" s="20" t="str">
        <f t="shared" si="3"/>
        <v>✅ OK</v>
      </c>
      <c r="U136" s="20" t="str">
        <f t="shared" si="4"/>
        <v/>
      </c>
      <c r="V136" s="25">
        <v>2.0</v>
      </c>
      <c r="W136" s="26">
        <v>2.0</v>
      </c>
      <c r="X136" s="26">
        <v>0.198</v>
      </c>
      <c r="Y136" s="26">
        <v>393.93939393939394</v>
      </c>
      <c r="Z136" s="26">
        <v>21.0</v>
      </c>
      <c r="AA136" s="26">
        <v>1.3860000000000001</v>
      </c>
      <c r="AB136" s="26">
        <v>0.0</v>
      </c>
      <c r="AC136" s="26">
        <v>322.0</v>
      </c>
      <c r="AD136" s="26">
        <v>393.93939393939394</v>
      </c>
      <c r="AE136" s="10" t="s">
        <v>52</v>
      </c>
      <c r="AF136" s="10" t="s">
        <v>53</v>
      </c>
      <c r="AG136" s="27"/>
    </row>
    <row r="137" ht="15.75" customHeight="1">
      <c r="A137" s="58" t="s">
        <v>329</v>
      </c>
      <c r="B137" s="21">
        <v>125.0</v>
      </c>
      <c r="C137" s="56" t="s">
        <v>87</v>
      </c>
      <c r="D137" s="56" t="s">
        <v>330</v>
      </c>
      <c r="E137" s="56" t="s">
        <v>74</v>
      </c>
      <c r="F137" s="32">
        <v>80.0</v>
      </c>
      <c r="G137" s="33">
        <v>0.0</v>
      </c>
      <c r="H137" s="33">
        <v>0.0</v>
      </c>
      <c r="I137" s="29">
        <v>0.0</v>
      </c>
      <c r="J137" s="19" t="str">
        <f t="shared" si="10"/>
        <v>sin oferta</v>
      </c>
      <c r="K137" s="20" t="str">
        <f t="shared" si="8"/>
        <v>NORMAL / SIN OFERTA</v>
      </c>
      <c r="L137" s="15"/>
      <c r="M137" s="20"/>
      <c r="N137" s="21">
        <v>0.0</v>
      </c>
      <c r="O137" s="22">
        <v>2.0</v>
      </c>
      <c r="P137" s="23">
        <f>IFERROR(__xludf.DUMMYFUNCTION("IFERROR(
  INDEX(
    QUERY(
      Historial!A:I,
      ""select I where B = '""&amp;A137&amp;""' order by A desc limit 1"",
      0
    ),
    1
  ),
  """"
)"),46317.0)</f>
        <v>46317</v>
      </c>
      <c r="Q137" s="19" t="s">
        <v>43</v>
      </c>
      <c r="R137" s="24">
        <v>46311.0</v>
      </c>
      <c r="S137" s="20">
        <f>IFERROR(__xludf.DUMMYFUNCTION("IFERROR(
  INDEX(
    QUERY(
      Historial!A:G,
      ""select G where B = '""&amp;A137&amp;""' order by A desc limit 1"",
      0
    ),
    1
  ),
  """"
)"),88.0)</f>
        <v>88</v>
      </c>
      <c r="T137" s="20" t="str">
        <f t="shared" si="3"/>
        <v>✅ OK</v>
      </c>
      <c r="U137" s="20" t="str">
        <f t="shared" si="4"/>
        <v/>
      </c>
      <c r="V137" s="25">
        <v>0.0</v>
      </c>
      <c r="W137" s="26">
        <v>0.0</v>
      </c>
      <c r="X137" s="26">
        <v>0.0</v>
      </c>
      <c r="Y137" s="27"/>
      <c r="Z137" s="26">
        <v>21.0</v>
      </c>
      <c r="AA137" s="26">
        <v>0.0</v>
      </c>
      <c r="AB137" s="26">
        <v>0.0</v>
      </c>
      <c r="AC137" s="26">
        <v>225.0</v>
      </c>
      <c r="AD137" s="27"/>
      <c r="AE137" s="10" t="s">
        <v>38</v>
      </c>
      <c r="AF137" s="10" t="s">
        <v>44</v>
      </c>
      <c r="AG137" s="27"/>
    </row>
    <row r="138" ht="15.75" customHeight="1">
      <c r="A138" s="58" t="s">
        <v>331</v>
      </c>
      <c r="B138" s="21">
        <v>6000.0</v>
      </c>
      <c r="C138" s="56" t="s">
        <v>87</v>
      </c>
      <c r="D138" s="56" t="s">
        <v>332</v>
      </c>
      <c r="E138" s="56" t="s">
        <v>74</v>
      </c>
      <c r="F138" s="32">
        <v>6.0</v>
      </c>
      <c r="G138" s="33">
        <v>0.0</v>
      </c>
      <c r="H138" s="33">
        <v>0.0</v>
      </c>
      <c r="I138" s="29">
        <v>0.0</v>
      </c>
      <c r="J138" s="19" t="str">
        <f t="shared" si="10"/>
        <v>sin oferta</v>
      </c>
      <c r="K138" s="20" t="str">
        <f t="shared" si="8"/>
        <v>NORMAL / SIN OFERTA</v>
      </c>
      <c r="L138" s="15"/>
      <c r="M138" s="20"/>
      <c r="N138" s="21">
        <v>0.0</v>
      </c>
      <c r="O138" s="22">
        <v>2.0</v>
      </c>
      <c r="P138" s="23" t="str">
        <f>IFERROR(__xludf.DUMMYFUNCTION("IFERROR(
  INDEX(
    QUERY(
      Historial!A:I,
      ""select I where B = '""&amp;A138&amp;""' order by A desc limit 1"",
      0
    ),
    1
  ),
  """"
)"),"")</f>
        <v/>
      </c>
      <c r="Q138" s="19" t="s">
        <v>60</v>
      </c>
      <c r="R138" s="24">
        <v>46315.0</v>
      </c>
      <c r="S138" s="20">
        <f>IFERROR(__xludf.DUMMYFUNCTION("IFERROR(
  INDEX(
    QUERY(
      Historial!A:G,
      ""select G where B = '""&amp;A138&amp;""' order by A desc limit 1"",
      0
    ),
    1
  ),
  """"
)"),3400.0)</f>
        <v>3400</v>
      </c>
      <c r="T138" s="20" t="str">
        <f t="shared" si="3"/>
        <v/>
      </c>
      <c r="U138" s="20" t="str">
        <f t="shared" si="4"/>
        <v/>
      </c>
      <c r="V138" s="25">
        <v>0.0</v>
      </c>
      <c r="W138" s="26">
        <v>0.0</v>
      </c>
      <c r="X138" s="26">
        <v>0.0</v>
      </c>
      <c r="Y138" s="27"/>
      <c r="Z138" s="26">
        <v>14.0</v>
      </c>
      <c r="AA138" s="26">
        <v>0.0</v>
      </c>
      <c r="AB138" s="26">
        <v>0.0</v>
      </c>
      <c r="AC138" s="27"/>
      <c r="AD138" s="27"/>
      <c r="AE138" s="10" t="s">
        <v>38</v>
      </c>
      <c r="AF138" s="10" t="s">
        <v>44</v>
      </c>
      <c r="AG138" s="27"/>
    </row>
    <row r="139" ht="15.75" customHeight="1">
      <c r="A139" s="31" t="s">
        <v>333</v>
      </c>
      <c r="B139" s="40">
        <v>3000.0</v>
      </c>
      <c r="C139" s="20" t="s">
        <v>334</v>
      </c>
      <c r="D139" s="15" t="s">
        <v>335</v>
      </c>
      <c r="E139" s="20" t="s">
        <v>47</v>
      </c>
      <c r="F139" s="39">
        <v>1.0</v>
      </c>
      <c r="G139" s="40">
        <v>0.0</v>
      </c>
      <c r="H139" s="40">
        <v>0.0</v>
      </c>
      <c r="I139" s="40">
        <v>0.0</v>
      </c>
      <c r="J139" s="19" t="str">
        <f t="shared" si="10"/>
        <v>sin oferta</v>
      </c>
      <c r="K139" s="20" t="str">
        <f t="shared" si="8"/>
        <v>NORMAL / SIN OFERTA</v>
      </c>
      <c r="L139" s="20">
        <v>0.0</v>
      </c>
      <c r="M139" s="20">
        <v>0.0</v>
      </c>
      <c r="N139" s="21">
        <v>1.0</v>
      </c>
      <c r="O139" s="22">
        <v>2.0</v>
      </c>
      <c r="P139" s="23" t="str">
        <f>IFERROR(__xludf.DUMMYFUNCTION("IFERROR(
  INDEX(
    QUERY(
      Historial!A:I,
      ""select I where B = '""&amp;A139&amp;""' order by A desc limit 1"",
      0
    ),
    1
  ),
  """"
)"),"")</f>
        <v/>
      </c>
      <c r="Q139" s="19" t="s">
        <v>37</v>
      </c>
      <c r="R139" s="24">
        <v>46317.0</v>
      </c>
      <c r="S139" s="20" t="str">
        <f>IFERROR(__xludf.DUMMYFUNCTION("IFERROR(
  INDEX(
    QUERY(
      Historial!A:G,
      ""select G where B = '""&amp;A139&amp;""' order by A desc limit 1"",
      0
    ),
    1
  ),
  """"
)"),"")</f>
        <v/>
      </c>
      <c r="T139" s="20" t="str">
        <f t="shared" si="3"/>
        <v/>
      </c>
      <c r="U139" s="20" t="str">
        <f t="shared" si="4"/>
        <v/>
      </c>
      <c r="V139" s="25">
        <v>0.0</v>
      </c>
      <c r="W139" s="26">
        <v>1.0</v>
      </c>
      <c r="X139" s="26">
        <v>0.013</v>
      </c>
      <c r="Y139" s="26">
        <v>76.92307692307692</v>
      </c>
      <c r="Z139" s="26">
        <v>14.0</v>
      </c>
      <c r="AA139" s="26">
        <v>0.13</v>
      </c>
      <c r="AB139" s="26">
        <v>0.0</v>
      </c>
      <c r="AC139" s="27"/>
      <c r="AD139" s="26">
        <v>76.92307692307692</v>
      </c>
      <c r="AE139" s="10" t="s">
        <v>38</v>
      </c>
      <c r="AF139" s="10" t="s">
        <v>39</v>
      </c>
      <c r="AG139" s="27"/>
    </row>
    <row r="140" ht="15.75" customHeight="1">
      <c r="A140" s="34" t="s">
        <v>336</v>
      </c>
      <c r="B140" s="46">
        <v>3200.0</v>
      </c>
      <c r="C140" s="47" t="s">
        <v>334</v>
      </c>
      <c r="D140" s="15" t="s">
        <v>337</v>
      </c>
      <c r="E140" s="47" t="s">
        <v>147</v>
      </c>
      <c r="F140" s="36">
        <v>6.0</v>
      </c>
      <c r="G140" s="33">
        <v>0.0</v>
      </c>
      <c r="H140" s="33">
        <v>0.0</v>
      </c>
      <c r="I140" s="29">
        <v>0.0</v>
      </c>
      <c r="J140" s="19" t="str">
        <f t="shared" si="10"/>
        <v>sin oferta</v>
      </c>
      <c r="K140" s="20" t="str">
        <f t="shared" si="8"/>
        <v>NORMAL / SIN OFERTA</v>
      </c>
      <c r="L140" s="15"/>
      <c r="M140" s="20"/>
      <c r="N140" s="21">
        <v>0.0</v>
      </c>
      <c r="O140" s="22">
        <v>2.0</v>
      </c>
      <c r="P140" s="23" t="str">
        <f>IFERROR(__xludf.DUMMYFUNCTION("IFERROR(
  INDEX(
    QUERY(
      Historial!A:I,
      ""select I where B = '""&amp;A140&amp;""' order by A desc limit 1"",
      0
    ),
    1
  ),
  """"
)"),"")</f>
        <v/>
      </c>
      <c r="Q140" s="19" t="s">
        <v>43</v>
      </c>
      <c r="R140" s="24">
        <v>46318.0</v>
      </c>
      <c r="S140" s="20">
        <f>IFERROR(__xludf.DUMMYFUNCTION("IFERROR(
  INDEX(
    QUERY(
      Historial!A:G,
      ""select G where B = '""&amp;A140&amp;""' order by A desc limit 1"",
      0
    ),
    1
  ),
  """"
)"),1800.0)</f>
        <v>1800</v>
      </c>
      <c r="T140" s="20" t="str">
        <f t="shared" si="3"/>
        <v/>
      </c>
      <c r="U140" s="20" t="str">
        <f t="shared" si="4"/>
        <v/>
      </c>
      <c r="V140" s="25">
        <v>0.0</v>
      </c>
      <c r="W140" s="26">
        <v>0.0</v>
      </c>
      <c r="X140" s="26">
        <v>0.0</v>
      </c>
      <c r="Y140" s="27"/>
      <c r="Z140" s="26">
        <v>21.0</v>
      </c>
      <c r="AA140" s="26">
        <v>0.0</v>
      </c>
      <c r="AB140" s="26">
        <v>0.0</v>
      </c>
      <c r="AC140" s="27"/>
      <c r="AD140" s="27"/>
      <c r="AE140" s="10" t="s">
        <v>38</v>
      </c>
      <c r="AF140" s="10" t="s">
        <v>44</v>
      </c>
      <c r="AG140" s="27"/>
    </row>
    <row r="141" ht="15.75" customHeight="1">
      <c r="A141" s="34" t="s">
        <v>338</v>
      </c>
      <c r="B141" s="46">
        <v>3200.0</v>
      </c>
      <c r="C141" s="47" t="s">
        <v>334</v>
      </c>
      <c r="D141" s="15" t="s">
        <v>339</v>
      </c>
      <c r="E141" s="47" t="s">
        <v>147</v>
      </c>
      <c r="F141" s="36">
        <v>6.0</v>
      </c>
      <c r="G141" s="33">
        <v>0.0</v>
      </c>
      <c r="H141" s="33">
        <v>0.0</v>
      </c>
      <c r="I141" s="29">
        <v>0.0</v>
      </c>
      <c r="J141" s="19" t="str">
        <f t="shared" si="10"/>
        <v>sin oferta</v>
      </c>
      <c r="K141" s="20" t="str">
        <f t="shared" si="8"/>
        <v>NORMAL / SIN OFERTA</v>
      </c>
      <c r="L141" s="15"/>
      <c r="M141" s="20"/>
      <c r="N141" s="21">
        <v>1.0</v>
      </c>
      <c r="O141" s="22">
        <v>2.0</v>
      </c>
      <c r="P141" s="23" t="str">
        <f>IFERROR(__xludf.DUMMYFUNCTION("IFERROR(
  INDEX(
    QUERY(
      Historial!A:I,
      ""select I where B = '""&amp;A141&amp;""' order by A desc limit 1"",
      0
    ),
    1
  ),
  """"
)"),"")</f>
        <v/>
      </c>
      <c r="Q141" s="19" t="s">
        <v>51</v>
      </c>
      <c r="R141" s="24">
        <v>46320.0</v>
      </c>
      <c r="S141" s="20">
        <f>IFERROR(__xludf.DUMMYFUNCTION("IFERROR(
  INDEX(
    QUERY(
      Historial!A:G,
      ""select G where B = '""&amp;A141&amp;""' order by A desc limit 1"",
      0
    ),
    1
  ),
  """"
)"),1799.0)</f>
        <v>1799</v>
      </c>
      <c r="T141" s="20" t="str">
        <f t="shared" si="3"/>
        <v/>
      </c>
      <c r="U141" s="20" t="str">
        <f t="shared" si="4"/>
        <v/>
      </c>
      <c r="V141" s="25">
        <v>0.0</v>
      </c>
      <c r="W141" s="26">
        <v>1.0</v>
      </c>
      <c r="X141" s="26">
        <v>0.013</v>
      </c>
      <c r="Y141" s="26">
        <v>461.53846153846155</v>
      </c>
      <c r="Z141" s="26">
        <v>14.0</v>
      </c>
      <c r="AA141" s="26">
        <v>0.13</v>
      </c>
      <c r="AB141" s="26">
        <v>0.0</v>
      </c>
      <c r="AC141" s="27"/>
      <c r="AD141" s="26">
        <v>461.53846153846155</v>
      </c>
      <c r="AE141" s="10" t="s">
        <v>38</v>
      </c>
      <c r="AF141" s="10" t="s">
        <v>39</v>
      </c>
      <c r="AG141" s="27"/>
    </row>
    <row r="142" ht="15.75" customHeight="1">
      <c r="A142" s="34" t="s">
        <v>340</v>
      </c>
      <c r="B142" s="46">
        <v>3200.0</v>
      </c>
      <c r="C142" s="47" t="s">
        <v>334</v>
      </c>
      <c r="D142" s="15" t="s">
        <v>341</v>
      </c>
      <c r="E142" s="47" t="s">
        <v>147</v>
      </c>
      <c r="F142" s="36">
        <v>6.0</v>
      </c>
      <c r="G142" s="33">
        <v>0.0</v>
      </c>
      <c r="H142" s="33">
        <v>0.0</v>
      </c>
      <c r="I142" s="29">
        <v>0.0</v>
      </c>
      <c r="J142" s="19" t="str">
        <f t="shared" si="10"/>
        <v>sin oferta</v>
      </c>
      <c r="K142" s="20" t="str">
        <f t="shared" si="8"/>
        <v>NORMAL / SIN OFERTA</v>
      </c>
      <c r="L142" s="15"/>
      <c r="M142" s="20"/>
      <c r="N142" s="21">
        <v>0.0</v>
      </c>
      <c r="O142" s="22">
        <v>2.0</v>
      </c>
      <c r="P142" s="23" t="str">
        <f>IFERROR(__xludf.DUMMYFUNCTION("IFERROR(
  INDEX(
    QUERY(
      Historial!A:I,
      ""select I where B = '""&amp;A142&amp;""' order by A desc limit 1"",
      0
    ),
    1
  ),
  """"
)"),"")</f>
        <v/>
      </c>
      <c r="Q142" s="19" t="s">
        <v>57</v>
      </c>
      <c r="R142" s="24">
        <v>46321.0</v>
      </c>
      <c r="S142" s="20">
        <f>IFERROR(__xludf.DUMMYFUNCTION("IFERROR(
  INDEX(
    QUERY(
      Historial!A:G,
      ""select G where B = '""&amp;A142&amp;""' order by A desc limit 1"",
      0
    ),
    1
  ),
  """"
)"),1799.0)</f>
        <v>1799</v>
      </c>
      <c r="T142" s="20" t="str">
        <f t="shared" si="3"/>
        <v/>
      </c>
      <c r="U142" s="20" t="str">
        <f t="shared" si="4"/>
        <v/>
      </c>
      <c r="V142" s="25">
        <v>0.0</v>
      </c>
      <c r="W142" s="26">
        <v>0.0</v>
      </c>
      <c r="X142" s="26">
        <v>0.0</v>
      </c>
      <c r="Y142" s="27"/>
      <c r="Z142" s="26">
        <v>21.0</v>
      </c>
      <c r="AA142" s="26">
        <v>0.0</v>
      </c>
      <c r="AB142" s="26">
        <v>0.0</v>
      </c>
      <c r="AC142" s="27"/>
      <c r="AD142" s="27"/>
      <c r="AE142" s="10" t="s">
        <v>38</v>
      </c>
      <c r="AF142" s="10" t="s">
        <v>44</v>
      </c>
      <c r="AG142" s="27"/>
    </row>
    <row r="143" ht="15.75" customHeight="1">
      <c r="A143" s="34" t="s">
        <v>342</v>
      </c>
      <c r="B143" s="35">
        <v>16000.0</v>
      </c>
      <c r="C143" s="15" t="s">
        <v>334</v>
      </c>
      <c r="D143" s="15" t="s">
        <v>343</v>
      </c>
      <c r="E143" s="15"/>
      <c r="F143" s="41">
        <v>6.0</v>
      </c>
      <c r="G143" s="33">
        <v>0.0</v>
      </c>
      <c r="H143" s="33">
        <v>0.0</v>
      </c>
      <c r="I143" s="29">
        <v>0.0</v>
      </c>
      <c r="J143" s="19" t="str">
        <f t="shared" si="10"/>
        <v>sin oferta</v>
      </c>
      <c r="K143" s="20" t="str">
        <f t="shared" si="8"/>
        <v>NORMAL / SIN OFERTA</v>
      </c>
      <c r="L143" s="15"/>
      <c r="M143" s="20"/>
      <c r="N143" s="21">
        <v>0.0</v>
      </c>
      <c r="O143" s="22">
        <v>3.0</v>
      </c>
      <c r="P143" s="23" t="str">
        <f>IFERROR(__xludf.DUMMYFUNCTION("IFERROR(
  INDEX(
    QUERY(
      Historial!A:I,
      ""select I where B = '""&amp;A143&amp;""' order by A desc limit 1"",
      0
    ),
    1
  ),
  """"
)"),"")</f>
        <v/>
      </c>
      <c r="Q143" s="19" t="s">
        <v>60</v>
      </c>
      <c r="R143" s="24">
        <v>46322.0</v>
      </c>
      <c r="S143" s="20" t="str">
        <f>IFERROR(__xludf.DUMMYFUNCTION("IFERROR(
  INDEX(
    QUERY(
      Historial!A:G,
      ""select G where B = '""&amp;A143&amp;""' order by A desc limit 1"",
      0
    ),
    1
  ),
  """"
)"),"")</f>
        <v/>
      </c>
      <c r="T143" s="20" t="str">
        <f t="shared" si="3"/>
        <v/>
      </c>
      <c r="U143" s="20" t="str">
        <f t="shared" si="4"/>
        <v/>
      </c>
      <c r="V143" s="25">
        <v>0.0</v>
      </c>
      <c r="W143" s="26">
        <v>0.0</v>
      </c>
      <c r="X143" s="26">
        <v>0.0</v>
      </c>
      <c r="Y143" s="27"/>
      <c r="Z143" s="26">
        <v>10.0</v>
      </c>
      <c r="AA143" s="26">
        <v>0.0</v>
      </c>
      <c r="AB143" s="26">
        <v>0.0</v>
      </c>
      <c r="AC143" s="27"/>
      <c r="AD143" s="27"/>
      <c r="AE143" s="10" t="s">
        <v>38</v>
      </c>
      <c r="AF143" s="10" t="s">
        <v>44</v>
      </c>
      <c r="AG143" s="27"/>
    </row>
    <row r="144" ht="15.75" customHeight="1">
      <c r="A144" s="34" t="s">
        <v>344</v>
      </c>
      <c r="B144" s="35">
        <v>22000.0</v>
      </c>
      <c r="C144" s="15" t="s">
        <v>334</v>
      </c>
      <c r="D144" s="15" t="s">
        <v>345</v>
      </c>
      <c r="E144" s="15"/>
      <c r="F144" s="41">
        <v>6.0</v>
      </c>
      <c r="G144" s="33">
        <v>0.0</v>
      </c>
      <c r="H144" s="33">
        <v>0.0</v>
      </c>
      <c r="I144" s="29">
        <v>0.0</v>
      </c>
      <c r="J144" s="19" t="str">
        <f t="shared" si="10"/>
        <v>sin oferta</v>
      </c>
      <c r="K144" s="20" t="str">
        <f t="shared" si="8"/>
        <v>NORMAL / SIN OFERTA</v>
      </c>
      <c r="L144" s="15"/>
      <c r="M144" s="20"/>
      <c r="N144" s="21">
        <v>0.0</v>
      </c>
      <c r="O144" s="22">
        <v>3.0</v>
      </c>
      <c r="P144" s="23" t="str">
        <f>IFERROR(__xludf.DUMMYFUNCTION("IFERROR(
  INDEX(
    QUERY(
      Historial!A:I,
      ""select I where B = '""&amp;A144&amp;""' order by A desc limit 1"",
      0
    ),
    1
  ),
  """"
)"),"")</f>
        <v/>
      </c>
      <c r="Q144" s="19" t="s">
        <v>63</v>
      </c>
      <c r="R144" s="24">
        <v>46323.0</v>
      </c>
      <c r="S144" s="20" t="str">
        <f>IFERROR(__xludf.DUMMYFUNCTION("IFERROR(
  INDEX(
    QUERY(
      Historial!A:G,
      ""select G where B = '""&amp;A144&amp;""' order by A desc limit 1"",
      0
    ),
    1
  ),
  """"
)"),"")</f>
        <v/>
      </c>
      <c r="T144" s="20" t="str">
        <f t="shared" si="3"/>
        <v/>
      </c>
      <c r="U144" s="20" t="str">
        <f t="shared" si="4"/>
        <v/>
      </c>
      <c r="V144" s="25">
        <v>0.0</v>
      </c>
      <c r="W144" s="26">
        <v>0.0</v>
      </c>
      <c r="X144" s="26">
        <v>0.0</v>
      </c>
      <c r="Y144" s="27"/>
      <c r="Z144" s="26">
        <v>10.0</v>
      </c>
      <c r="AA144" s="26">
        <v>0.0</v>
      </c>
      <c r="AB144" s="26">
        <v>0.0</v>
      </c>
      <c r="AC144" s="27"/>
      <c r="AD144" s="27"/>
      <c r="AE144" s="10" t="s">
        <v>38</v>
      </c>
      <c r="AF144" s="10" t="s">
        <v>44</v>
      </c>
      <c r="AG144" s="27"/>
    </row>
    <row r="145" ht="15.75" customHeight="1">
      <c r="A145" s="28" t="s">
        <v>346</v>
      </c>
      <c r="B145" s="29">
        <v>15000.0</v>
      </c>
      <c r="C145" s="19" t="s">
        <v>334</v>
      </c>
      <c r="D145" s="15" t="s">
        <v>347</v>
      </c>
      <c r="E145" s="19" t="s">
        <v>147</v>
      </c>
      <c r="F145" s="53">
        <v>3.0</v>
      </c>
      <c r="G145" s="33">
        <v>0.0</v>
      </c>
      <c r="H145" s="33">
        <v>0.0</v>
      </c>
      <c r="I145" s="29">
        <v>0.0</v>
      </c>
      <c r="J145" s="19" t="str">
        <f t="shared" si="10"/>
        <v>sin oferta</v>
      </c>
      <c r="K145" s="20" t="str">
        <f t="shared" si="8"/>
        <v>NORMAL / SIN OFERTA</v>
      </c>
      <c r="L145" s="15"/>
      <c r="M145" s="20"/>
      <c r="N145" s="21">
        <v>0.0</v>
      </c>
      <c r="O145" s="22">
        <v>2.0</v>
      </c>
      <c r="P145" s="23" t="str">
        <f>IFERROR(__xludf.DUMMYFUNCTION("IFERROR(
  INDEX(
    QUERY(
      Historial!A:I,
      ""select I where B = '""&amp;A145&amp;""' order by A desc limit 1"",
      0
    ),
    1
  ),
  """"
)"),"")</f>
        <v/>
      </c>
      <c r="Q145" s="19" t="s">
        <v>60</v>
      </c>
      <c r="R145" s="24">
        <v>46329.0</v>
      </c>
      <c r="S145" s="20">
        <f>IFERROR(__xludf.DUMMYFUNCTION("IFERROR(
  INDEX(
    QUERY(
      Historial!A:G,
      ""select G where B = '""&amp;A145&amp;""' order by A desc limit 1"",
      0
    ),
    1
  ),
  """"
)"),7700.0)</f>
        <v>7700</v>
      </c>
      <c r="T145" s="20" t="str">
        <f t="shared" si="3"/>
        <v/>
      </c>
      <c r="U145" s="20" t="str">
        <f t="shared" si="4"/>
        <v/>
      </c>
      <c r="V145" s="25">
        <v>0.0</v>
      </c>
      <c r="W145" s="26">
        <v>0.0</v>
      </c>
      <c r="X145" s="26">
        <v>0.0</v>
      </c>
      <c r="Y145" s="27"/>
      <c r="Z145" s="26">
        <v>14.0</v>
      </c>
      <c r="AA145" s="26">
        <v>0.0</v>
      </c>
      <c r="AB145" s="26">
        <v>0.0</v>
      </c>
      <c r="AC145" s="27"/>
      <c r="AD145" s="27"/>
      <c r="AE145" s="10" t="s">
        <v>38</v>
      </c>
      <c r="AF145" s="10" t="s">
        <v>44</v>
      </c>
      <c r="AG145" s="27"/>
    </row>
    <row r="146" ht="15.75" customHeight="1">
      <c r="A146" s="34" t="s">
        <v>348</v>
      </c>
      <c r="B146" s="46">
        <v>4300.0</v>
      </c>
      <c r="C146" s="47" t="s">
        <v>349</v>
      </c>
      <c r="D146" s="15" t="s">
        <v>350</v>
      </c>
      <c r="E146" s="47" t="s">
        <v>114</v>
      </c>
      <c r="F146" s="36">
        <v>11.0</v>
      </c>
      <c r="G146" s="33">
        <v>0.0</v>
      </c>
      <c r="H146" s="33">
        <v>0.0</v>
      </c>
      <c r="I146" s="29">
        <v>0.0</v>
      </c>
      <c r="J146" s="19" t="str">
        <f t="shared" si="10"/>
        <v>sin oferta</v>
      </c>
      <c r="K146" s="20" t="str">
        <f t="shared" si="8"/>
        <v>NORMAL / SIN OFERTA</v>
      </c>
      <c r="L146" s="15"/>
      <c r="M146" s="20"/>
      <c r="N146" s="21">
        <v>2.0</v>
      </c>
      <c r="O146" s="22">
        <v>2.0</v>
      </c>
      <c r="P146" s="23" t="str">
        <f>IFERROR(__xludf.DUMMYFUNCTION("IFERROR(
  INDEX(
    QUERY(
      Historial!A:I,
      ""select I where B = '""&amp;A146&amp;""' order by A desc limit 1"",
      0
    ),
    1
  ),
  """"
)"),"")</f>
        <v/>
      </c>
      <c r="Q146" s="19" t="s">
        <v>51</v>
      </c>
      <c r="R146" s="24">
        <v>46334.0</v>
      </c>
      <c r="S146" s="20">
        <f>IFERROR(__xludf.DUMMYFUNCTION("IFERROR(
  INDEX(
    QUERY(
      Historial!A:G,
      ""select G where B = '""&amp;A146&amp;""' order by A desc limit 1"",
      0
    ),
    1
  ),
  """"
)"),3100.0)</f>
        <v>3100</v>
      </c>
      <c r="T146" s="20" t="str">
        <f t="shared" si="3"/>
        <v/>
      </c>
      <c r="U146" s="20" t="str">
        <f t="shared" si="4"/>
        <v/>
      </c>
      <c r="V146" s="25">
        <v>1.0</v>
      </c>
      <c r="W146" s="26">
        <v>1.0</v>
      </c>
      <c r="X146" s="26">
        <v>0.099</v>
      </c>
      <c r="Y146" s="26">
        <v>111.1111111111111</v>
      </c>
      <c r="Z146" s="26">
        <v>14.0</v>
      </c>
      <c r="AA146" s="26">
        <v>0.99</v>
      </c>
      <c r="AB146" s="26">
        <v>0.0</v>
      </c>
      <c r="AC146" s="27"/>
      <c r="AD146" s="26">
        <v>111.1111111111111</v>
      </c>
      <c r="AE146" s="10" t="s">
        <v>38</v>
      </c>
      <c r="AF146" s="10" t="s">
        <v>39</v>
      </c>
      <c r="AG146" s="27"/>
    </row>
    <row r="147" ht="15.75" customHeight="1">
      <c r="A147" s="34" t="s">
        <v>351</v>
      </c>
      <c r="B147" s="35">
        <v>4000.0</v>
      </c>
      <c r="C147" s="15" t="s">
        <v>349</v>
      </c>
      <c r="D147" s="15" t="s">
        <v>352</v>
      </c>
      <c r="E147" s="15" t="s">
        <v>147</v>
      </c>
      <c r="F147" s="36">
        <v>18.0</v>
      </c>
      <c r="G147" s="33">
        <v>0.0</v>
      </c>
      <c r="H147" s="33">
        <v>0.0</v>
      </c>
      <c r="I147" s="29">
        <v>0.0</v>
      </c>
      <c r="J147" s="19" t="str">
        <f t="shared" si="10"/>
        <v>sin oferta</v>
      </c>
      <c r="K147" s="20" t="str">
        <f t="shared" si="8"/>
        <v>NORMAL / SIN OFERTA</v>
      </c>
      <c r="L147" s="15"/>
      <c r="M147" s="20"/>
      <c r="N147" s="21">
        <v>13.0</v>
      </c>
      <c r="O147" s="22">
        <v>3.0</v>
      </c>
      <c r="P147" s="23" t="str">
        <f>IFERROR(__xludf.DUMMYFUNCTION("IFERROR(
  INDEX(
    QUERY(
      Historial!A:I,
      ""select I where B = '""&amp;A147&amp;""' order by A desc limit 1"",
      0
    ),
    1
  ),
  """"
)"),"")</f>
        <v/>
      </c>
      <c r="Q147" s="19" t="s">
        <v>57</v>
      </c>
      <c r="R147" s="24">
        <v>46335.0</v>
      </c>
      <c r="S147" s="20">
        <f>IFERROR(__xludf.DUMMYFUNCTION("IFERROR(
  INDEX(
    QUERY(
      Historial!A:G,
      ""select G where B = '""&amp;A147&amp;""' order by A desc limit 1"",
      0
    ),
    1
  ),
  """"
)"),2000.0)</f>
        <v>2000</v>
      </c>
      <c r="T147" s="20" t="str">
        <f t="shared" si="3"/>
        <v/>
      </c>
      <c r="U147" s="20" t="str">
        <f t="shared" si="4"/>
        <v/>
      </c>
      <c r="V147" s="25">
        <v>6.0</v>
      </c>
      <c r="W147" s="26">
        <v>6.0</v>
      </c>
      <c r="X147" s="26">
        <v>0.594</v>
      </c>
      <c r="Y147" s="26">
        <v>30.303030303030305</v>
      </c>
      <c r="Z147" s="26">
        <v>21.0</v>
      </c>
      <c r="AA147" s="26">
        <v>4.1579999999999995</v>
      </c>
      <c r="AB147" s="26">
        <v>0.0</v>
      </c>
      <c r="AC147" s="27"/>
      <c r="AD147" s="26">
        <v>30.303030303030305</v>
      </c>
      <c r="AE147" s="10" t="s">
        <v>38</v>
      </c>
      <c r="AF147" s="10" t="s">
        <v>39</v>
      </c>
      <c r="AG147" s="27"/>
    </row>
    <row r="148" ht="15.75" customHeight="1">
      <c r="A148" s="34" t="s">
        <v>353</v>
      </c>
      <c r="B148" s="35">
        <v>3500.0</v>
      </c>
      <c r="C148" s="15" t="s">
        <v>349</v>
      </c>
      <c r="D148" s="15" t="s">
        <v>354</v>
      </c>
      <c r="E148" s="15" t="s">
        <v>355</v>
      </c>
      <c r="F148" s="41">
        <v>48.0</v>
      </c>
      <c r="G148" s="33">
        <v>0.0</v>
      </c>
      <c r="H148" s="33">
        <v>20.0</v>
      </c>
      <c r="I148" s="29">
        <v>0.0</v>
      </c>
      <c r="J148" s="19" t="str">
        <f t="shared" si="10"/>
        <v>destacada</v>
      </c>
      <c r="K148" s="20">
        <f t="shared" si="8"/>
        <v>2800</v>
      </c>
      <c r="L148" s="15"/>
      <c r="M148" s="20"/>
      <c r="N148" s="21">
        <v>0.0</v>
      </c>
      <c r="O148" s="22">
        <v>2.0</v>
      </c>
      <c r="P148" s="23" t="str">
        <f>IFERROR(__xludf.DUMMYFUNCTION("IFERROR(
  INDEX(
    QUERY(
      Historial!A:I,
      ""select I where B = '""&amp;A148&amp;""' order by A desc limit 1"",
      0
    ),
    1
  ),
  """"
)"),"")</f>
        <v/>
      </c>
      <c r="Q148" s="19" t="s">
        <v>43</v>
      </c>
      <c r="R148" s="24">
        <v>46339.0</v>
      </c>
      <c r="S148" s="20">
        <f>IFERROR(__xludf.DUMMYFUNCTION("IFERROR(
  INDEX(
    QUERY(
      Historial!A:G,
      ""select G where B = '""&amp;A148&amp;""' order by A desc limit 1"",
      0
    ),
    1
  ),
  """"
)"),1400.0)</f>
        <v>1400</v>
      </c>
      <c r="T148" s="20" t="str">
        <f t="shared" si="3"/>
        <v/>
      </c>
      <c r="U148" s="20" t="str">
        <f t="shared" si="4"/>
        <v/>
      </c>
      <c r="V148" s="25">
        <v>0.0</v>
      </c>
      <c r="W148" s="26">
        <v>0.0</v>
      </c>
      <c r="X148" s="26">
        <v>0.0</v>
      </c>
      <c r="Y148" s="27"/>
      <c r="Z148" s="26">
        <v>14.0</v>
      </c>
      <c r="AA148" s="26">
        <v>0.0</v>
      </c>
      <c r="AB148" s="26">
        <v>0.0</v>
      </c>
      <c r="AC148" s="27"/>
      <c r="AD148" s="27"/>
      <c r="AE148" s="10" t="s">
        <v>38</v>
      </c>
      <c r="AF148" s="10" t="s">
        <v>44</v>
      </c>
      <c r="AG148" s="27"/>
    </row>
    <row r="149" ht="15.75" customHeight="1">
      <c r="A149" s="34" t="s">
        <v>356</v>
      </c>
      <c r="B149" s="46">
        <v>3500.0</v>
      </c>
      <c r="C149" s="47" t="s">
        <v>349</v>
      </c>
      <c r="D149" s="15" t="s">
        <v>357</v>
      </c>
      <c r="E149" s="47" t="s">
        <v>114</v>
      </c>
      <c r="F149" s="36">
        <v>38.0</v>
      </c>
      <c r="G149" s="17">
        <v>6.0</v>
      </c>
      <c r="H149" s="17">
        <v>0.0</v>
      </c>
      <c r="I149" s="18">
        <v>0.0</v>
      </c>
      <c r="J149" s="19" t="str">
        <f t="shared" si="10"/>
        <v>relampago 7x6</v>
      </c>
      <c r="K149" s="20">
        <f t="shared" si="8"/>
        <v>2999.85</v>
      </c>
      <c r="L149" s="15"/>
      <c r="M149" s="20"/>
      <c r="N149" s="21">
        <v>2.0</v>
      </c>
      <c r="O149" s="22">
        <v>5.0</v>
      </c>
      <c r="P149" s="23" t="str">
        <f>IFERROR(__xludf.DUMMYFUNCTION("IFERROR(
  INDEX(
    QUERY(
      Historial!A:I,
      ""select I where B = '""&amp;A149&amp;""' order by A desc limit 1"",
      0
    ),
    1
  ),
  """"
)"),"")</f>
        <v/>
      </c>
      <c r="Q149" s="19" t="s">
        <v>48</v>
      </c>
      <c r="R149" s="24">
        <v>46340.0</v>
      </c>
      <c r="S149" s="20">
        <f>IFERROR(__xludf.DUMMYFUNCTION("IFERROR(
  INDEX(
    QUERY(
      Historial!A:G,
      ""select G where B = '""&amp;A149&amp;""' order by A desc limit 1"",
      0
    ),
    1
  ),
  """"
)"),2000.0)</f>
        <v>2000</v>
      </c>
      <c r="T149" s="20" t="str">
        <f t="shared" si="3"/>
        <v/>
      </c>
      <c r="U149" s="20" t="str">
        <f t="shared" si="4"/>
        <v/>
      </c>
      <c r="V149" s="25">
        <v>1.0</v>
      </c>
      <c r="W149" s="26">
        <v>13.0</v>
      </c>
      <c r="X149" s="26">
        <v>0.259</v>
      </c>
      <c r="Y149" s="26">
        <v>146.71814671814673</v>
      </c>
      <c r="Z149" s="26">
        <v>5.0</v>
      </c>
      <c r="AA149" s="26">
        <v>5.439</v>
      </c>
      <c r="AB149" s="26">
        <v>0.0</v>
      </c>
      <c r="AC149" s="27"/>
      <c r="AD149" s="26">
        <v>146.71814671814673</v>
      </c>
      <c r="AE149" s="10" t="s">
        <v>38</v>
      </c>
      <c r="AF149" s="10" t="s">
        <v>39</v>
      </c>
      <c r="AG149" s="27"/>
    </row>
    <row r="150" ht="15.75" customHeight="1">
      <c r="A150" s="34" t="s">
        <v>358</v>
      </c>
      <c r="B150" s="35">
        <v>3600.0</v>
      </c>
      <c r="C150" s="15" t="s">
        <v>349</v>
      </c>
      <c r="D150" s="15" t="s">
        <v>359</v>
      </c>
      <c r="E150" s="15" t="s">
        <v>42</v>
      </c>
      <c r="F150" s="41">
        <v>90.0</v>
      </c>
      <c r="G150" s="33">
        <v>0.0</v>
      </c>
      <c r="H150" s="33">
        <v>0.0</v>
      </c>
      <c r="I150" s="29">
        <v>0.0</v>
      </c>
      <c r="J150" s="19" t="str">
        <f t="shared" si="10"/>
        <v>sin oferta</v>
      </c>
      <c r="K150" s="20" t="str">
        <f t="shared" si="8"/>
        <v>NORMAL / SIN OFERTA</v>
      </c>
      <c r="L150" s="15"/>
      <c r="M150" s="20"/>
      <c r="N150" s="21">
        <v>0.0</v>
      </c>
      <c r="O150" s="22">
        <v>2.0</v>
      </c>
      <c r="P150" s="23" t="str">
        <f>IFERROR(__xludf.DUMMYFUNCTION("IFERROR(
  INDEX(
    QUERY(
      Historial!A:I,
      ""select I where B = '""&amp;A150&amp;""' order by A desc limit 1"",
      0
    ),
    1
  ),
  """"
)"),"")</f>
        <v/>
      </c>
      <c r="Q150" s="19" t="s">
        <v>63</v>
      </c>
      <c r="R150" s="24">
        <v>46344.0</v>
      </c>
      <c r="S150" s="20">
        <f>IFERROR(__xludf.DUMMYFUNCTION("IFERROR(
  INDEX(
    QUERY(
      Historial!A:G,
      ""select G where B = '""&amp;A150&amp;""' order by A desc limit 1"",
      0
    ),
    1
  ),
  """"
)"),1400.0)</f>
        <v>1400</v>
      </c>
      <c r="T150" s="20" t="str">
        <f t="shared" si="3"/>
        <v/>
      </c>
      <c r="U150" s="20" t="str">
        <f t="shared" si="4"/>
        <v/>
      </c>
      <c r="V150" s="25">
        <v>0.0</v>
      </c>
      <c r="W150" s="26">
        <v>0.0</v>
      </c>
      <c r="X150" s="26">
        <v>0.0</v>
      </c>
      <c r="Y150" s="27"/>
      <c r="Z150" s="26">
        <v>14.0</v>
      </c>
      <c r="AA150" s="26">
        <v>0.0</v>
      </c>
      <c r="AB150" s="26">
        <v>0.0</v>
      </c>
      <c r="AC150" s="27"/>
      <c r="AD150" s="27"/>
      <c r="AE150" s="10" t="s">
        <v>38</v>
      </c>
      <c r="AF150" s="10" t="s">
        <v>44</v>
      </c>
      <c r="AG150" s="27"/>
    </row>
    <row r="151" ht="15.75" customHeight="1">
      <c r="A151" s="34" t="s">
        <v>360</v>
      </c>
      <c r="B151" s="46">
        <v>2000.0</v>
      </c>
      <c r="C151" s="47" t="s">
        <v>349</v>
      </c>
      <c r="D151" s="15" t="s">
        <v>361</v>
      </c>
      <c r="E151" s="47" t="s">
        <v>362</v>
      </c>
      <c r="F151" s="36">
        <v>17.0</v>
      </c>
      <c r="G151" s="33">
        <v>0.0</v>
      </c>
      <c r="H151" s="33">
        <v>0.0</v>
      </c>
      <c r="I151" s="29">
        <v>0.0</v>
      </c>
      <c r="J151" s="19" t="str">
        <f t="shared" si="10"/>
        <v>sin oferta</v>
      </c>
      <c r="K151" s="20" t="str">
        <f t="shared" si="8"/>
        <v>NORMAL / SIN OFERTA</v>
      </c>
      <c r="L151" s="15"/>
      <c r="M151" s="20"/>
      <c r="N151" s="21">
        <v>3.0</v>
      </c>
      <c r="O151" s="22">
        <v>5.0</v>
      </c>
      <c r="P151" s="23" t="str">
        <f>IFERROR(__xludf.DUMMYFUNCTION("IFERROR(
  INDEX(
    QUERY(
      Historial!A:I,
      ""select I where B = '""&amp;A151&amp;""' order by A desc limit 1"",
      0
    ),
    1
  ),
  """"
)"),"")</f>
        <v/>
      </c>
      <c r="Q151" s="19" t="s">
        <v>43</v>
      </c>
      <c r="R151" s="24">
        <v>46346.0</v>
      </c>
      <c r="S151" s="20">
        <f>IFERROR(__xludf.DUMMYFUNCTION("IFERROR(
  INDEX(
    QUERY(
      Historial!A:G,
      ""select G where B = '""&amp;A151&amp;""' order by A desc limit 1"",
      0
    ),
    1
  ),
  """"
)"),900.0)</f>
        <v>900</v>
      </c>
      <c r="T151" s="20" t="str">
        <f t="shared" si="3"/>
        <v/>
      </c>
      <c r="U151" s="20" t="str">
        <f t="shared" si="4"/>
        <v/>
      </c>
      <c r="V151" s="25">
        <v>4.0</v>
      </c>
      <c r="W151" s="26">
        <v>14.0</v>
      </c>
      <c r="X151" s="26">
        <v>0.53</v>
      </c>
      <c r="Y151" s="26">
        <v>32.075471698113205</v>
      </c>
      <c r="Z151" s="26">
        <v>5.0</v>
      </c>
      <c r="AA151" s="26">
        <v>11.13</v>
      </c>
      <c r="AB151" s="26">
        <v>0.0</v>
      </c>
      <c r="AC151" s="27"/>
      <c r="AD151" s="26">
        <v>32.075471698113205</v>
      </c>
      <c r="AE151" s="10" t="s">
        <v>38</v>
      </c>
      <c r="AF151" s="10" t="s">
        <v>39</v>
      </c>
      <c r="AG151" s="27"/>
    </row>
    <row r="152" ht="15.75" customHeight="1">
      <c r="A152" s="34" t="s">
        <v>363</v>
      </c>
      <c r="B152" s="35">
        <v>2000.0</v>
      </c>
      <c r="C152" s="15" t="s">
        <v>364</v>
      </c>
      <c r="D152" s="15" t="s">
        <v>365</v>
      </c>
      <c r="E152" s="15"/>
      <c r="F152" s="36">
        <v>2.0</v>
      </c>
      <c r="G152" s="33">
        <v>0.0</v>
      </c>
      <c r="H152" s="33">
        <v>0.0</v>
      </c>
      <c r="I152" s="29">
        <v>0.0</v>
      </c>
      <c r="J152" s="19" t="str">
        <f t="shared" si="10"/>
        <v>sin oferta</v>
      </c>
      <c r="K152" s="20" t="str">
        <f t="shared" si="8"/>
        <v>NORMAL / SIN OFERTA</v>
      </c>
      <c r="L152" s="15"/>
      <c r="M152" s="20"/>
      <c r="N152" s="21">
        <v>2.0</v>
      </c>
      <c r="O152" s="22">
        <v>3.0</v>
      </c>
      <c r="P152" s="23" t="str">
        <f>IFERROR(__xludf.DUMMYFUNCTION("IFERROR(
  INDEX(
    QUERY(
      Historial!A:I,
      ""select I where B = '""&amp;A152&amp;""' order by A desc limit 1"",
      0
    ),
    1
  ),
  """"
)"),"")</f>
        <v/>
      </c>
      <c r="Q152" s="19" t="s">
        <v>51</v>
      </c>
      <c r="R152" s="24">
        <v>46348.0</v>
      </c>
      <c r="S152" s="20" t="str">
        <f>IFERROR(__xludf.DUMMYFUNCTION("IFERROR(
  INDEX(
    QUERY(
      Historial!A:G,
      ""select G where B = '""&amp;A152&amp;""' order by A desc limit 1"",
      0
    ),
    1
  ),
  """"
)"),"")</f>
        <v/>
      </c>
      <c r="T152" s="20" t="str">
        <f t="shared" si="3"/>
        <v/>
      </c>
      <c r="U152" s="20" t="str">
        <f t="shared" si="4"/>
        <v/>
      </c>
      <c r="V152" s="25">
        <v>1.0</v>
      </c>
      <c r="W152" s="26">
        <v>1.0</v>
      </c>
      <c r="X152" s="26">
        <v>0.099</v>
      </c>
      <c r="Y152" s="26">
        <v>20.2020202020202</v>
      </c>
      <c r="Z152" s="26">
        <v>14.0</v>
      </c>
      <c r="AA152" s="26">
        <v>0.99</v>
      </c>
      <c r="AB152" s="26">
        <v>0.0</v>
      </c>
      <c r="AC152" s="27"/>
      <c r="AD152" s="26">
        <v>20.2020202020202</v>
      </c>
      <c r="AE152" s="10" t="s">
        <v>38</v>
      </c>
      <c r="AF152" s="10" t="s">
        <v>39</v>
      </c>
      <c r="AG152" s="27"/>
    </row>
    <row r="153" ht="15.75" customHeight="1">
      <c r="A153" s="34" t="s">
        <v>366</v>
      </c>
      <c r="B153" s="35">
        <v>2000.0</v>
      </c>
      <c r="C153" s="15" t="s">
        <v>364</v>
      </c>
      <c r="D153" s="15" t="s">
        <v>367</v>
      </c>
      <c r="E153" s="15"/>
      <c r="F153" s="41">
        <v>5.0</v>
      </c>
      <c r="G153" s="33">
        <v>0.0</v>
      </c>
      <c r="H153" s="33">
        <v>0.0</v>
      </c>
      <c r="I153" s="29">
        <v>0.0</v>
      </c>
      <c r="J153" s="19" t="str">
        <f t="shared" si="10"/>
        <v>sin oferta</v>
      </c>
      <c r="K153" s="20" t="str">
        <f t="shared" si="8"/>
        <v>NORMAL / SIN OFERTA</v>
      </c>
      <c r="L153" s="15"/>
      <c r="M153" s="20"/>
      <c r="N153" s="21">
        <v>0.0</v>
      </c>
      <c r="O153" s="22">
        <v>3.0</v>
      </c>
      <c r="P153" s="23" t="str">
        <f>IFERROR(__xludf.DUMMYFUNCTION("IFERROR(
  INDEX(
    QUERY(
      Historial!A:I,
      ""select I where B = '""&amp;A153&amp;""' order by A desc limit 1"",
      0
    ),
    1
  ),
  """"
)"),"")</f>
        <v/>
      </c>
      <c r="Q153" s="19" t="s">
        <v>60</v>
      </c>
      <c r="R153" s="24">
        <v>46350.0</v>
      </c>
      <c r="S153" s="20" t="str">
        <f>IFERROR(__xludf.DUMMYFUNCTION("IFERROR(
  INDEX(
    QUERY(
      Historial!A:G,
      ""select G where B = '""&amp;A153&amp;""' order by A desc limit 1"",
      0
    ),
    1
  ),
  """"
)"),"")</f>
        <v/>
      </c>
      <c r="T153" s="20" t="str">
        <f t="shared" si="3"/>
        <v/>
      </c>
      <c r="U153" s="20" t="str">
        <f t="shared" si="4"/>
        <v/>
      </c>
      <c r="V153" s="25">
        <v>0.0</v>
      </c>
      <c r="W153" s="26">
        <v>0.0</v>
      </c>
      <c r="X153" s="26">
        <v>0.0</v>
      </c>
      <c r="Y153" s="27"/>
      <c r="Z153" s="26">
        <v>21.0</v>
      </c>
      <c r="AA153" s="26">
        <v>0.0</v>
      </c>
      <c r="AB153" s="26">
        <v>0.0</v>
      </c>
      <c r="AC153" s="27"/>
      <c r="AD153" s="27"/>
      <c r="AE153" s="10" t="s">
        <v>38</v>
      </c>
      <c r="AF153" s="10" t="s">
        <v>44</v>
      </c>
      <c r="AG153" s="27"/>
    </row>
    <row r="154" ht="15.75" customHeight="1">
      <c r="A154" s="31" t="s">
        <v>368</v>
      </c>
      <c r="B154" s="20">
        <v>1800.0</v>
      </c>
      <c r="C154" s="20" t="s">
        <v>364</v>
      </c>
      <c r="D154" s="15" t="s">
        <v>369</v>
      </c>
      <c r="E154" s="20" t="s">
        <v>47</v>
      </c>
      <c r="F154" s="39">
        <v>3.0</v>
      </c>
      <c r="G154" s="40">
        <v>0.0</v>
      </c>
      <c r="H154" s="40">
        <v>0.0</v>
      </c>
      <c r="I154" s="40">
        <v>0.0</v>
      </c>
      <c r="J154" s="19" t="str">
        <f t="shared" si="10"/>
        <v>sin oferta</v>
      </c>
      <c r="K154" s="20" t="str">
        <f t="shared" si="8"/>
        <v>NORMAL / SIN OFERTA</v>
      </c>
      <c r="L154" s="20">
        <v>0.0</v>
      </c>
      <c r="M154" s="20">
        <v>0.0</v>
      </c>
      <c r="N154" s="21">
        <v>0.0</v>
      </c>
      <c r="O154" s="22">
        <v>2.0</v>
      </c>
      <c r="P154" s="23">
        <f>IFERROR(__xludf.DUMMYFUNCTION("IFERROR(
  INDEX(
    QUERY(
      Historial!A:I,
      ""select I where B = '""&amp;A154&amp;""' order by A desc limit 1"",
      0
    ),
    1
  ),
  """"
)"),46402.0)</f>
        <v>46402</v>
      </c>
      <c r="Q154" s="19" t="s">
        <v>37</v>
      </c>
      <c r="R154" s="24">
        <v>46352.0</v>
      </c>
      <c r="S154" s="20">
        <f>IFERROR(__xludf.DUMMYFUNCTION("IFERROR(
  INDEX(
    QUERY(
      Historial!A:G,
      ""select G where B = '""&amp;A154&amp;""' order by A desc limit 1"",
      0
    ),
    1
  ),
  """"
)"),994.0)</f>
        <v>994</v>
      </c>
      <c r="T154" s="20" t="str">
        <f t="shared" si="3"/>
        <v>✅ OK</v>
      </c>
      <c r="U154" s="20" t="str">
        <f t="shared" si="4"/>
        <v/>
      </c>
      <c r="V154" s="25">
        <v>0.0</v>
      </c>
      <c r="W154" s="26">
        <v>0.0</v>
      </c>
      <c r="X154" s="26">
        <v>0.0</v>
      </c>
      <c r="Y154" s="27"/>
      <c r="Z154" s="26">
        <v>14.0</v>
      </c>
      <c r="AA154" s="26">
        <v>0.0</v>
      </c>
      <c r="AB154" s="26">
        <v>0.0</v>
      </c>
      <c r="AC154" s="26">
        <v>310.0</v>
      </c>
      <c r="AD154" s="27"/>
      <c r="AE154" s="10" t="s">
        <v>38</v>
      </c>
      <c r="AF154" s="10" t="s">
        <v>44</v>
      </c>
      <c r="AG154" s="27"/>
    </row>
    <row r="155" ht="15.75" customHeight="1">
      <c r="A155" s="34" t="s">
        <v>370</v>
      </c>
      <c r="B155" s="35">
        <v>2000.0</v>
      </c>
      <c r="C155" s="15" t="s">
        <v>364</v>
      </c>
      <c r="D155" s="15" t="s">
        <v>371</v>
      </c>
      <c r="E155" s="15" t="s">
        <v>47</v>
      </c>
      <c r="F155" s="44">
        <v>3.0</v>
      </c>
      <c r="G155" s="33">
        <v>0.0</v>
      </c>
      <c r="H155" s="33">
        <v>0.0</v>
      </c>
      <c r="I155" s="29">
        <v>0.0</v>
      </c>
      <c r="J155" s="19" t="str">
        <f t="shared" si="10"/>
        <v>sin oferta</v>
      </c>
      <c r="K155" s="20" t="str">
        <f t="shared" si="8"/>
        <v>NORMAL / SIN OFERTA</v>
      </c>
      <c r="L155" s="15"/>
      <c r="M155" s="20"/>
      <c r="N155" s="21">
        <v>1.0</v>
      </c>
      <c r="O155" s="22">
        <v>2.0</v>
      </c>
      <c r="P155" s="23" t="str">
        <f>IFERROR(__xludf.DUMMYFUNCTION("IFERROR(
  INDEX(
    QUERY(
      Historial!A:I,
      ""select I where B = '""&amp;A155&amp;""' order by A desc limit 1"",
      0
    ),
    1
  ),
  """"
)"),"")</f>
        <v/>
      </c>
      <c r="Q155" s="19" t="s">
        <v>51</v>
      </c>
      <c r="R155" s="24">
        <v>46355.0</v>
      </c>
      <c r="S155" s="20">
        <f>IFERROR(__xludf.DUMMYFUNCTION("IFERROR(
  INDEX(
    QUERY(
      Historial!A:G,
      ""select G where B = '""&amp;A155&amp;""' order by A desc limit 1"",
      0
    ),
    1
  ),
  """"
)"),1200.0)</f>
        <v>1200</v>
      </c>
      <c r="T155" s="20" t="str">
        <f t="shared" si="3"/>
        <v/>
      </c>
      <c r="U155" s="20" t="str">
        <f t="shared" si="4"/>
        <v/>
      </c>
      <c r="V155" s="25">
        <v>0.0</v>
      </c>
      <c r="W155" s="26">
        <v>1.0</v>
      </c>
      <c r="X155" s="26">
        <v>0.013</v>
      </c>
      <c r="Y155" s="26">
        <v>230.76923076923077</v>
      </c>
      <c r="Z155" s="26">
        <v>14.0</v>
      </c>
      <c r="AA155" s="26">
        <v>0.13</v>
      </c>
      <c r="AB155" s="26">
        <v>0.0</v>
      </c>
      <c r="AC155" s="27"/>
      <c r="AD155" s="26">
        <v>230.76923076923077</v>
      </c>
      <c r="AE155" s="10" t="s">
        <v>38</v>
      </c>
      <c r="AF155" s="10" t="s">
        <v>39</v>
      </c>
      <c r="AG155" s="27"/>
    </row>
    <row r="156" ht="15.75" customHeight="1">
      <c r="A156" s="34" t="s">
        <v>372</v>
      </c>
      <c r="B156" s="35">
        <v>1400.0</v>
      </c>
      <c r="C156" s="15" t="s">
        <v>364</v>
      </c>
      <c r="D156" s="15" t="s">
        <v>373</v>
      </c>
      <c r="E156" s="15"/>
      <c r="F156" s="36">
        <v>2.0</v>
      </c>
      <c r="G156" s="33">
        <v>0.0</v>
      </c>
      <c r="H156" s="33">
        <v>0.0</v>
      </c>
      <c r="I156" s="29">
        <v>1.0</v>
      </c>
      <c r="J156" s="19" t="str">
        <f t="shared" si="10"/>
        <v>especial</v>
      </c>
      <c r="K156" s="20">
        <f t="shared" si="8"/>
        <v>1260</v>
      </c>
      <c r="L156" s="15"/>
      <c r="M156" s="20"/>
      <c r="N156" s="21">
        <v>3.0</v>
      </c>
      <c r="O156" s="22">
        <v>2.0</v>
      </c>
      <c r="P156" s="23" t="str">
        <f>IFERROR(__xludf.DUMMYFUNCTION("IFERROR(
  INDEX(
    QUERY(
      Historial!A:I,
      ""select I where B = '""&amp;A156&amp;""' order by A desc limit 1"",
      0
    ),
    1
  ),
  """"
)"),"")</f>
        <v/>
      </c>
      <c r="Q156" s="19" t="s">
        <v>37</v>
      </c>
      <c r="R156" s="24">
        <v>46359.0</v>
      </c>
      <c r="S156" s="20" t="str">
        <f>IFERROR(__xludf.DUMMYFUNCTION("IFERROR(
  INDEX(
    QUERY(
      Historial!A:G,
      ""select G where B = '""&amp;A156&amp;""' order by A desc limit 1"",
      0
    ),
    1
  ),
  """"
)"),"")</f>
        <v/>
      </c>
      <c r="T156" s="20" t="str">
        <f t="shared" si="3"/>
        <v/>
      </c>
      <c r="U156" s="20" t="str">
        <f t="shared" si="4"/>
        <v/>
      </c>
      <c r="V156" s="25">
        <v>1.0</v>
      </c>
      <c r="W156" s="26">
        <v>1.0</v>
      </c>
      <c r="X156" s="26">
        <v>0.099</v>
      </c>
      <c r="Y156" s="26">
        <v>20.2020202020202</v>
      </c>
      <c r="Z156" s="26">
        <v>21.0</v>
      </c>
      <c r="AA156" s="26">
        <v>0.6930000000000001</v>
      </c>
      <c r="AB156" s="26">
        <v>1.0</v>
      </c>
      <c r="AC156" s="27"/>
      <c r="AD156" s="26">
        <v>20.2020202020202</v>
      </c>
      <c r="AE156" s="10" t="s">
        <v>38</v>
      </c>
      <c r="AF156" s="10" t="s">
        <v>39</v>
      </c>
      <c r="AG156" s="27"/>
    </row>
    <row r="157" ht="15.75" customHeight="1">
      <c r="A157" s="34" t="s">
        <v>374</v>
      </c>
      <c r="B157" s="46">
        <v>2300.0</v>
      </c>
      <c r="C157" s="15" t="s">
        <v>364</v>
      </c>
      <c r="D157" s="15" t="s">
        <v>375</v>
      </c>
      <c r="E157" s="15" t="s">
        <v>47</v>
      </c>
      <c r="F157" s="36">
        <v>3.0</v>
      </c>
      <c r="G157" s="33">
        <v>0.0</v>
      </c>
      <c r="H157" s="33">
        <v>0.0</v>
      </c>
      <c r="I157" s="29">
        <v>0.0</v>
      </c>
      <c r="J157" s="19" t="str">
        <f t="shared" si="10"/>
        <v>sin oferta</v>
      </c>
      <c r="K157" s="20" t="str">
        <f t="shared" si="8"/>
        <v>NORMAL / SIN OFERTA</v>
      </c>
      <c r="L157" s="15"/>
      <c r="M157" s="20"/>
      <c r="N157" s="21">
        <v>3.0</v>
      </c>
      <c r="O157" s="22">
        <v>2.0</v>
      </c>
      <c r="P157" s="23">
        <f>IFERROR(__xludf.DUMMYFUNCTION("IFERROR(
  INDEX(
    QUERY(
      Historial!A:I,
      ""select I where B = '""&amp;A157&amp;""' order by A desc limit 1"",
      0
    ),
    1
  ),
  """"
)"),46225.0)</f>
        <v>46225</v>
      </c>
      <c r="Q157" s="19" t="s">
        <v>43</v>
      </c>
      <c r="R157" s="24">
        <v>46367.0</v>
      </c>
      <c r="S157" s="20">
        <f>IFERROR(__xludf.DUMMYFUNCTION("IFERROR(
  INDEX(
    QUERY(
      Historial!A:G,
      ""select G where B = '""&amp;A157&amp;""' order by A desc limit 1"",
      0
    ),
    1
  ),
  """"
)"),1233.0)</f>
        <v>1233</v>
      </c>
      <c r="T157" s="20" t="str">
        <f t="shared" si="3"/>
        <v>✅ OK</v>
      </c>
      <c r="U157" s="20" t="str">
        <f t="shared" si="4"/>
        <v/>
      </c>
      <c r="V157" s="25">
        <v>1.0</v>
      </c>
      <c r="W157" s="26">
        <v>1.0</v>
      </c>
      <c r="X157" s="26">
        <v>0.099</v>
      </c>
      <c r="Y157" s="26">
        <v>30.3030303030303</v>
      </c>
      <c r="Z157" s="26">
        <v>21.0</v>
      </c>
      <c r="AA157" s="26">
        <v>0.6930000000000001</v>
      </c>
      <c r="AB157" s="26">
        <v>0.0</v>
      </c>
      <c r="AC157" s="26">
        <v>133.0</v>
      </c>
      <c r="AD157" s="26">
        <v>30.3030303030303</v>
      </c>
      <c r="AE157" s="10" t="s">
        <v>38</v>
      </c>
      <c r="AF157" s="10" t="s">
        <v>39</v>
      </c>
      <c r="AG157" s="27"/>
    </row>
    <row r="158" ht="15.75" customHeight="1">
      <c r="A158" s="31" t="s">
        <v>376</v>
      </c>
      <c r="B158" s="20">
        <v>2300.0</v>
      </c>
      <c r="C158" s="20" t="s">
        <v>364</v>
      </c>
      <c r="D158" s="15" t="s">
        <v>377</v>
      </c>
      <c r="E158" s="20" t="s">
        <v>47</v>
      </c>
      <c r="F158" s="39">
        <v>3.0</v>
      </c>
      <c r="G158" s="40">
        <v>0.0</v>
      </c>
      <c r="H158" s="40">
        <v>0.0</v>
      </c>
      <c r="I158" s="40">
        <v>0.0</v>
      </c>
      <c r="J158" s="19" t="str">
        <f t="shared" si="10"/>
        <v>sin oferta</v>
      </c>
      <c r="K158" s="20" t="str">
        <f t="shared" si="8"/>
        <v>NORMAL / SIN OFERTA</v>
      </c>
      <c r="L158" s="20">
        <v>0.0</v>
      </c>
      <c r="M158" s="20">
        <v>0.0</v>
      </c>
      <c r="N158" s="21">
        <v>0.0</v>
      </c>
      <c r="O158" s="22">
        <v>2.0</v>
      </c>
      <c r="P158" s="23">
        <f>IFERROR(__xludf.DUMMYFUNCTION("IFERROR(
  INDEX(
    QUERY(
      Historial!A:I,
      ""select I where B = '""&amp;A158&amp;""' order by A desc limit 1"",
      0
    ),
    1
  ),
  """"
)"),46716.0)</f>
        <v>46716</v>
      </c>
      <c r="Q158" s="19" t="s">
        <v>63</v>
      </c>
      <c r="R158" s="24">
        <v>46372.0</v>
      </c>
      <c r="S158" s="20">
        <f>IFERROR(__xludf.DUMMYFUNCTION("IFERROR(
  INDEX(
    QUERY(
      Historial!A:G,
      ""select G where B = '""&amp;A158&amp;""' order by A desc limit 1"",
      0
    ),
    1
  ),
  """"
)"),1352.0)</f>
        <v>1352</v>
      </c>
      <c r="T158" s="20" t="str">
        <f t="shared" si="3"/>
        <v>✅ OK</v>
      </c>
      <c r="U158" s="20" t="str">
        <f t="shared" si="4"/>
        <v/>
      </c>
      <c r="V158" s="25">
        <v>0.0</v>
      </c>
      <c r="W158" s="26">
        <v>0.0</v>
      </c>
      <c r="X158" s="26">
        <v>0.0</v>
      </c>
      <c r="Y158" s="27"/>
      <c r="Z158" s="26">
        <v>21.0</v>
      </c>
      <c r="AA158" s="26">
        <v>0.0</v>
      </c>
      <c r="AB158" s="26">
        <v>0.0</v>
      </c>
      <c r="AC158" s="26">
        <v>624.0</v>
      </c>
      <c r="AD158" s="27"/>
      <c r="AE158" s="10" t="s">
        <v>38</v>
      </c>
      <c r="AF158" s="10" t="s">
        <v>44</v>
      </c>
      <c r="AG158" s="27"/>
    </row>
    <row r="159" ht="15.75" customHeight="1">
      <c r="A159" s="31" t="s">
        <v>378</v>
      </c>
      <c r="B159" s="20">
        <v>800.0</v>
      </c>
      <c r="C159" s="20" t="s">
        <v>364</v>
      </c>
      <c r="D159" s="15" t="s">
        <v>379</v>
      </c>
      <c r="E159" s="20" t="s">
        <v>47</v>
      </c>
      <c r="F159" s="39">
        <v>3.0</v>
      </c>
      <c r="G159" s="40">
        <v>0.0</v>
      </c>
      <c r="H159" s="40">
        <v>0.0</v>
      </c>
      <c r="I159" s="40">
        <v>0.0</v>
      </c>
      <c r="J159" s="19" t="str">
        <f t="shared" si="10"/>
        <v>sin oferta</v>
      </c>
      <c r="K159" s="20" t="str">
        <f t="shared" si="8"/>
        <v>NORMAL / SIN OFERTA</v>
      </c>
      <c r="L159" s="20">
        <v>0.0</v>
      </c>
      <c r="M159" s="20">
        <v>0.0</v>
      </c>
      <c r="N159" s="21">
        <v>0.0</v>
      </c>
      <c r="O159" s="22">
        <v>2.0</v>
      </c>
      <c r="P159" s="23">
        <f>IFERROR(__xludf.DUMMYFUNCTION("IFERROR(
  INDEX(
    QUERY(
      Historial!A:I,
      ""select I where B = '""&amp;A159&amp;""' order by A desc limit 1"",
      0
    ),
    1
  ),
  """"
)"),46381.0)</f>
        <v>46381</v>
      </c>
      <c r="Q159" s="19" t="s">
        <v>37</v>
      </c>
      <c r="R159" s="24">
        <v>46373.0</v>
      </c>
      <c r="S159" s="20">
        <f>IFERROR(__xludf.DUMMYFUNCTION("IFERROR(
  INDEX(
    QUERY(
      Historial!A:G,
      ""select G where B = '""&amp;A159&amp;""' order by A desc limit 1"",
      0
    ),
    1
  ),
  """"
)"),430.0)</f>
        <v>430</v>
      </c>
      <c r="T159" s="20" t="str">
        <f t="shared" si="3"/>
        <v>✅ OK</v>
      </c>
      <c r="U159" s="20" t="str">
        <f t="shared" si="4"/>
        <v/>
      </c>
      <c r="V159" s="25">
        <v>0.0</v>
      </c>
      <c r="W159" s="26">
        <v>0.0</v>
      </c>
      <c r="X159" s="26">
        <v>0.0</v>
      </c>
      <c r="Y159" s="27"/>
      <c r="Z159" s="26">
        <v>14.0</v>
      </c>
      <c r="AA159" s="26">
        <v>0.0</v>
      </c>
      <c r="AB159" s="26">
        <v>0.0</v>
      </c>
      <c r="AC159" s="26">
        <v>289.0</v>
      </c>
      <c r="AD159" s="27"/>
      <c r="AE159" s="10" t="s">
        <v>38</v>
      </c>
      <c r="AF159" s="10" t="s">
        <v>44</v>
      </c>
      <c r="AG159" s="27"/>
    </row>
    <row r="160" ht="15.75" customHeight="1">
      <c r="A160" s="31" t="s">
        <v>380</v>
      </c>
      <c r="B160" s="20">
        <v>1400.0</v>
      </c>
      <c r="C160" s="20" t="s">
        <v>364</v>
      </c>
      <c r="D160" s="15" t="s">
        <v>381</v>
      </c>
      <c r="E160" s="20" t="s">
        <v>47</v>
      </c>
      <c r="F160" s="32">
        <v>2.0</v>
      </c>
      <c r="G160" s="40">
        <v>0.0</v>
      </c>
      <c r="H160" s="40">
        <v>0.0</v>
      </c>
      <c r="I160" s="40">
        <v>0.0</v>
      </c>
      <c r="J160" s="19" t="str">
        <f t="shared" si="10"/>
        <v>sin oferta</v>
      </c>
      <c r="K160" s="20" t="str">
        <f t="shared" si="8"/>
        <v>NORMAL / SIN OFERTA</v>
      </c>
      <c r="L160" s="20">
        <v>0.0</v>
      </c>
      <c r="M160" s="20">
        <v>0.0</v>
      </c>
      <c r="N160" s="21">
        <v>2.0</v>
      </c>
      <c r="O160" s="22">
        <v>2.0</v>
      </c>
      <c r="P160" s="23">
        <f>IFERROR(__xludf.DUMMYFUNCTION("IFERROR(
  INDEX(
    QUERY(
      Historial!A:I,
      ""select I where B = '""&amp;A160&amp;""' order by A desc limit 1"",
      0
    ),
    1
  ),
  """"
)"),46721.0)</f>
        <v>46721</v>
      </c>
      <c r="Q160" s="19" t="s">
        <v>43</v>
      </c>
      <c r="R160" s="24">
        <v>46374.0</v>
      </c>
      <c r="S160" s="20">
        <f>IFERROR(__xludf.DUMMYFUNCTION("IFERROR(
  INDEX(
    QUERY(
      Historial!A:G,
      ""select G where B = '""&amp;A160&amp;""' order by A desc limit 1"",
      0
    ),
    1
  ),
  """"
)"),676.0)</f>
        <v>676</v>
      </c>
      <c r="T160" s="20" t="str">
        <f t="shared" si="3"/>
        <v>✅ OK</v>
      </c>
      <c r="U160" s="20" t="str">
        <f t="shared" si="4"/>
        <v/>
      </c>
      <c r="V160" s="25">
        <v>1.0</v>
      </c>
      <c r="W160" s="26">
        <v>1.0</v>
      </c>
      <c r="X160" s="26">
        <v>0.099</v>
      </c>
      <c r="Y160" s="26">
        <v>20.2020202020202</v>
      </c>
      <c r="Z160" s="26">
        <v>14.0</v>
      </c>
      <c r="AA160" s="26">
        <v>0.99</v>
      </c>
      <c r="AB160" s="26">
        <v>0.0</v>
      </c>
      <c r="AC160" s="26">
        <v>629.0</v>
      </c>
      <c r="AD160" s="26">
        <v>20.2020202020202</v>
      </c>
      <c r="AE160" s="10" t="s">
        <v>38</v>
      </c>
      <c r="AF160" s="10" t="s">
        <v>39</v>
      </c>
      <c r="AG160" s="27"/>
    </row>
    <row r="161" ht="15.75" customHeight="1">
      <c r="A161" s="34" t="s">
        <v>382</v>
      </c>
      <c r="B161" s="46">
        <v>2000.0</v>
      </c>
      <c r="C161" s="47" t="s">
        <v>383</v>
      </c>
      <c r="D161" s="15" t="s">
        <v>384</v>
      </c>
      <c r="E161" s="47" t="s">
        <v>385</v>
      </c>
      <c r="F161" s="36">
        <v>19.689999999999998</v>
      </c>
      <c r="G161" s="33">
        <v>0.0</v>
      </c>
      <c r="H161" s="33">
        <v>0.0</v>
      </c>
      <c r="I161" s="29">
        <v>0.0</v>
      </c>
      <c r="J161" s="19" t="str">
        <f t="shared" si="10"/>
        <v>sin oferta</v>
      </c>
      <c r="K161" s="20" t="str">
        <f t="shared" si="8"/>
        <v>NORMAL / SIN OFERTA</v>
      </c>
      <c r="L161" s="15"/>
      <c r="M161" s="20"/>
      <c r="N161" s="21">
        <v>0.0</v>
      </c>
      <c r="O161" s="22">
        <v>2.0</v>
      </c>
      <c r="P161" s="23" t="str">
        <f>IFERROR(__xludf.DUMMYFUNCTION("IFERROR(
  INDEX(
    QUERY(
      Historial!A:I,
      ""select I where B = '""&amp;A161&amp;""' order by A desc limit 1"",
      0
    ),
    1
  ),
  """"
)"),"")</f>
        <v/>
      </c>
      <c r="Q161" s="19" t="s">
        <v>37</v>
      </c>
      <c r="R161" s="24">
        <v>46429.0</v>
      </c>
      <c r="S161" s="20">
        <f>IFERROR(__xludf.DUMMYFUNCTION("IFERROR(
  INDEX(
    QUERY(
      Historial!A:G,
      ""select G where B = '""&amp;A161&amp;""' order by A desc limit 1"",
      0
    ),
    1
  ),
  """"
)"),800.0)</f>
        <v>800</v>
      </c>
      <c r="T161" s="20" t="str">
        <f t="shared" si="3"/>
        <v/>
      </c>
      <c r="U161" s="20" t="str">
        <f t="shared" si="4"/>
        <v/>
      </c>
      <c r="V161" s="25">
        <v>0.0</v>
      </c>
      <c r="W161" s="26">
        <v>0.0</v>
      </c>
      <c r="X161" s="26">
        <v>0.0</v>
      </c>
      <c r="Y161" s="27"/>
      <c r="Z161" s="26">
        <v>21.0</v>
      </c>
      <c r="AA161" s="26">
        <v>0.0</v>
      </c>
      <c r="AB161" s="26">
        <v>0.0</v>
      </c>
      <c r="AC161" s="27"/>
      <c r="AD161" s="27"/>
      <c r="AE161" s="10" t="s">
        <v>38</v>
      </c>
      <c r="AF161" s="10" t="s">
        <v>44</v>
      </c>
      <c r="AG161" s="27"/>
    </row>
    <row r="162" ht="15.75" customHeight="1">
      <c r="A162" s="31" t="s">
        <v>386</v>
      </c>
      <c r="B162" s="55">
        <v>900.0</v>
      </c>
      <c r="C162" s="56" t="s">
        <v>297</v>
      </c>
      <c r="D162" s="15" t="s">
        <v>387</v>
      </c>
      <c r="E162" s="56" t="s">
        <v>385</v>
      </c>
      <c r="F162" s="32">
        <v>15.0</v>
      </c>
      <c r="G162" s="40">
        <v>0.0</v>
      </c>
      <c r="H162" s="40">
        <v>0.0</v>
      </c>
      <c r="I162" s="40">
        <v>0.0</v>
      </c>
      <c r="J162" s="19" t="str">
        <f t="array" ref="J162">IF(
  A162="",
  "",
  IF(
    F162=0,
    "sin stock",
    IF(
      NOT(OR(I162=0,I162=1)),
      "ERROR ESPECIAL",
      IF(
        NOT(ISNUMBER(MATCH(G162,{0;1;2;3;4;5;6;10;11;12;13;14},0))),
        "ERROR RELAMPAGO",
        IF(
          OR(H162&gt;70,AND(H162&gt;0,H162&lt;15)),
          "ERROR DESTACADA",
          IF(
            (I162=1)+(H162&gt;0)+(G162&gt;0)&gt;1,
            "ERROR DOBLE OFERTA",
            IF(
              I162=1,
              "especial",
              IF(
                H162&gt;0,
                "destacada",
                IF(
                  G162&gt;0,
                  IF(
                    OR(
                      AND(G162&lt;=6,F162&lt;(G162+1)),
                      AND(G162=10,F162&lt;2),
                      AND(G162&gt;=11,F162&lt;1)
                    ),
                    "REPONER "&amp;
                    IF(G162&lt;=6,G162+1-F162,
                       IF(G162=10,2-F162,
                          1-F162
                       )
                    )&amp;
                    " PARA PROMO",
                    IF(
                      G162&lt;=6,
                      "relampago "&amp;(G162+1)&amp;"x"&amp;G162,
                      IF(
                        G162=10,
                        "2da50off",
                        IF(
                          G162&gt;=11,
                          "relampago "&amp;CHOOSE(G162-10,10,15,20,25)&amp;"%",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sin oferta</v>
      </c>
      <c r="K162" s="20" t="str">
        <f t="shared" si="8"/>
        <v>NORMAL / SIN OFERTA</v>
      </c>
      <c r="L162" s="20">
        <v>0.0</v>
      </c>
      <c r="M162" s="20">
        <v>0.0</v>
      </c>
      <c r="N162" s="21">
        <v>0.0</v>
      </c>
      <c r="O162" s="22">
        <v>2.0</v>
      </c>
      <c r="P162" s="23">
        <f>IFERROR(__xludf.DUMMYFUNCTION("IFERROR(
  INDEX(
    QUERY(
      Historial!A:I,
      ""select I where B = '""&amp;A162&amp;""' order by A desc limit 1"",
      0
    ),
    1
  ),
  """"
)"),46630.0)</f>
        <v>46630</v>
      </c>
      <c r="Q162" s="19" t="s">
        <v>43</v>
      </c>
      <c r="R162" s="24">
        <v>46430.0</v>
      </c>
      <c r="S162" s="20">
        <f>IFERROR(__xludf.DUMMYFUNCTION("IFERROR(
  INDEX(
    QUERY(
      Historial!A:G,
      ""select G where B = '""&amp;A162&amp;""' order by A desc limit 1"",
      0
    ),
    1
  ),
  """"
)"),500.0)</f>
        <v>500</v>
      </c>
      <c r="T162" s="20" t="str">
        <f t="shared" si="3"/>
        <v>✅ OK</v>
      </c>
      <c r="U162" s="20" t="str">
        <f t="shared" si="4"/>
        <v/>
      </c>
      <c r="V162" s="25">
        <v>0.0</v>
      </c>
      <c r="W162" s="26">
        <v>0.0</v>
      </c>
      <c r="X162" s="26">
        <v>0.0</v>
      </c>
      <c r="Y162" s="27"/>
      <c r="Z162" s="26">
        <v>14.0</v>
      </c>
      <c r="AA162" s="26">
        <v>0.0</v>
      </c>
      <c r="AB162" s="26">
        <v>0.0</v>
      </c>
      <c r="AC162" s="26">
        <v>538.0</v>
      </c>
      <c r="AD162" s="27"/>
      <c r="AE162" s="10" t="s">
        <v>38</v>
      </c>
      <c r="AF162" s="10" t="s">
        <v>44</v>
      </c>
      <c r="AG162" s="27"/>
    </row>
    <row r="163" ht="15.75" customHeight="1">
      <c r="A163" s="59" t="s">
        <v>388</v>
      </c>
      <c r="B163" s="60">
        <v>7000.0</v>
      </c>
      <c r="C163" s="61" t="s">
        <v>383</v>
      </c>
      <c r="D163" s="15" t="s">
        <v>389</v>
      </c>
      <c r="E163" s="62"/>
      <c r="F163" s="36">
        <v>6.777</v>
      </c>
      <c r="G163" s="33">
        <v>0.0</v>
      </c>
      <c r="H163" s="33">
        <v>0.0</v>
      </c>
      <c r="I163" s="29">
        <v>0.0</v>
      </c>
      <c r="J163" s="19" t="str">
        <f t="shared" ref="J163:J214" si="11">IF(
A163="",
"",
IF(
F163=0,
"sin stock",
IF(
NOT(OR(I163=0,I163=1)),
"ERROR ESPECIAL",
IF(
NOT(ISNUMBER(MATCH(G163,{0;1;2;3;4;5;6;10;11;12;13;14},0))),
"ERROR RELAMPAGO",
IF(
OR(H163&gt;70,AND(H163&gt;0,H163&lt;15)),
"ERROR DESTACADA",
IF(
(I163=1)+(H163&gt;0)+(G163&gt;0)&gt;1,
"ERROR DOBLE OFERTA",
IF(
I163=1,
"especial",
IF(
H163&gt;0,
"destacada",
IF(
G163&gt;0,
IF(
OR(
AND(G163&lt;=6,F163&lt;(G163+1)),
AND(G163=10,F163&lt;2),
AND(G163&gt;=11,F163&lt;1)
),
"REPONER "&amp;
IF(G163&lt;=6,G163+1-F163,
IF(G163=10,2-F163,
1-
F163)
)&amp;
" PARA PROMO",
IF(
G163&lt;=6,
"relampago "&amp;(G163+1)&amp;"x"&amp;G163,
IF(
G163=10,
"2da50off",
IF(
G163&gt;=11,
"relampago "&amp;CHOOSE(G163-10,10,15,20,25)&amp;"%",
"relampago"
)
)
)
),
"sin oferta"
)
)
)
)
)
)
)
)
)</f>
        <v>sin oferta</v>
      </c>
      <c r="K163" s="20" t="str">
        <f t="shared" si="8"/>
        <v>NORMAL / SIN OFERTA</v>
      </c>
      <c r="L163" s="15"/>
      <c r="M163" s="20"/>
      <c r="N163" s="21">
        <v>0.0</v>
      </c>
      <c r="O163" s="22">
        <v>2.0</v>
      </c>
      <c r="P163" s="23" t="str">
        <f>IFERROR(__xludf.DUMMYFUNCTION("IFERROR(
  INDEX(
    QUERY(
      Historial!A:I,
      ""select I where B = '""&amp;A163&amp;""' order by A desc limit 1"",
      0
    ),
    1
  ),
  """"
)"),"")</f>
        <v/>
      </c>
      <c r="Q163" s="19" t="s">
        <v>51</v>
      </c>
      <c r="R163" s="24">
        <v>46432.0</v>
      </c>
      <c r="S163" s="20">
        <f>IFERROR(__xludf.DUMMYFUNCTION("IFERROR(
  INDEX(
    QUERY(
      Historial!A:G,
      ""select G where B = '""&amp;A163&amp;""' order by A desc limit 1"",
      0
    ),
    1
  ),
  """"
)"),5000.0)</f>
        <v>5000</v>
      </c>
      <c r="T163" s="20" t="str">
        <f t="shared" si="3"/>
        <v/>
      </c>
      <c r="U163" s="20" t="str">
        <f t="shared" si="4"/>
        <v/>
      </c>
      <c r="V163" s="25">
        <v>0.0</v>
      </c>
      <c r="W163" s="26">
        <v>0.0</v>
      </c>
      <c r="X163" s="26">
        <v>0.0</v>
      </c>
      <c r="Y163" s="27"/>
      <c r="Z163" s="26">
        <v>14.0</v>
      </c>
      <c r="AA163" s="26">
        <v>0.0</v>
      </c>
      <c r="AB163" s="26">
        <v>0.0</v>
      </c>
      <c r="AC163" s="27"/>
      <c r="AD163" s="27"/>
      <c r="AE163" s="10" t="s">
        <v>38</v>
      </c>
      <c r="AF163" s="10" t="s">
        <v>44</v>
      </c>
      <c r="AG163" s="27"/>
    </row>
    <row r="164" ht="15.75" customHeight="1">
      <c r="A164" s="31" t="s">
        <v>390</v>
      </c>
      <c r="B164" s="55">
        <v>3000.0</v>
      </c>
      <c r="C164" s="56" t="s">
        <v>383</v>
      </c>
      <c r="D164" s="15" t="s">
        <v>391</v>
      </c>
      <c r="E164" s="56" t="s">
        <v>385</v>
      </c>
      <c r="F164" s="32">
        <v>9.0</v>
      </c>
      <c r="G164" s="40">
        <v>0.0</v>
      </c>
      <c r="H164" s="40">
        <v>0.0</v>
      </c>
      <c r="I164" s="40">
        <v>0.0</v>
      </c>
      <c r="J164" s="19" t="str">
        <f t="shared" si="11"/>
        <v>sin oferta</v>
      </c>
      <c r="K164" s="20" t="str">
        <f t="shared" si="8"/>
        <v>NORMAL / SIN OFERTA</v>
      </c>
      <c r="L164" s="20">
        <v>0.0</v>
      </c>
      <c r="M164" s="20">
        <v>0.0</v>
      </c>
      <c r="N164" s="21">
        <v>0.0</v>
      </c>
      <c r="O164" s="22">
        <v>2.0</v>
      </c>
      <c r="P164" s="23" t="str">
        <f>IFERROR(__xludf.DUMMYFUNCTION("IFERROR(
  INDEX(
    QUERY(
      Historial!A:I,
      ""select I where B = '""&amp;A164&amp;""' order by A desc limit 1"",
      0
    ),
    1
  ),
  """"
)"),"")</f>
        <v/>
      </c>
      <c r="Q164" s="19" t="s">
        <v>57</v>
      </c>
      <c r="R164" s="24">
        <v>46433.0</v>
      </c>
      <c r="S164" s="20">
        <f>IFERROR(__xludf.DUMMYFUNCTION("IFERROR(
  INDEX(
    QUERY(
      Historial!A:G,
      ""select G where B = '""&amp;A164&amp;""' order by A desc limit 1"",
      0
    ),
    1
  ),
  """"
)"),2000.0)</f>
        <v>2000</v>
      </c>
      <c r="T164" s="20" t="str">
        <f t="shared" si="3"/>
        <v/>
      </c>
      <c r="U164" s="20" t="str">
        <f t="shared" si="4"/>
        <v/>
      </c>
      <c r="V164" s="25">
        <v>0.0</v>
      </c>
      <c r="W164" s="26">
        <v>0.0</v>
      </c>
      <c r="X164" s="26">
        <v>0.0</v>
      </c>
      <c r="Y164" s="27"/>
      <c r="Z164" s="26">
        <v>14.0</v>
      </c>
      <c r="AA164" s="26">
        <v>0.0</v>
      </c>
      <c r="AB164" s="26">
        <v>0.0</v>
      </c>
      <c r="AC164" s="27"/>
      <c r="AD164" s="27"/>
      <c r="AE164" s="10" t="s">
        <v>38</v>
      </c>
      <c r="AF164" s="10" t="s">
        <v>44</v>
      </c>
      <c r="AG164" s="27"/>
    </row>
    <row r="165" ht="15.75" customHeight="1">
      <c r="A165" s="34" t="s">
        <v>392</v>
      </c>
      <c r="B165" s="46">
        <v>2600.0</v>
      </c>
      <c r="C165" s="47" t="s">
        <v>383</v>
      </c>
      <c r="D165" s="15" t="s">
        <v>393</v>
      </c>
      <c r="E165" s="47" t="s">
        <v>385</v>
      </c>
      <c r="F165" s="36">
        <v>9.91</v>
      </c>
      <c r="G165" s="33">
        <v>0.0</v>
      </c>
      <c r="H165" s="33">
        <v>0.0</v>
      </c>
      <c r="I165" s="29">
        <v>0.0</v>
      </c>
      <c r="J165" s="19" t="str">
        <f t="shared" si="11"/>
        <v>sin oferta</v>
      </c>
      <c r="K165" s="20" t="str">
        <f t="shared" si="8"/>
        <v>NORMAL / SIN OFERTA</v>
      </c>
      <c r="L165" s="15"/>
      <c r="M165" s="20"/>
      <c r="N165" s="21">
        <v>0.0</v>
      </c>
      <c r="O165" s="22">
        <v>2.0</v>
      </c>
      <c r="P165" s="23" t="str">
        <f>IFERROR(__xludf.DUMMYFUNCTION("IFERROR(
  INDEX(
    QUERY(
      Historial!A:I,
      ""select I where B = '""&amp;A165&amp;""' order by A desc limit 1"",
      0
    ),
    1
  ),
  """"
)"),"")</f>
        <v/>
      </c>
      <c r="Q165" s="19" t="s">
        <v>60</v>
      </c>
      <c r="R165" s="24">
        <v>46434.0</v>
      </c>
      <c r="S165" s="20">
        <f>IFERROR(__xludf.DUMMYFUNCTION("IFERROR(
  INDEX(
    QUERY(
      Historial!A:G,
      ""select G where B = '""&amp;A165&amp;""' order by A desc limit 1"",
      0
    ),
    1
  ),
  """"
)"),1800.0)</f>
        <v>1800</v>
      </c>
      <c r="T165" s="20" t="str">
        <f t="shared" si="3"/>
        <v/>
      </c>
      <c r="U165" s="20" t="str">
        <f t="shared" si="4"/>
        <v/>
      </c>
      <c r="V165" s="25">
        <v>0.0</v>
      </c>
      <c r="W165" s="26">
        <v>0.0</v>
      </c>
      <c r="X165" s="26">
        <v>0.0</v>
      </c>
      <c r="Y165" s="27"/>
      <c r="Z165" s="26">
        <v>14.0</v>
      </c>
      <c r="AA165" s="26">
        <v>0.0</v>
      </c>
      <c r="AB165" s="26">
        <v>0.0</v>
      </c>
      <c r="AC165" s="27"/>
      <c r="AD165" s="27"/>
      <c r="AE165" s="10" t="s">
        <v>38</v>
      </c>
      <c r="AF165" s="10" t="s">
        <v>44</v>
      </c>
      <c r="AG165" s="27"/>
    </row>
    <row r="166" ht="15.75" customHeight="1">
      <c r="A166" s="28" t="s">
        <v>394</v>
      </c>
      <c r="B166" s="18">
        <v>3000.0</v>
      </c>
      <c r="C166" s="57" t="s">
        <v>383</v>
      </c>
      <c r="D166" s="15" t="s">
        <v>395</v>
      </c>
      <c r="E166" s="47" t="s">
        <v>385</v>
      </c>
      <c r="F166" s="42">
        <v>6.0</v>
      </c>
      <c r="G166" s="33">
        <v>0.0</v>
      </c>
      <c r="H166" s="33">
        <v>0.0</v>
      </c>
      <c r="I166" s="29">
        <v>0.0</v>
      </c>
      <c r="J166" s="19" t="str">
        <f t="shared" si="11"/>
        <v>sin oferta</v>
      </c>
      <c r="K166" s="20" t="str">
        <f t="shared" si="8"/>
        <v>NORMAL / SIN OFERTA</v>
      </c>
      <c r="L166" s="15"/>
      <c r="M166" s="20"/>
      <c r="N166" s="21">
        <v>0.0</v>
      </c>
      <c r="O166" s="22">
        <v>2.0</v>
      </c>
      <c r="P166" s="23" t="str">
        <f>IFERROR(__xludf.DUMMYFUNCTION("IFERROR(
  INDEX(
    QUERY(
      Historial!A:I,
      ""select I where B = '""&amp;A166&amp;""' order by A desc limit 1"",
      0
    ),
    1
  ),
  """"
)"),"")</f>
        <v/>
      </c>
      <c r="Q166" s="19" t="s">
        <v>37</v>
      </c>
      <c r="R166" s="24">
        <v>46436.0</v>
      </c>
      <c r="S166" s="20">
        <f>IFERROR(__xludf.DUMMYFUNCTION("IFERROR(
  INDEX(
    QUERY(
      Historial!A:G,
      ""select G where B = '""&amp;A166&amp;""' order by A desc limit 1"",
      0
    ),
    1
  ),
  """"
)"),2000.0)</f>
        <v>2000</v>
      </c>
      <c r="T166" s="20" t="str">
        <f t="shared" si="3"/>
        <v/>
      </c>
      <c r="U166" s="20" t="str">
        <f t="shared" si="4"/>
        <v/>
      </c>
      <c r="V166" s="25">
        <v>0.0</v>
      </c>
      <c r="W166" s="26">
        <v>0.0</v>
      </c>
      <c r="X166" s="26">
        <v>0.0</v>
      </c>
      <c r="Y166" s="27"/>
      <c r="Z166" s="26">
        <v>14.0</v>
      </c>
      <c r="AA166" s="26">
        <v>0.0</v>
      </c>
      <c r="AB166" s="26">
        <v>0.0</v>
      </c>
      <c r="AC166" s="27"/>
      <c r="AD166" s="27"/>
      <c r="AE166" s="10" t="s">
        <v>38</v>
      </c>
      <c r="AF166" s="10" t="s">
        <v>44</v>
      </c>
      <c r="AG166" s="27"/>
    </row>
    <row r="167" ht="15.75" customHeight="1">
      <c r="A167" s="34" t="s">
        <v>396</v>
      </c>
      <c r="B167" s="46">
        <v>5500.0</v>
      </c>
      <c r="C167" s="47" t="s">
        <v>383</v>
      </c>
      <c r="D167" s="15" t="s">
        <v>397</v>
      </c>
      <c r="E167" s="47" t="s">
        <v>385</v>
      </c>
      <c r="F167" s="36">
        <v>5.399</v>
      </c>
      <c r="G167" s="33">
        <v>0.0</v>
      </c>
      <c r="H167" s="33">
        <v>0.0</v>
      </c>
      <c r="I167" s="29">
        <v>0.0</v>
      </c>
      <c r="J167" s="19" t="str">
        <f t="shared" si="11"/>
        <v>sin oferta</v>
      </c>
      <c r="K167" s="20" t="str">
        <f t="shared" si="8"/>
        <v>NORMAL / SIN OFERTA</v>
      </c>
      <c r="L167" s="15"/>
      <c r="M167" s="20"/>
      <c r="N167" s="21">
        <v>0.0</v>
      </c>
      <c r="O167" s="22">
        <v>3.0</v>
      </c>
      <c r="P167" s="23" t="str">
        <f>IFERROR(__xludf.DUMMYFUNCTION("IFERROR(
  INDEX(
    QUERY(
      Historial!A:I,
      ""select I where B = '""&amp;A167&amp;""' order by A desc limit 1"",
      0
    ),
    1
  ),
  """"
)"),"")</f>
        <v/>
      </c>
      <c r="Q167" s="19" t="s">
        <v>51</v>
      </c>
      <c r="R167" s="24">
        <v>46439.0</v>
      </c>
      <c r="S167" s="20">
        <f>IFERROR(__xludf.DUMMYFUNCTION("IFERROR(
  INDEX(
    QUERY(
      Historial!A:G,
      ""select G where B = '""&amp;A167&amp;""' order by A desc limit 1"",
      0
    ),
    1
  ),
  """"
)"),3000.0)</f>
        <v>3000</v>
      </c>
      <c r="T167" s="20" t="str">
        <f t="shared" si="3"/>
        <v/>
      </c>
      <c r="U167" s="20" t="str">
        <f t="shared" si="4"/>
        <v/>
      </c>
      <c r="V167" s="25">
        <v>0.0</v>
      </c>
      <c r="W167" s="26">
        <v>0.0</v>
      </c>
      <c r="X167" s="26">
        <v>0.0</v>
      </c>
      <c r="Y167" s="27"/>
      <c r="Z167" s="26">
        <v>10.0</v>
      </c>
      <c r="AA167" s="26">
        <v>0.0</v>
      </c>
      <c r="AB167" s="26">
        <v>0.0</v>
      </c>
      <c r="AC167" s="27"/>
      <c r="AD167" s="27"/>
      <c r="AE167" s="10" t="s">
        <v>38</v>
      </c>
      <c r="AF167" s="10" t="s">
        <v>44</v>
      </c>
      <c r="AG167" s="27"/>
    </row>
    <row r="168" ht="15.75" customHeight="1">
      <c r="A168" s="34" t="s">
        <v>398</v>
      </c>
      <c r="B168" s="46">
        <v>5000.0</v>
      </c>
      <c r="C168" s="47" t="s">
        <v>383</v>
      </c>
      <c r="D168" s="15" t="s">
        <v>399</v>
      </c>
      <c r="E168" s="47" t="s">
        <v>385</v>
      </c>
      <c r="F168" s="42">
        <v>12.32</v>
      </c>
      <c r="G168" s="33">
        <v>0.0</v>
      </c>
      <c r="H168" s="33">
        <v>0.0</v>
      </c>
      <c r="I168" s="29">
        <v>0.0</v>
      </c>
      <c r="J168" s="19" t="str">
        <f t="shared" si="11"/>
        <v>sin oferta</v>
      </c>
      <c r="K168" s="20" t="str">
        <f t="shared" si="8"/>
        <v>NORMAL / SIN OFERTA</v>
      </c>
      <c r="L168" s="15"/>
      <c r="M168" s="20"/>
      <c r="N168" s="21">
        <v>0.0</v>
      </c>
      <c r="O168" s="22">
        <v>3.0</v>
      </c>
      <c r="P168" s="23" t="str">
        <f>IFERROR(__xludf.DUMMYFUNCTION("IFERROR(
  INDEX(
    QUERY(
      Historial!A:I,
      ""select I where B = '""&amp;A168&amp;""' order by A desc limit 1"",
      0
    ),
    1
  ),
  """"
)"),"")</f>
        <v/>
      </c>
      <c r="Q168" s="19" t="s">
        <v>60</v>
      </c>
      <c r="R168" s="24">
        <v>46441.0</v>
      </c>
      <c r="S168" s="20">
        <f>IFERROR(__xludf.DUMMYFUNCTION("IFERROR(
  INDEX(
    QUERY(
      Historial!A:G,
      ""select G where B = '""&amp;A168&amp;""' order by A desc limit 1"",
      0
    ),
    1
  ),
  """"
)"),2000.0)</f>
        <v>2000</v>
      </c>
      <c r="T168" s="20" t="str">
        <f t="shared" si="3"/>
        <v/>
      </c>
      <c r="U168" s="20" t="str">
        <f t="shared" si="4"/>
        <v/>
      </c>
      <c r="V168" s="25">
        <v>0.0</v>
      </c>
      <c r="W168" s="26">
        <v>0.0</v>
      </c>
      <c r="X168" s="26">
        <v>0.0</v>
      </c>
      <c r="Y168" s="27"/>
      <c r="Z168" s="26">
        <v>10.0</v>
      </c>
      <c r="AA168" s="26">
        <v>0.0</v>
      </c>
      <c r="AB168" s="26">
        <v>0.0</v>
      </c>
      <c r="AC168" s="27"/>
      <c r="AD168" s="27"/>
      <c r="AE168" s="10" t="s">
        <v>38</v>
      </c>
      <c r="AF168" s="10" t="s">
        <v>44</v>
      </c>
      <c r="AG168" s="27"/>
    </row>
    <row r="169" ht="15.75" customHeight="1">
      <c r="A169" s="34" t="s">
        <v>400</v>
      </c>
      <c r="B169" s="46">
        <v>2600.0</v>
      </c>
      <c r="C169" s="47" t="s">
        <v>383</v>
      </c>
      <c r="D169" s="15" t="s">
        <v>401</v>
      </c>
      <c r="E169" s="47" t="s">
        <v>385</v>
      </c>
      <c r="F169" s="36">
        <v>3.6</v>
      </c>
      <c r="G169" s="33">
        <v>0.0</v>
      </c>
      <c r="H169" s="33">
        <v>0.0</v>
      </c>
      <c r="I169" s="29">
        <v>0.0</v>
      </c>
      <c r="J169" s="19" t="str">
        <f t="shared" si="11"/>
        <v>sin oferta</v>
      </c>
      <c r="K169" s="20" t="str">
        <f t="shared" si="8"/>
        <v>NORMAL / SIN OFERTA</v>
      </c>
      <c r="L169" s="15"/>
      <c r="M169" s="20"/>
      <c r="N169" s="21">
        <v>0.0</v>
      </c>
      <c r="O169" s="22">
        <v>2.0</v>
      </c>
      <c r="P169" s="23" t="str">
        <f>IFERROR(__xludf.DUMMYFUNCTION("IFERROR(
  INDEX(
    QUERY(
      Historial!A:I,
      ""select I where B = '""&amp;A169&amp;""' order by A desc limit 1"",
      0
    ),
    1
  ),
  """"
)"),"")</f>
        <v/>
      </c>
      <c r="Q169" s="19" t="s">
        <v>63</v>
      </c>
      <c r="R169" s="24">
        <v>46442.0</v>
      </c>
      <c r="S169" s="20">
        <f>IFERROR(__xludf.DUMMYFUNCTION("IFERROR(
  INDEX(
    QUERY(
      Historial!A:G,
      ""select G where B = '""&amp;A169&amp;""' order by A desc limit 1"",
      0
    ),
    1
  ),
  """"
)"),1600.0)</f>
        <v>1600</v>
      </c>
      <c r="T169" s="20" t="str">
        <f t="shared" si="3"/>
        <v/>
      </c>
      <c r="U169" s="20" t="str">
        <f t="shared" si="4"/>
        <v/>
      </c>
      <c r="V169" s="25">
        <v>0.0</v>
      </c>
      <c r="W169" s="26">
        <v>0.0</v>
      </c>
      <c r="X169" s="26">
        <v>0.0</v>
      </c>
      <c r="Y169" s="27"/>
      <c r="Z169" s="26">
        <v>14.0</v>
      </c>
      <c r="AA169" s="26">
        <v>0.0</v>
      </c>
      <c r="AB169" s="26">
        <v>0.0</v>
      </c>
      <c r="AC169" s="27"/>
      <c r="AD169" s="27"/>
      <c r="AE169" s="10" t="s">
        <v>38</v>
      </c>
      <c r="AF169" s="10" t="s">
        <v>44</v>
      </c>
      <c r="AG169" s="27"/>
    </row>
    <row r="170" ht="15.75" customHeight="1">
      <c r="A170" s="31" t="s">
        <v>402</v>
      </c>
      <c r="B170" s="40">
        <v>1600.0</v>
      </c>
      <c r="C170" s="20" t="s">
        <v>403</v>
      </c>
      <c r="D170" s="15" t="s">
        <v>404</v>
      </c>
      <c r="E170" s="20" t="s">
        <v>47</v>
      </c>
      <c r="F170" s="39">
        <v>2.0</v>
      </c>
      <c r="G170" s="40">
        <v>0.0</v>
      </c>
      <c r="H170" s="20">
        <v>0.0</v>
      </c>
      <c r="I170" s="20">
        <v>0.0</v>
      </c>
      <c r="J170" s="19" t="str">
        <f t="shared" si="11"/>
        <v>sin oferta</v>
      </c>
      <c r="K170" s="20" t="str">
        <f t="shared" si="8"/>
        <v>NORMAL / SIN OFERTA</v>
      </c>
      <c r="L170" s="20">
        <v>0.0</v>
      </c>
      <c r="M170" s="20">
        <v>0.0</v>
      </c>
      <c r="N170" s="21">
        <v>1.0</v>
      </c>
      <c r="O170" s="22">
        <v>2.0</v>
      </c>
      <c r="P170" s="23" t="str">
        <f>IFERROR(__xludf.DUMMYFUNCTION("IFERROR(
  INDEX(
    QUERY(
      Historial!A:I,
      ""select I where B = '""&amp;A170&amp;""' order by A desc limit 1"",
      0
    ),
    1
  ),
  """"
)"),"")</f>
        <v/>
      </c>
      <c r="Q170" s="19" t="s">
        <v>37</v>
      </c>
      <c r="R170" s="24">
        <v>46443.0</v>
      </c>
      <c r="S170" s="20" t="str">
        <f>IFERROR(__xludf.DUMMYFUNCTION("IFERROR(
  INDEX(
    QUERY(
      Historial!A:G,
      ""select G where B = '""&amp;A170&amp;""' order by A desc limit 1"",
      0
    ),
    1
  ),
  """"
)"),"")</f>
        <v/>
      </c>
      <c r="T170" s="20" t="str">
        <f t="shared" si="3"/>
        <v/>
      </c>
      <c r="U170" s="20" t="str">
        <f t="shared" si="4"/>
        <v/>
      </c>
      <c r="V170" s="25">
        <v>0.0</v>
      </c>
      <c r="W170" s="26">
        <v>1.0</v>
      </c>
      <c r="X170" s="26">
        <v>0.013</v>
      </c>
      <c r="Y170" s="26">
        <v>153.84615384615384</v>
      </c>
      <c r="Z170" s="26">
        <v>14.0</v>
      </c>
      <c r="AA170" s="26">
        <v>0.13</v>
      </c>
      <c r="AB170" s="26">
        <v>0.0</v>
      </c>
      <c r="AC170" s="27"/>
      <c r="AD170" s="26">
        <v>153.84615384615384</v>
      </c>
      <c r="AE170" s="10" t="s">
        <v>38</v>
      </c>
      <c r="AF170" s="10" t="s">
        <v>39</v>
      </c>
      <c r="AG170" s="27"/>
    </row>
    <row r="171" ht="15.75" customHeight="1">
      <c r="A171" s="31" t="s">
        <v>405</v>
      </c>
      <c r="B171" s="20">
        <v>2500.0</v>
      </c>
      <c r="C171" s="20" t="s">
        <v>403</v>
      </c>
      <c r="D171" s="15" t="s">
        <v>406</v>
      </c>
      <c r="E171" s="20" t="s">
        <v>74</v>
      </c>
      <c r="F171" s="32">
        <v>2.0</v>
      </c>
      <c r="G171" s="40">
        <v>0.0</v>
      </c>
      <c r="H171" s="40">
        <v>0.0</v>
      </c>
      <c r="I171" s="40">
        <v>0.0</v>
      </c>
      <c r="J171" s="19" t="str">
        <f t="shared" si="11"/>
        <v>sin oferta</v>
      </c>
      <c r="K171" s="20" t="str">
        <f t="shared" si="8"/>
        <v>NORMAL / SIN OFERTA</v>
      </c>
      <c r="L171" s="20">
        <v>0.0</v>
      </c>
      <c r="M171" s="20">
        <v>0.0</v>
      </c>
      <c r="N171" s="21">
        <v>3.0</v>
      </c>
      <c r="O171" s="22">
        <v>2.0</v>
      </c>
      <c r="P171" s="23" t="str">
        <f>IFERROR(__xludf.DUMMYFUNCTION("IFERROR(
  INDEX(
    QUERY(
      Historial!A:I,
      ""select I where B = '""&amp;A171&amp;""' order by A desc limit 1"",
      0
    ),
    1
  ),
  """"
)"),"")</f>
        <v/>
      </c>
      <c r="Q171" s="19" t="s">
        <v>43</v>
      </c>
      <c r="R171" s="24">
        <v>46451.0</v>
      </c>
      <c r="S171" s="20" t="str">
        <f>IFERROR(__xludf.DUMMYFUNCTION("IFERROR(
  INDEX(
    QUERY(
      Historial!A:G,
      ""select G where B = '""&amp;A171&amp;""' order by A desc limit 1"",
      0
    ),
    1
  ),
  """"
)"),"")</f>
        <v/>
      </c>
      <c r="T171" s="20" t="str">
        <f t="shared" si="3"/>
        <v/>
      </c>
      <c r="U171" s="20" t="str">
        <f t="shared" si="4"/>
        <v/>
      </c>
      <c r="V171" s="25">
        <v>1.0</v>
      </c>
      <c r="W171" s="26">
        <v>1.0</v>
      </c>
      <c r="X171" s="26">
        <v>0.099</v>
      </c>
      <c r="Y171" s="26">
        <v>20.2020202020202</v>
      </c>
      <c r="Z171" s="26">
        <v>21.0</v>
      </c>
      <c r="AA171" s="26">
        <v>0.6930000000000001</v>
      </c>
      <c r="AB171" s="26">
        <v>1.0</v>
      </c>
      <c r="AC171" s="27"/>
      <c r="AD171" s="26">
        <v>20.2020202020202</v>
      </c>
      <c r="AE171" s="10" t="s">
        <v>38</v>
      </c>
      <c r="AF171" s="10" t="s">
        <v>39</v>
      </c>
      <c r="AG171" s="27"/>
    </row>
    <row r="172" ht="15.75" customHeight="1">
      <c r="A172" s="31" t="s">
        <v>407</v>
      </c>
      <c r="B172" s="46">
        <v>2000.0</v>
      </c>
      <c r="C172" s="47" t="s">
        <v>403</v>
      </c>
      <c r="D172" s="15" t="s">
        <v>408</v>
      </c>
      <c r="E172" s="47" t="s">
        <v>74</v>
      </c>
      <c r="F172" s="32">
        <v>2.0</v>
      </c>
      <c r="G172" s="40">
        <v>0.0</v>
      </c>
      <c r="H172" s="40">
        <v>15.0</v>
      </c>
      <c r="I172" s="40">
        <v>0.0</v>
      </c>
      <c r="J172" s="19" t="str">
        <f t="shared" si="11"/>
        <v>destacada</v>
      </c>
      <c r="K172" s="20">
        <f t="shared" si="8"/>
        <v>1700</v>
      </c>
      <c r="L172" s="20">
        <v>0.0</v>
      </c>
      <c r="M172" s="20">
        <v>0.0</v>
      </c>
      <c r="N172" s="21">
        <v>1.0</v>
      </c>
      <c r="O172" s="22">
        <v>2.0</v>
      </c>
      <c r="P172" s="23" t="str">
        <f>IFERROR(__xludf.DUMMYFUNCTION("IFERROR(
  INDEX(
    QUERY(
      Historial!A:I,
      ""select I where B = '""&amp;A172&amp;""' order by A desc limit 1"",
      0
    ),
    1
  ),
  """"
)"),"")</f>
        <v/>
      </c>
      <c r="Q172" s="19" t="s">
        <v>60</v>
      </c>
      <c r="R172" s="24">
        <v>46455.0</v>
      </c>
      <c r="S172" s="20" t="str">
        <f>IFERROR(__xludf.DUMMYFUNCTION("IFERROR(
  INDEX(
    QUERY(
      Historial!A:G,
      ""select G where B = '""&amp;A172&amp;""' order by A desc limit 1"",
      0
    ),
    1
  ),
  """"
)"),"")</f>
        <v/>
      </c>
      <c r="T172" s="20" t="str">
        <f t="shared" si="3"/>
        <v/>
      </c>
      <c r="U172" s="20" t="str">
        <f t="shared" si="4"/>
        <v/>
      </c>
      <c r="V172" s="25">
        <v>0.0</v>
      </c>
      <c r="W172" s="26">
        <v>1.0</v>
      </c>
      <c r="X172" s="26">
        <v>0.013</v>
      </c>
      <c r="Y172" s="26">
        <v>153.84615384615384</v>
      </c>
      <c r="Z172" s="26">
        <v>21.0</v>
      </c>
      <c r="AA172" s="26">
        <v>0.091</v>
      </c>
      <c r="AB172" s="26">
        <v>0.0</v>
      </c>
      <c r="AC172" s="27"/>
      <c r="AD172" s="26">
        <v>153.84615384615384</v>
      </c>
      <c r="AE172" s="10" t="s">
        <v>38</v>
      </c>
      <c r="AF172" s="10" t="s">
        <v>39</v>
      </c>
      <c r="AG172" s="27"/>
    </row>
    <row r="173" ht="15.75" customHeight="1">
      <c r="A173" s="34" t="s">
        <v>409</v>
      </c>
      <c r="B173" s="35">
        <v>2000.0</v>
      </c>
      <c r="C173" s="15" t="s">
        <v>403</v>
      </c>
      <c r="D173" s="15" t="s">
        <v>410</v>
      </c>
      <c r="E173" s="15" t="s">
        <v>74</v>
      </c>
      <c r="F173" s="32">
        <v>1.0</v>
      </c>
      <c r="G173" s="40">
        <v>0.0</v>
      </c>
      <c r="H173" s="40">
        <v>0.0</v>
      </c>
      <c r="I173" s="40">
        <v>0.0</v>
      </c>
      <c r="J173" s="19" t="str">
        <f t="shared" si="11"/>
        <v>sin oferta</v>
      </c>
      <c r="K173" s="20" t="str">
        <f t="shared" si="8"/>
        <v>NORMAL / SIN OFERTA</v>
      </c>
      <c r="L173" s="20">
        <v>0.0</v>
      </c>
      <c r="M173" s="20">
        <v>0.0</v>
      </c>
      <c r="N173" s="21">
        <v>1.0</v>
      </c>
      <c r="O173" s="22">
        <v>2.0</v>
      </c>
      <c r="P173" s="23" t="str">
        <f>IFERROR(__xludf.DUMMYFUNCTION("IFERROR(
  INDEX(
    QUERY(
      Historial!A:I,
      ""select I where B = '""&amp;A173&amp;""' order by A desc limit 1"",
      0
    ),
    1
  ),
  """"
)"),"")</f>
        <v/>
      </c>
      <c r="Q173" s="19" t="s">
        <v>63</v>
      </c>
      <c r="R173" s="24">
        <v>46456.0</v>
      </c>
      <c r="S173" s="20" t="str">
        <f>IFERROR(__xludf.DUMMYFUNCTION("IFERROR(
  INDEX(
    QUERY(
      Historial!A:G,
      ""select G where B = '""&amp;A173&amp;""' order by A desc limit 1"",
      0
    ),
    1
  ),
  """"
)"),"")</f>
        <v/>
      </c>
      <c r="T173" s="20" t="str">
        <f t="shared" si="3"/>
        <v/>
      </c>
      <c r="U173" s="20" t="str">
        <f t="shared" si="4"/>
        <v/>
      </c>
      <c r="V173" s="25">
        <v>0.0</v>
      </c>
      <c r="W173" s="26">
        <v>1.0</v>
      </c>
      <c r="X173" s="26">
        <v>0.013</v>
      </c>
      <c r="Y173" s="26">
        <v>76.92307692307692</v>
      </c>
      <c r="Z173" s="26">
        <v>21.0</v>
      </c>
      <c r="AA173" s="26">
        <v>0.091</v>
      </c>
      <c r="AB173" s="26">
        <v>0.0</v>
      </c>
      <c r="AC173" s="27"/>
      <c r="AD173" s="26">
        <v>76.92307692307692</v>
      </c>
      <c r="AE173" s="10" t="s">
        <v>38</v>
      </c>
      <c r="AF173" s="10" t="s">
        <v>39</v>
      </c>
      <c r="AG173" s="27"/>
    </row>
    <row r="174" ht="15.75" customHeight="1">
      <c r="A174" s="34" t="s">
        <v>411</v>
      </c>
      <c r="B174" s="35">
        <v>1600.0</v>
      </c>
      <c r="C174" s="15" t="s">
        <v>403</v>
      </c>
      <c r="D174" s="15" t="s">
        <v>412</v>
      </c>
      <c r="E174" s="15" t="s">
        <v>47</v>
      </c>
      <c r="F174" s="42">
        <v>7.0</v>
      </c>
      <c r="G174" s="33">
        <v>0.0</v>
      </c>
      <c r="H174" s="33">
        <v>0.0</v>
      </c>
      <c r="I174" s="29">
        <v>1.0</v>
      </c>
      <c r="J174" s="19" t="str">
        <f t="shared" si="11"/>
        <v>especial</v>
      </c>
      <c r="K174" s="20">
        <f t="shared" si="8"/>
        <v>1440</v>
      </c>
      <c r="L174" s="15"/>
      <c r="M174" s="20"/>
      <c r="N174" s="21">
        <v>0.0</v>
      </c>
      <c r="O174" s="22">
        <v>3.0</v>
      </c>
      <c r="P174" s="23" t="str">
        <f>IFERROR(__xludf.DUMMYFUNCTION("IFERROR(
  INDEX(
    QUERY(
      Historial!A:I,
      ""select I where B = '""&amp;A174&amp;""' order by A desc limit 1"",
      0
    ),
    1
  ),
  """"
)"),"")</f>
        <v/>
      </c>
      <c r="Q174" s="19" t="s">
        <v>43</v>
      </c>
      <c r="R174" s="24">
        <v>46458.0</v>
      </c>
      <c r="S174" s="20" t="str">
        <f>IFERROR(__xludf.DUMMYFUNCTION("IFERROR(
  INDEX(
    QUERY(
      Historial!A:G,
      ""select G where B = '""&amp;A174&amp;""' order by A desc limit 1"",
      0
    ),
    1
  ),
  """"
)"),"")</f>
        <v/>
      </c>
      <c r="T174" s="20" t="str">
        <f t="shared" si="3"/>
        <v/>
      </c>
      <c r="U174" s="20" t="str">
        <f t="shared" si="4"/>
        <v/>
      </c>
      <c r="V174" s="25">
        <v>0.0</v>
      </c>
      <c r="W174" s="26">
        <v>0.0</v>
      </c>
      <c r="X174" s="26">
        <v>0.0</v>
      </c>
      <c r="Y174" s="27"/>
      <c r="Z174" s="26">
        <v>21.0</v>
      </c>
      <c r="AA174" s="26">
        <v>0.0</v>
      </c>
      <c r="AB174" s="26">
        <v>0.0</v>
      </c>
      <c r="AC174" s="27"/>
      <c r="AD174" s="27"/>
      <c r="AE174" s="10" t="s">
        <v>38</v>
      </c>
      <c r="AF174" s="10" t="s">
        <v>44</v>
      </c>
      <c r="AG174" s="27"/>
    </row>
    <row r="175" ht="15.75" customHeight="1">
      <c r="A175" s="34" t="s">
        <v>413</v>
      </c>
      <c r="B175" s="35">
        <v>2000.0</v>
      </c>
      <c r="C175" s="15" t="s">
        <v>403</v>
      </c>
      <c r="D175" s="15" t="s">
        <v>414</v>
      </c>
      <c r="E175" s="15"/>
      <c r="F175" s="41">
        <v>3.0</v>
      </c>
      <c r="G175" s="33">
        <v>0.0</v>
      </c>
      <c r="H175" s="33">
        <v>0.0</v>
      </c>
      <c r="I175" s="29">
        <v>0.0</v>
      </c>
      <c r="J175" s="19" t="str">
        <f t="shared" si="11"/>
        <v>sin oferta</v>
      </c>
      <c r="K175" s="20" t="str">
        <f t="shared" si="8"/>
        <v>NORMAL / SIN OFERTA</v>
      </c>
      <c r="L175" s="15"/>
      <c r="M175" s="20"/>
      <c r="N175" s="21">
        <v>0.0</v>
      </c>
      <c r="O175" s="22">
        <v>2.0</v>
      </c>
      <c r="P175" s="23" t="str">
        <f>IFERROR(__xludf.DUMMYFUNCTION("IFERROR(
  INDEX(
    QUERY(
      Historial!A:I,
      ""select I where B = '""&amp;A175&amp;""' order by A desc limit 1"",
      0
    ),
    1
  ),
  """"
)"),"")</f>
        <v/>
      </c>
      <c r="Q175" s="19" t="s">
        <v>51</v>
      </c>
      <c r="R175" s="24">
        <v>46460.0</v>
      </c>
      <c r="S175" s="20">
        <f>IFERROR(__xludf.DUMMYFUNCTION("IFERROR(
  INDEX(
    QUERY(
      Historial!A:G,
      ""select G where B = '""&amp;A175&amp;""' order by A desc limit 1"",
      0
    ),
    1
  ),
  """"
)"),1500.0)</f>
        <v>1500</v>
      </c>
      <c r="T175" s="20" t="str">
        <f t="shared" si="3"/>
        <v/>
      </c>
      <c r="U175" s="20" t="str">
        <f t="shared" si="4"/>
        <v/>
      </c>
      <c r="V175" s="25">
        <v>0.0</v>
      </c>
      <c r="W175" s="26">
        <v>0.0</v>
      </c>
      <c r="X175" s="26">
        <v>0.0</v>
      </c>
      <c r="Y175" s="27"/>
      <c r="Z175" s="26">
        <v>14.0</v>
      </c>
      <c r="AA175" s="26">
        <v>0.0</v>
      </c>
      <c r="AB175" s="26">
        <v>0.0</v>
      </c>
      <c r="AC175" s="27"/>
      <c r="AD175" s="27"/>
      <c r="AE175" s="10" t="s">
        <v>38</v>
      </c>
      <c r="AF175" s="10" t="s">
        <v>44</v>
      </c>
      <c r="AG175" s="27"/>
    </row>
    <row r="176" ht="15.75" customHeight="1">
      <c r="A176" s="34" t="s">
        <v>415</v>
      </c>
      <c r="B176" s="46">
        <v>2000.0</v>
      </c>
      <c r="C176" s="47" t="s">
        <v>403</v>
      </c>
      <c r="D176" s="15" t="s">
        <v>416</v>
      </c>
      <c r="E176" s="47" t="s">
        <v>74</v>
      </c>
      <c r="F176" s="42">
        <v>10.0</v>
      </c>
      <c r="G176" s="33">
        <v>0.0</v>
      </c>
      <c r="H176" s="33">
        <v>0.0</v>
      </c>
      <c r="I176" s="29">
        <v>0.0</v>
      </c>
      <c r="J176" s="19" t="str">
        <f t="shared" si="11"/>
        <v>sin oferta</v>
      </c>
      <c r="K176" s="20" t="str">
        <f t="shared" si="8"/>
        <v>NORMAL / SIN OFERTA</v>
      </c>
      <c r="L176" s="15"/>
      <c r="M176" s="20"/>
      <c r="N176" s="21">
        <v>1.0</v>
      </c>
      <c r="O176" s="22">
        <v>2.0</v>
      </c>
      <c r="P176" s="23">
        <f>IFERROR(__xludf.DUMMYFUNCTION("IFERROR(
  INDEX(
    QUERY(
      Historial!A:I,
      ""select I where B = '""&amp;A176&amp;""' order by A desc limit 1"",
      0
    ),
    1
  ),
  """"
)"),46225.0)</f>
        <v>46225</v>
      </c>
      <c r="Q176" s="19" t="s">
        <v>60</v>
      </c>
      <c r="R176" s="24">
        <v>46462.0</v>
      </c>
      <c r="S176" s="20">
        <f>IFERROR(__xludf.DUMMYFUNCTION("IFERROR(
  INDEX(
    QUERY(
      Historial!A:G,
      ""select G where B = '""&amp;A176&amp;""' order by A desc limit 1"",
      0
    ),
    1
  ),
  """"
)"),1090.0)</f>
        <v>1090</v>
      </c>
      <c r="T176" s="20" t="str">
        <f t="shared" si="3"/>
        <v>✅ OK</v>
      </c>
      <c r="U176" s="20" t="str">
        <f t="shared" si="4"/>
        <v/>
      </c>
      <c r="V176" s="25">
        <v>0.0</v>
      </c>
      <c r="W176" s="26">
        <v>2.0</v>
      </c>
      <c r="X176" s="26">
        <v>0.027</v>
      </c>
      <c r="Y176" s="26">
        <v>370.3703703703704</v>
      </c>
      <c r="Z176" s="26">
        <v>14.0</v>
      </c>
      <c r="AA176" s="26">
        <v>0.27</v>
      </c>
      <c r="AB176" s="26">
        <v>0.0</v>
      </c>
      <c r="AC176" s="26">
        <v>133.0</v>
      </c>
      <c r="AD176" s="26">
        <v>370.3703703703704</v>
      </c>
      <c r="AE176" s="10" t="s">
        <v>52</v>
      </c>
      <c r="AF176" s="10" t="s">
        <v>53</v>
      </c>
      <c r="AG176" s="27"/>
    </row>
    <row r="177" ht="15.75" customHeight="1">
      <c r="A177" s="34" t="s">
        <v>417</v>
      </c>
      <c r="B177" s="46">
        <v>2000.0</v>
      </c>
      <c r="C177" s="47" t="s">
        <v>403</v>
      </c>
      <c r="D177" s="15" t="s">
        <v>418</v>
      </c>
      <c r="E177" s="47" t="s">
        <v>47</v>
      </c>
      <c r="F177" s="36">
        <v>7.0</v>
      </c>
      <c r="G177" s="33">
        <v>0.0</v>
      </c>
      <c r="H177" s="33">
        <v>0.0</v>
      </c>
      <c r="I177" s="29">
        <v>0.0</v>
      </c>
      <c r="J177" s="19" t="str">
        <f t="shared" si="11"/>
        <v>sin oferta</v>
      </c>
      <c r="K177" s="20" t="str">
        <f t="shared" si="8"/>
        <v>NORMAL / SIN OFERTA</v>
      </c>
      <c r="L177" s="15"/>
      <c r="M177" s="20"/>
      <c r="N177" s="21">
        <v>3.0</v>
      </c>
      <c r="O177" s="22">
        <v>3.0</v>
      </c>
      <c r="P177" s="23">
        <f>IFERROR(__xludf.DUMMYFUNCTION("IFERROR(
  INDEX(
    QUERY(
      Historial!A:I,
      ""select I where B = '""&amp;A177&amp;""' order by A desc limit 1"",
      0
    ),
    1
  ),
  """"
)"),46211.0)</f>
        <v>46211</v>
      </c>
      <c r="Q177" s="19" t="s">
        <v>63</v>
      </c>
      <c r="R177" s="24">
        <v>46463.0</v>
      </c>
      <c r="S177" s="20">
        <f>IFERROR(__xludf.DUMMYFUNCTION("IFERROR(
  INDEX(
    QUERY(
      Historial!A:G,
      ""select G where B = '""&amp;A177&amp;""' order by A desc limit 1"",
      0
    ),
    1
  ),
  """"
)"),880.0)</f>
        <v>880</v>
      </c>
      <c r="T177" s="20" t="str">
        <f t="shared" si="3"/>
        <v>✅ OK</v>
      </c>
      <c r="U177" s="20" t="str">
        <f t="shared" si="4"/>
        <v/>
      </c>
      <c r="V177" s="25">
        <v>1.0</v>
      </c>
      <c r="W177" s="26">
        <v>3.0</v>
      </c>
      <c r="X177" s="26">
        <v>0.126</v>
      </c>
      <c r="Y177" s="26">
        <v>55.55555555555556</v>
      </c>
      <c r="Z177" s="26">
        <v>21.0</v>
      </c>
      <c r="AA177" s="26">
        <v>0.882</v>
      </c>
      <c r="AB177" s="26">
        <v>0.0</v>
      </c>
      <c r="AC177" s="26">
        <v>119.0</v>
      </c>
      <c r="AD177" s="26">
        <v>55.55555555555556</v>
      </c>
      <c r="AE177" s="10" t="s">
        <v>38</v>
      </c>
      <c r="AF177" s="10" t="s">
        <v>39</v>
      </c>
      <c r="AG177" s="27"/>
    </row>
    <row r="178" ht="15.75" customHeight="1">
      <c r="A178" s="34" t="s">
        <v>419</v>
      </c>
      <c r="B178" s="46">
        <v>1420.0</v>
      </c>
      <c r="C178" s="15" t="s">
        <v>403</v>
      </c>
      <c r="D178" s="15" t="s">
        <v>420</v>
      </c>
      <c r="E178" s="47">
        <v>2400.0</v>
      </c>
      <c r="F178" s="36">
        <v>5.0</v>
      </c>
      <c r="G178" s="17">
        <v>10.0</v>
      </c>
      <c r="H178" s="17">
        <v>0.0</v>
      </c>
      <c r="I178" s="18">
        <v>0.0</v>
      </c>
      <c r="J178" s="19" t="str">
        <f t="shared" si="11"/>
        <v>2da50off</v>
      </c>
      <c r="K178" s="20">
        <f t="shared" si="8"/>
        <v>1065</v>
      </c>
      <c r="L178" s="15"/>
      <c r="M178" s="20"/>
      <c r="N178" s="21">
        <v>1.0</v>
      </c>
      <c r="O178" s="22">
        <v>2.0</v>
      </c>
      <c r="P178" s="23">
        <f>IFERROR(__xludf.DUMMYFUNCTION("IFERROR(
  INDEX(
    QUERY(
      Historial!A:I,
      ""select I where B = '""&amp;A178&amp;""' order by A desc limit 1"",
      0
    ),
    1
  ),
  """"
)"),46408.0)</f>
        <v>46408</v>
      </c>
      <c r="Q178" s="19" t="s">
        <v>48</v>
      </c>
      <c r="R178" s="24">
        <v>46466.0</v>
      </c>
      <c r="S178" s="20">
        <f>IFERROR(__xludf.DUMMYFUNCTION("IFERROR(
  INDEX(
    QUERY(
      Historial!A:G,
      ""select G where B = '""&amp;A178&amp;""' order by A desc limit 1"",
      0
    ),
    1
  ),
  """"
)"),1300.0)</f>
        <v>1300</v>
      </c>
      <c r="T178" s="20" t="str">
        <f t="shared" si="3"/>
        <v>✅ OK</v>
      </c>
      <c r="U178" s="20" t="str">
        <f t="shared" si="4"/>
        <v/>
      </c>
      <c r="V178" s="25">
        <v>0.0</v>
      </c>
      <c r="W178" s="26">
        <v>1.0</v>
      </c>
      <c r="X178" s="26">
        <v>0.013</v>
      </c>
      <c r="Y178" s="26">
        <v>384.61538461538464</v>
      </c>
      <c r="Z178" s="26">
        <v>21.0</v>
      </c>
      <c r="AA178" s="26">
        <v>0.091</v>
      </c>
      <c r="AB178" s="26">
        <v>0.0</v>
      </c>
      <c r="AC178" s="26">
        <v>316.0</v>
      </c>
      <c r="AD178" s="26">
        <v>384.61538461538464</v>
      </c>
      <c r="AE178" s="10" t="s">
        <v>52</v>
      </c>
      <c r="AF178" s="10" t="s">
        <v>53</v>
      </c>
      <c r="AG178" s="27"/>
    </row>
    <row r="179" ht="15.75" customHeight="1">
      <c r="A179" s="34" t="s">
        <v>421</v>
      </c>
      <c r="B179" s="46">
        <v>3300.0</v>
      </c>
      <c r="C179" s="15" t="s">
        <v>403</v>
      </c>
      <c r="D179" s="15" t="s">
        <v>422</v>
      </c>
      <c r="E179" s="15" t="s">
        <v>47</v>
      </c>
      <c r="F179" s="42">
        <v>10.0</v>
      </c>
      <c r="G179" s="17">
        <v>10.0</v>
      </c>
      <c r="H179" s="17">
        <v>0.0</v>
      </c>
      <c r="I179" s="18">
        <v>0.0</v>
      </c>
      <c r="J179" s="19" t="str">
        <f t="shared" si="11"/>
        <v>2da50off</v>
      </c>
      <c r="K179" s="20">
        <f t="shared" si="8"/>
        <v>2475</v>
      </c>
      <c r="L179" s="15"/>
      <c r="M179" s="20"/>
      <c r="N179" s="21">
        <v>0.0</v>
      </c>
      <c r="O179" s="22">
        <v>2.0</v>
      </c>
      <c r="P179" s="23">
        <f>IFERROR(__xludf.DUMMYFUNCTION("IFERROR(
  INDEX(
    QUERY(
      Historial!A:I,
      ""select I where B = '""&amp;A179&amp;""' order by A desc limit 1"",
      0
    ),
    1
  ),
  """"
)"),46414.0)</f>
        <v>46414</v>
      </c>
      <c r="Q179" s="19" t="s">
        <v>51</v>
      </c>
      <c r="R179" s="24">
        <v>46467.0</v>
      </c>
      <c r="S179" s="20">
        <f>IFERROR(__xludf.DUMMYFUNCTION("IFERROR(
  INDEX(
    QUERY(
      Historial!A:G,
      ""select G where B = '""&amp;A179&amp;""' order by A desc limit 1"",
      0
    ),
    1
  ),
  """"
)"),1685.0)</f>
        <v>1685</v>
      </c>
      <c r="T179" s="20" t="str">
        <f t="shared" si="3"/>
        <v>✅ OK</v>
      </c>
      <c r="U179" s="20" t="str">
        <f t="shared" si="4"/>
        <v/>
      </c>
      <c r="V179" s="25">
        <v>0.0</v>
      </c>
      <c r="W179" s="26">
        <v>0.0</v>
      </c>
      <c r="X179" s="26">
        <v>0.0</v>
      </c>
      <c r="Y179" s="27"/>
      <c r="Z179" s="26">
        <v>21.0</v>
      </c>
      <c r="AA179" s="26">
        <v>0.0</v>
      </c>
      <c r="AB179" s="26">
        <v>0.0</v>
      </c>
      <c r="AC179" s="26">
        <v>322.0</v>
      </c>
      <c r="AD179" s="27"/>
      <c r="AE179" s="10" t="s">
        <v>38</v>
      </c>
      <c r="AF179" s="10" t="s">
        <v>44</v>
      </c>
      <c r="AG179" s="27"/>
    </row>
    <row r="180" ht="15.75" customHeight="1">
      <c r="A180" s="34" t="s">
        <v>423</v>
      </c>
      <c r="B180" s="46">
        <v>2500.0</v>
      </c>
      <c r="C180" s="15" t="s">
        <v>403</v>
      </c>
      <c r="D180" s="15" t="s">
        <v>424</v>
      </c>
      <c r="E180" s="47" t="s">
        <v>47</v>
      </c>
      <c r="F180" s="42">
        <v>6.0</v>
      </c>
      <c r="G180" s="17">
        <v>10.0</v>
      </c>
      <c r="H180" s="17">
        <v>0.0</v>
      </c>
      <c r="I180" s="18">
        <v>0.0</v>
      </c>
      <c r="J180" s="19" t="str">
        <f t="shared" si="11"/>
        <v>2da50off</v>
      </c>
      <c r="K180" s="20">
        <f t="shared" si="8"/>
        <v>1875</v>
      </c>
      <c r="L180" s="15"/>
      <c r="M180" s="20"/>
      <c r="N180" s="21">
        <v>2.0</v>
      </c>
      <c r="O180" s="22">
        <v>2.0</v>
      </c>
      <c r="P180" s="23">
        <f>IFERROR(__xludf.DUMMYFUNCTION("IFERROR(
  INDEX(
    QUERY(
      Historial!A:I,
      ""select I where B = '""&amp;A180&amp;""' order by A desc limit 1"",
      0
    ),
    1
  ),
  """"
)"),46236.0)</f>
        <v>46236</v>
      </c>
      <c r="Q180" s="19" t="s">
        <v>57</v>
      </c>
      <c r="R180" s="24">
        <v>46468.0</v>
      </c>
      <c r="S180" s="20">
        <f>IFERROR(__xludf.DUMMYFUNCTION("IFERROR(
  INDEX(
    QUERY(
      Historial!A:G,
      ""select G where B = '""&amp;A180&amp;""' order by A desc limit 1"",
      0
    ),
    1
  ),
  """"
)"),1200.0)</f>
        <v>1200</v>
      </c>
      <c r="T180" s="20" t="str">
        <f t="shared" si="3"/>
        <v>✅ OK</v>
      </c>
      <c r="U180" s="20" t="str">
        <f t="shared" si="4"/>
        <v/>
      </c>
      <c r="V180" s="25">
        <v>1.0</v>
      </c>
      <c r="W180" s="26">
        <v>1.0</v>
      </c>
      <c r="X180" s="26">
        <v>0.099</v>
      </c>
      <c r="Y180" s="26">
        <v>60.6060606060606</v>
      </c>
      <c r="Z180" s="26">
        <v>14.0</v>
      </c>
      <c r="AA180" s="26">
        <v>0.99</v>
      </c>
      <c r="AB180" s="26">
        <v>0.0</v>
      </c>
      <c r="AC180" s="26">
        <v>144.0</v>
      </c>
      <c r="AD180" s="26">
        <v>60.6060606060606</v>
      </c>
      <c r="AE180" s="10" t="s">
        <v>38</v>
      </c>
      <c r="AF180" s="10" t="s">
        <v>39</v>
      </c>
      <c r="AG180" s="27"/>
    </row>
    <row r="181" ht="15.75" customHeight="1">
      <c r="A181" s="34" t="s">
        <v>425</v>
      </c>
      <c r="B181" s="35">
        <v>2000.0</v>
      </c>
      <c r="C181" s="15" t="s">
        <v>403</v>
      </c>
      <c r="D181" s="15" t="s">
        <v>426</v>
      </c>
      <c r="E181" s="15" t="s">
        <v>74</v>
      </c>
      <c r="F181" s="36">
        <v>5.0</v>
      </c>
      <c r="G181" s="33">
        <v>0.0</v>
      </c>
      <c r="H181" s="33">
        <v>0.0</v>
      </c>
      <c r="I181" s="29">
        <v>0.0</v>
      </c>
      <c r="J181" s="19" t="str">
        <f t="shared" si="11"/>
        <v>sin oferta</v>
      </c>
      <c r="K181" s="20" t="str">
        <f t="shared" si="8"/>
        <v>NORMAL / SIN OFERTA</v>
      </c>
      <c r="L181" s="15"/>
      <c r="M181" s="20"/>
      <c r="N181" s="21">
        <v>1.0</v>
      </c>
      <c r="O181" s="22">
        <v>2.0</v>
      </c>
      <c r="P181" s="23" t="str">
        <f>IFERROR(__xludf.DUMMYFUNCTION("IFERROR(
  INDEX(
    QUERY(
      Historial!A:I,
      ""select I where B = '""&amp;A181&amp;""' order by A desc limit 1"",
      0
    ),
    1
  ),
  """"
)"),"")</f>
        <v/>
      </c>
      <c r="Q181" s="19" t="s">
        <v>51</v>
      </c>
      <c r="R181" s="24">
        <v>46474.0</v>
      </c>
      <c r="S181" s="20" t="str">
        <f>IFERROR(__xludf.DUMMYFUNCTION("IFERROR(
  INDEX(
    QUERY(
      Historial!A:G,
      ""select G where B = '""&amp;A181&amp;""' order by A desc limit 1"",
      0
    ),
    1
  ),
  """"
)"),"")</f>
        <v/>
      </c>
      <c r="T181" s="20" t="str">
        <f t="shared" si="3"/>
        <v/>
      </c>
      <c r="U181" s="20" t="str">
        <f t="shared" si="4"/>
        <v/>
      </c>
      <c r="V181" s="25">
        <v>0.0</v>
      </c>
      <c r="W181" s="26">
        <v>1.0</v>
      </c>
      <c r="X181" s="26">
        <v>0.013</v>
      </c>
      <c r="Y181" s="26">
        <v>384.61538461538464</v>
      </c>
      <c r="Z181" s="26">
        <v>21.0</v>
      </c>
      <c r="AA181" s="26">
        <v>0.091</v>
      </c>
      <c r="AB181" s="26">
        <v>0.0</v>
      </c>
      <c r="AC181" s="27"/>
      <c r="AD181" s="26">
        <v>384.61538461538464</v>
      </c>
      <c r="AE181" s="10" t="s">
        <v>38</v>
      </c>
      <c r="AF181" s="10" t="s">
        <v>39</v>
      </c>
      <c r="AG181" s="27"/>
    </row>
    <row r="182" ht="15.75" customHeight="1">
      <c r="A182" s="34" t="s">
        <v>427</v>
      </c>
      <c r="B182" s="35">
        <v>2000.0</v>
      </c>
      <c r="C182" s="15" t="s">
        <v>403</v>
      </c>
      <c r="D182" s="15" t="s">
        <v>428</v>
      </c>
      <c r="E182" s="15" t="s">
        <v>74</v>
      </c>
      <c r="F182" s="42">
        <v>4.0</v>
      </c>
      <c r="G182" s="33">
        <v>2.0</v>
      </c>
      <c r="H182" s="33">
        <v>0.0</v>
      </c>
      <c r="I182" s="29">
        <v>0.0</v>
      </c>
      <c r="J182" s="19" t="str">
        <f t="shared" si="11"/>
        <v>relampago 3x2</v>
      </c>
      <c r="K182" s="20">
        <f t="shared" si="8"/>
        <v>1333.4</v>
      </c>
      <c r="L182" s="15"/>
      <c r="M182" s="20"/>
      <c r="N182" s="21">
        <v>3.0</v>
      </c>
      <c r="O182" s="22">
        <v>3.0</v>
      </c>
      <c r="P182" s="23" t="str">
        <f>IFERROR(__xludf.DUMMYFUNCTION("IFERROR(
  INDEX(
    QUERY(
      Historial!A:I,
      ""select I where B = '""&amp;A182&amp;""' order by A desc limit 1"",
      0
    ),
    1
  ),
  """"
)"),"")</f>
        <v/>
      </c>
      <c r="Q182" s="19" t="s">
        <v>57</v>
      </c>
      <c r="R182" s="24">
        <v>46475.0</v>
      </c>
      <c r="S182" s="20" t="str">
        <f>IFERROR(__xludf.DUMMYFUNCTION("IFERROR(
  INDEX(
    QUERY(
      Historial!A:G,
      ""select G where B = '""&amp;A182&amp;""' order by A desc limit 1"",
      0
    ),
    1
  ),
  """"
)"),"")</f>
        <v/>
      </c>
      <c r="T182" s="20" t="str">
        <f t="shared" si="3"/>
        <v/>
      </c>
      <c r="U182" s="20" t="str">
        <f t="shared" si="4"/>
        <v/>
      </c>
      <c r="V182" s="25">
        <v>1.0</v>
      </c>
      <c r="W182" s="26">
        <v>3.0</v>
      </c>
      <c r="X182" s="26">
        <v>0.126</v>
      </c>
      <c r="Y182" s="26">
        <v>31.746031746031747</v>
      </c>
      <c r="Z182" s="26">
        <v>21.0</v>
      </c>
      <c r="AA182" s="26">
        <v>0.882</v>
      </c>
      <c r="AB182" s="26">
        <v>0.0</v>
      </c>
      <c r="AC182" s="27"/>
      <c r="AD182" s="26">
        <v>31.746031746031747</v>
      </c>
      <c r="AE182" s="10" t="s">
        <v>38</v>
      </c>
      <c r="AF182" s="10" t="s">
        <v>39</v>
      </c>
      <c r="AG182" s="27"/>
    </row>
    <row r="183" ht="15.75" customHeight="1">
      <c r="A183" s="34" t="s">
        <v>429</v>
      </c>
      <c r="B183" s="35">
        <v>2000.0</v>
      </c>
      <c r="C183" s="15" t="s">
        <v>403</v>
      </c>
      <c r="D183" s="15" t="s">
        <v>430</v>
      </c>
      <c r="E183" s="15" t="s">
        <v>47</v>
      </c>
      <c r="F183" s="41">
        <v>5.0</v>
      </c>
      <c r="G183" s="33">
        <v>0.0</v>
      </c>
      <c r="H183" s="33">
        <v>0.0</v>
      </c>
      <c r="I183" s="29">
        <v>0.0</v>
      </c>
      <c r="J183" s="19" t="str">
        <f t="shared" si="11"/>
        <v>sin oferta</v>
      </c>
      <c r="K183" s="20" t="str">
        <f t="shared" si="8"/>
        <v>NORMAL / SIN OFERTA</v>
      </c>
      <c r="L183" s="15"/>
      <c r="M183" s="20"/>
      <c r="N183" s="21">
        <v>1.0</v>
      </c>
      <c r="O183" s="22">
        <v>2.0</v>
      </c>
      <c r="P183" s="23">
        <f>IFERROR(__xludf.DUMMYFUNCTION("IFERROR(
  INDEX(
    QUERY(
      Historial!A:I,
      ""select I where B = '""&amp;A183&amp;""' order by A desc limit 1"",
      0
    ),
    1
  ),
  """"
)"),46306.0)</f>
        <v>46306</v>
      </c>
      <c r="Q183" s="19" t="s">
        <v>60</v>
      </c>
      <c r="R183" s="24">
        <v>46476.0</v>
      </c>
      <c r="S183" s="20">
        <f>IFERROR(__xludf.DUMMYFUNCTION("IFERROR(
  INDEX(
    QUERY(
      Historial!A:G,
      ""select G where B = '""&amp;A183&amp;""' order by A desc limit 1"",
      0
    ),
    1
  ),
  """"
)"),1070.0)</f>
        <v>1070</v>
      </c>
      <c r="T183" s="20" t="str">
        <f t="shared" si="3"/>
        <v>✅ OK</v>
      </c>
      <c r="U183" s="20" t="str">
        <f t="shared" si="4"/>
        <v/>
      </c>
      <c r="V183" s="25">
        <v>0.0</v>
      </c>
      <c r="W183" s="26">
        <v>1.0</v>
      </c>
      <c r="X183" s="26">
        <v>0.013</v>
      </c>
      <c r="Y183" s="26">
        <v>384.61538461538464</v>
      </c>
      <c r="Z183" s="26">
        <v>21.0</v>
      </c>
      <c r="AA183" s="26">
        <v>0.091</v>
      </c>
      <c r="AB183" s="26">
        <v>0.0</v>
      </c>
      <c r="AC183" s="26">
        <v>214.0</v>
      </c>
      <c r="AD183" s="26">
        <v>384.61538461538464</v>
      </c>
      <c r="AE183" s="10" t="s">
        <v>52</v>
      </c>
      <c r="AF183" s="10" t="s">
        <v>53</v>
      </c>
      <c r="AG183" s="27"/>
    </row>
    <row r="184" ht="15.75" customHeight="1">
      <c r="A184" s="34" t="s">
        <v>431</v>
      </c>
      <c r="B184" s="46">
        <v>2000.0</v>
      </c>
      <c r="C184" s="47" t="s">
        <v>403</v>
      </c>
      <c r="D184" s="15" t="s">
        <v>432</v>
      </c>
      <c r="E184" s="47" t="s">
        <v>74</v>
      </c>
      <c r="F184" s="36">
        <v>5.0</v>
      </c>
      <c r="G184" s="15">
        <v>0.0</v>
      </c>
      <c r="H184" s="33">
        <v>0.0</v>
      </c>
      <c r="I184" s="19">
        <v>0.0</v>
      </c>
      <c r="J184" s="19" t="str">
        <f t="shared" si="11"/>
        <v>sin oferta</v>
      </c>
      <c r="K184" s="20" t="str">
        <f t="shared" si="8"/>
        <v>NORMAL / SIN OFERTA</v>
      </c>
      <c r="L184" s="15"/>
      <c r="M184" s="20"/>
      <c r="N184" s="21">
        <v>1.0</v>
      </c>
      <c r="O184" s="22">
        <v>3.0</v>
      </c>
      <c r="P184" s="23" t="str">
        <f>IFERROR(__xludf.DUMMYFUNCTION("IFERROR(
  INDEX(
    QUERY(
      Historial!A:I,
      ""select I where B = '""&amp;A184&amp;""' order by A desc limit 1"",
      0
    ),
    1
  ),
  """"
)"),"")</f>
        <v/>
      </c>
      <c r="Q184" s="19" t="s">
        <v>37</v>
      </c>
      <c r="R184" s="24">
        <v>46478.0</v>
      </c>
      <c r="S184" s="20" t="str">
        <f>IFERROR(__xludf.DUMMYFUNCTION("IFERROR(
  INDEX(
    QUERY(
      Historial!A:G,
      ""select G where B = '""&amp;A184&amp;""' order by A desc limit 1"",
      0
    ),
    1
  ),
  """"
)"),"")</f>
        <v/>
      </c>
      <c r="T184" s="20" t="str">
        <f t="shared" si="3"/>
        <v/>
      </c>
      <c r="U184" s="20" t="str">
        <f t="shared" si="4"/>
        <v/>
      </c>
      <c r="V184" s="25">
        <v>0.0</v>
      </c>
      <c r="W184" s="26">
        <v>3.0</v>
      </c>
      <c r="X184" s="26">
        <v>0.04</v>
      </c>
      <c r="Y184" s="26">
        <v>125.0</v>
      </c>
      <c r="Z184" s="26">
        <v>21.0</v>
      </c>
      <c r="AA184" s="26">
        <v>0.28</v>
      </c>
      <c r="AB184" s="26">
        <v>0.0</v>
      </c>
      <c r="AC184" s="27"/>
      <c r="AD184" s="26">
        <v>125.0</v>
      </c>
      <c r="AE184" s="10" t="s">
        <v>38</v>
      </c>
      <c r="AF184" s="10" t="s">
        <v>39</v>
      </c>
      <c r="AG184" s="27"/>
    </row>
    <row r="185" ht="15.75" customHeight="1">
      <c r="A185" s="34" t="s">
        <v>433</v>
      </c>
      <c r="B185" s="46">
        <v>2500.0</v>
      </c>
      <c r="C185" s="47" t="s">
        <v>403</v>
      </c>
      <c r="D185" s="15" t="s">
        <v>434</v>
      </c>
      <c r="E185" s="47" t="s">
        <v>74</v>
      </c>
      <c r="F185" s="36">
        <v>3.0</v>
      </c>
      <c r="G185" s="33">
        <v>0.0</v>
      </c>
      <c r="H185" s="33">
        <v>0.0</v>
      </c>
      <c r="I185" s="29">
        <v>0.0</v>
      </c>
      <c r="J185" s="19" t="str">
        <f t="shared" si="11"/>
        <v>sin oferta</v>
      </c>
      <c r="K185" s="20" t="str">
        <f t="shared" si="8"/>
        <v>NORMAL / SIN OFERTA</v>
      </c>
      <c r="L185" s="15"/>
      <c r="M185" s="20"/>
      <c r="N185" s="21">
        <v>5.0</v>
      </c>
      <c r="O185" s="22">
        <v>3.0</v>
      </c>
      <c r="P185" s="23" t="str">
        <f>IFERROR(__xludf.DUMMYFUNCTION("IFERROR(
  INDEX(
    QUERY(
      Historial!A:I,
      ""select I where B = '""&amp;A185&amp;""' order by A desc limit 1"",
      0
    ),
    1
  ),
  """"
)"),"")</f>
        <v/>
      </c>
      <c r="Q185" s="19" t="s">
        <v>43</v>
      </c>
      <c r="R185" s="24">
        <v>46479.0</v>
      </c>
      <c r="S185" s="20" t="str">
        <f>IFERROR(__xludf.DUMMYFUNCTION("IFERROR(
  INDEX(
    QUERY(
      Historial!A:G,
      ""select G where B = '""&amp;A185&amp;""' order by A desc limit 1"",
      0
    ),
    1
  ),
  """"
)"),"")</f>
        <v/>
      </c>
      <c r="T185" s="20" t="str">
        <f t="shared" si="3"/>
        <v/>
      </c>
      <c r="U185" s="20" t="str">
        <f t="shared" si="4"/>
        <v/>
      </c>
      <c r="V185" s="25">
        <v>2.0</v>
      </c>
      <c r="W185" s="26">
        <v>3.0</v>
      </c>
      <c r="X185" s="26">
        <v>0.211</v>
      </c>
      <c r="Y185" s="26">
        <v>14.218009478672986</v>
      </c>
      <c r="Z185" s="26">
        <v>21.0</v>
      </c>
      <c r="AA185" s="26">
        <v>1.4769999999999999</v>
      </c>
      <c r="AB185" s="26">
        <v>2.0</v>
      </c>
      <c r="AC185" s="27"/>
      <c r="AD185" s="26">
        <v>14.218009478672986</v>
      </c>
      <c r="AE185" s="10" t="s">
        <v>38</v>
      </c>
      <c r="AF185" s="10" t="s">
        <v>39</v>
      </c>
      <c r="AG185" s="27"/>
    </row>
    <row r="186" ht="15.75" customHeight="1">
      <c r="A186" s="34" t="s">
        <v>435</v>
      </c>
      <c r="B186" s="46">
        <v>2500.0</v>
      </c>
      <c r="C186" s="47" t="s">
        <v>403</v>
      </c>
      <c r="D186" s="15" t="s">
        <v>436</v>
      </c>
      <c r="E186" s="47" t="s">
        <v>74</v>
      </c>
      <c r="F186" s="42">
        <v>6.0</v>
      </c>
      <c r="G186" s="33">
        <v>0.0</v>
      </c>
      <c r="H186" s="33">
        <v>0.0</v>
      </c>
      <c r="I186" s="29">
        <v>1.0</v>
      </c>
      <c r="J186" s="19" t="str">
        <f t="shared" si="11"/>
        <v>especial</v>
      </c>
      <c r="K186" s="20">
        <f t="shared" si="8"/>
        <v>2250</v>
      </c>
      <c r="L186" s="15"/>
      <c r="M186" s="20">
        <v>1.0</v>
      </c>
      <c r="N186" s="21">
        <v>2.0</v>
      </c>
      <c r="O186" s="22">
        <v>3.0</v>
      </c>
      <c r="P186" s="23">
        <f>IFERROR(__xludf.DUMMYFUNCTION("IFERROR(
  INDEX(
    QUERY(
      Historial!A:I,
      ""select I where B = '""&amp;A186&amp;""' order by A desc limit 1"",
      0
    ),
    1
  ),
  """"
)"),46213.0)</f>
        <v>46213</v>
      </c>
      <c r="Q186" s="19" t="s">
        <v>48</v>
      </c>
      <c r="R186" s="24">
        <v>46480.0</v>
      </c>
      <c r="S186" s="20">
        <f>IFERROR(__xludf.DUMMYFUNCTION("IFERROR(
  INDEX(
    QUERY(
      Historial!A:G,
      ""select G where B = '""&amp;A186&amp;""' order by A desc limit 1"",
      0
    ),
    1
  ),
  """"
)"),999.0)</f>
        <v>999</v>
      </c>
      <c r="T186" s="20" t="str">
        <f t="shared" si="3"/>
        <v>✅ OK</v>
      </c>
      <c r="U186" s="20" t="str">
        <f t="shared" si="4"/>
        <v/>
      </c>
      <c r="V186" s="25">
        <v>0.0</v>
      </c>
      <c r="W186" s="26">
        <v>4.0</v>
      </c>
      <c r="X186" s="26">
        <v>0.053</v>
      </c>
      <c r="Y186" s="26">
        <v>113.20754716981132</v>
      </c>
      <c r="Z186" s="26">
        <v>21.0</v>
      </c>
      <c r="AA186" s="26">
        <v>0.371</v>
      </c>
      <c r="AB186" s="26">
        <v>0.0</v>
      </c>
      <c r="AC186" s="26">
        <v>121.0</v>
      </c>
      <c r="AD186" s="26">
        <v>113.20754716981132</v>
      </c>
      <c r="AE186" s="10" t="s">
        <v>38</v>
      </c>
      <c r="AF186" s="10" t="s">
        <v>39</v>
      </c>
      <c r="AG186" s="27"/>
    </row>
    <row r="187" ht="15.75" customHeight="1">
      <c r="A187" s="34" t="s">
        <v>437</v>
      </c>
      <c r="B187" s="35">
        <v>3000.0</v>
      </c>
      <c r="C187" s="15" t="s">
        <v>403</v>
      </c>
      <c r="D187" s="15" t="s">
        <v>438</v>
      </c>
      <c r="E187" s="15"/>
      <c r="F187" s="41">
        <v>5.0</v>
      </c>
      <c r="G187" s="33">
        <v>10.0</v>
      </c>
      <c r="H187" s="33">
        <v>0.0</v>
      </c>
      <c r="I187" s="29">
        <v>0.0</v>
      </c>
      <c r="J187" s="19" t="str">
        <f t="shared" si="11"/>
        <v>2da50off</v>
      </c>
      <c r="K187" s="20">
        <f t="shared" si="8"/>
        <v>2250</v>
      </c>
      <c r="L187" s="15"/>
      <c r="M187" s="20"/>
      <c r="N187" s="21">
        <v>0.0</v>
      </c>
      <c r="O187" s="22">
        <v>3.0</v>
      </c>
      <c r="P187" s="23" t="str">
        <f>IFERROR(__xludf.DUMMYFUNCTION("IFERROR(
  INDEX(
    QUERY(
      Historial!A:I,
      ""select I where B = '""&amp;A187&amp;""' order by A desc limit 1"",
      0
    ),
    1
  ),
  """"
)"),"")</f>
        <v/>
      </c>
      <c r="Q187" s="19" t="s">
        <v>51</v>
      </c>
      <c r="R187" s="24">
        <v>46481.0</v>
      </c>
      <c r="S187" s="20" t="str">
        <f>IFERROR(__xludf.DUMMYFUNCTION("IFERROR(
  INDEX(
    QUERY(
      Historial!A:G,
      ""select G where B = '""&amp;A187&amp;""' order by A desc limit 1"",
      0
    ),
    1
  ),
  """"
)"),"")</f>
        <v/>
      </c>
      <c r="T187" s="20" t="str">
        <f t="shared" si="3"/>
        <v/>
      </c>
      <c r="U187" s="20" t="str">
        <f t="shared" si="4"/>
        <v/>
      </c>
      <c r="V187" s="25">
        <v>0.0</v>
      </c>
      <c r="W187" s="26">
        <v>0.0</v>
      </c>
      <c r="X187" s="26">
        <v>0.0</v>
      </c>
      <c r="Y187" s="27"/>
      <c r="Z187" s="26">
        <v>21.0</v>
      </c>
      <c r="AA187" s="26">
        <v>0.0</v>
      </c>
      <c r="AB187" s="26">
        <v>0.0</v>
      </c>
      <c r="AC187" s="27"/>
      <c r="AD187" s="27"/>
      <c r="AE187" s="10" t="s">
        <v>38</v>
      </c>
      <c r="AF187" s="10" t="s">
        <v>44</v>
      </c>
      <c r="AG187" s="27"/>
    </row>
    <row r="188" ht="15.75" customHeight="1">
      <c r="A188" s="34" t="s">
        <v>439</v>
      </c>
      <c r="B188" s="35">
        <v>4000.0</v>
      </c>
      <c r="C188" s="15" t="s">
        <v>403</v>
      </c>
      <c r="D188" s="15" t="s">
        <v>440</v>
      </c>
      <c r="E188" s="15"/>
      <c r="F188" s="41">
        <v>5.0</v>
      </c>
      <c r="G188" s="33">
        <v>10.0</v>
      </c>
      <c r="H188" s="33">
        <v>0.0</v>
      </c>
      <c r="I188" s="29">
        <v>0.0</v>
      </c>
      <c r="J188" s="19" t="str">
        <f t="shared" si="11"/>
        <v>2da50off</v>
      </c>
      <c r="K188" s="20">
        <f t="shared" si="8"/>
        <v>3000</v>
      </c>
      <c r="L188" s="15"/>
      <c r="M188" s="20"/>
      <c r="N188" s="21">
        <v>0.0</v>
      </c>
      <c r="O188" s="22">
        <v>3.0</v>
      </c>
      <c r="P188" s="23" t="str">
        <f>IFERROR(__xludf.DUMMYFUNCTION("IFERROR(
  INDEX(
    QUERY(
      Historial!A:I,
      ""select I where B = '""&amp;A188&amp;""' order by A desc limit 1"",
      0
    ),
    1
  ),
  """"
)"),"")</f>
        <v/>
      </c>
      <c r="Q188" s="19" t="s">
        <v>57</v>
      </c>
      <c r="R188" s="24">
        <v>46482.0</v>
      </c>
      <c r="S188" s="20" t="str">
        <f>IFERROR(__xludf.DUMMYFUNCTION("IFERROR(
  INDEX(
    QUERY(
      Historial!A:G,
      ""select G where B = '""&amp;A188&amp;""' order by A desc limit 1"",
      0
    ),
    1
  ),
  """"
)"),"")</f>
        <v/>
      </c>
      <c r="T188" s="20" t="str">
        <f t="shared" si="3"/>
        <v/>
      </c>
      <c r="U188" s="20" t="str">
        <f t="shared" si="4"/>
        <v/>
      </c>
      <c r="V188" s="25">
        <v>0.0</v>
      </c>
      <c r="W188" s="26">
        <v>0.0</v>
      </c>
      <c r="X188" s="26">
        <v>0.0</v>
      </c>
      <c r="Y188" s="27"/>
      <c r="Z188" s="26">
        <v>10.0</v>
      </c>
      <c r="AA188" s="26">
        <v>0.0</v>
      </c>
      <c r="AB188" s="26">
        <v>0.0</v>
      </c>
      <c r="AC188" s="27"/>
      <c r="AD188" s="27"/>
      <c r="AE188" s="10" t="s">
        <v>38</v>
      </c>
      <c r="AF188" s="10" t="s">
        <v>44</v>
      </c>
      <c r="AG188" s="27"/>
    </row>
    <row r="189" ht="15.75" customHeight="1">
      <c r="A189" s="34" t="s">
        <v>441</v>
      </c>
      <c r="B189" s="46">
        <v>2000.0</v>
      </c>
      <c r="C189" s="47" t="s">
        <v>403</v>
      </c>
      <c r="D189" s="15" t="s">
        <v>442</v>
      </c>
      <c r="E189" s="47" t="s">
        <v>74</v>
      </c>
      <c r="F189" s="42">
        <v>4.0</v>
      </c>
      <c r="G189" s="33">
        <v>0.0</v>
      </c>
      <c r="H189" s="33">
        <v>0.0</v>
      </c>
      <c r="I189" s="29">
        <v>0.0</v>
      </c>
      <c r="J189" s="19" t="str">
        <f t="shared" si="11"/>
        <v>sin oferta</v>
      </c>
      <c r="K189" s="20" t="str">
        <f t="shared" si="8"/>
        <v>NORMAL / SIN OFERTA</v>
      </c>
      <c r="L189" s="15"/>
      <c r="M189" s="20"/>
      <c r="N189" s="21">
        <v>1.0</v>
      </c>
      <c r="O189" s="22">
        <v>2.0</v>
      </c>
      <c r="P189" s="23">
        <f>IFERROR(__xludf.DUMMYFUNCTION("IFERROR(
  INDEX(
    QUERY(
      Historial!A:I,
      ""select I where B = '""&amp;A189&amp;""' order by A desc limit 1"",
      0
    ),
    1
  ),
  """"
)"),46239.0)</f>
        <v>46239</v>
      </c>
      <c r="Q189" s="19" t="s">
        <v>63</v>
      </c>
      <c r="R189" s="24">
        <v>46484.0</v>
      </c>
      <c r="S189" s="20">
        <f>IFERROR(__xludf.DUMMYFUNCTION("IFERROR(
  INDEX(
    QUERY(
      Historial!A:G,
      ""select G where B = '""&amp;A189&amp;""' order by A desc limit 1"",
      0
    ),
    1
  ),
  """"
)"),1000.0)</f>
        <v>1000</v>
      </c>
      <c r="T189" s="20" t="str">
        <f t="shared" si="3"/>
        <v>✅ OK</v>
      </c>
      <c r="U189" s="20" t="str">
        <f t="shared" si="4"/>
        <v/>
      </c>
      <c r="V189" s="25">
        <v>0.0</v>
      </c>
      <c r="W189" s="26">
        <v>2.0</v>
      </c>
      <c r="X189" s="26">
        <v>0.027</v>
      </c>
      <c r="Y189" s="26">
        <v>148.14814814814815</v>
      </c>
      <c r="Z189" s="26">
        <v>14.0</v>
      </c>
      <c r="AA189" s="26">
        <v>0.27</v>
      </c>
      <c r="AB189" s="26">
        <v>0.0</v>
      </c>
      <c r="AC189" s="26">
        <v>147.0</v>
      </c>
      <c r="AD189" s="26">
        <v>148.14814814814815</v>
      </c>
      <c r="AE189" s="10" t="s">
        <v>52</v>
      </c>
      <c r="AF189" s="10" t="s">
        <v>53</v>
      </c>
      <c r="AG189" s="27"/>
    </row>
    <row r="190" ht="15.75" customHeight="1">
      <c r="A190" s="34" t="s">
        <v>443</v>
      </c>
      <c r="B190" s="35">
        <v>5000.0</v>
      </c>
      <c r="C190" s="15" t="s">
        <v>403</v>
      </c>
      <c r="D190" s="15" t="s">
        <v>444</v>
      </c>
      <c r="E190" s="15" t="s">
        <v>147</v>
      </c>
      <c r="F190" s="41">
        <v>3.0</v>
      </c>
      <c r="G190" s="33">
        <v>0.0</v>
      </c>
      <c r="H190" s="33">
        <v>0.0</v>
      </c>
      <c r="I190" s="29">
        <v>0.0</v>
      </c>
      <c r="J190" s="19" t="str">
        <f t="shared" si="11"/>
        <v>sin oferta</v>
      </c>
      <c r="K190" s="20" t="str">
        <f t="shared" si="8"/>
        <v>NORMAL / SIN OFERTA</v>
      </c>
      <c r="L190" s="15"/>
      <c r="M190" s="20"/>
      <c r="N190" s="21">
        <v>0.0</v>
      </c>
      <c r="O190" s="22">
        <v>2.0</v>
      </c>
      <c r="P190" s="23" t="str">
        <f>IFERROR(__xludf.DUMMYFUNCTION("IFERROR(
  INDEX(
    QUERY(
      Historial!A:I,
      ""select I where B = '""&amp;A190&amp;""' order by A desc limit 1"",
      0
    ),
    1
  ),
  """"
)"),"")</f>
        <v/>
      </c>
      <c r="Q190" s="19" t="s">
        <v>37</v>
      </c>
      <c r="R190" s="24">
        <v>46485.0</v>
      </c>
      <c r="S190" s="20">
        <f>IFERROR(__xludf.DUMMYFUNCTION("IFERROR(
  INDEX(
    QUERY(
      Historial!A:G,
      ""select G where B = '""&amp;A190&amp;""' order by A desc limit 1"",
      0
    ),
    1
  ),
  """"
)"),2699.0)</f>
        <v>2699</v>
      </c>
      <c r="T190" s="20" t="str">
        <f t="shared" si="3"/>
        <v/>
      </c>
      <c r="U190" s="20" t="str">
        <f t="shared" si="4"/>
        <v/>
      </c>
      <c r="V190" s="25">
        <v>0.0</v>
      </c>
      <c r="W190" s="26">
        <v>0.0</v>
      </c>
      <c r="X190" s="26">
        <v>0.0</v>
      </c>
      <c r="Y190" s="27"/>
      <c r="Z190" s="26">
        <v>21.0</v>
      </c>
      <c r="AA190" s="26">
        <v>0.0</v>
      </c>
      <c r="AB190" s="26">
        <v>0.0</v>
      </c>
      <c r="AC190" s="27"/>
      <c r="AD190" s="27"/>
      <c r="AE190" s="10" t="s">
        <v>38</v>
      </c>
      <c r="AF190" s="10" t="s">
        <v>44</v>
      </c>
      <c r="AG190" s="27"/>
    </row>
    <row r="191" ht="15.75" customHeight="1">
      <c r="A191" s="34" t="s">
        <v>445</v>
      </c>
      <c r="B191" s="46">
        <v>4500.0</v>
      </c>
      <c r="C191" s="47" t="s">
        <v>403</v>
      </c>
      <c r="D191" s="15" t="s">
        <v>446</v>
      </c>
      <c r="E191" s="47" t="s">
        <v>74</v>
      </c>
      <c r="F191" s="36">
        <v>6.0</v>
      </c>
      <c r="G191" s="33">
        <v>10.0</v>
      </c>
      <c r="H191" s="33">
        <v>0.0</v>
      </c>
      <c r="I191" s="29">
        <v>0.0</v>
      </c>
      <c r="J191" s="19" t="str">
        <f t="shared" si="11"/>
        <v>2da50off</v>
      </c>
      <c r="K191" s="20">
        <f t="shared" si="8"/>
        <v>3375</v>
      </c>
      <c r="L191" s="15"/>
      <c r="M191" s="20"/>
      <c r="N191" s="21">
        <v>2.0</v>
      </c>
      <c r="O191" s="22">
        <v>2.0</v>
      </c>
      <c r="P191" s="23" t="str">
        <f>IFERROR(__xludf.DUMMYFUNCTION("IFERROR(
  INDEX(
    QUERY(
      Historial!A:I,
      ""select I where B = '""&amp;A191&amp;""' order by A desc limit 1"",
      0
    ),
    1
  ),
  """"
)"),"")</f>
        <v/>
      </c>
      <c r="Q191" s="19" t="s">
        <v>43</v>
      </c>
      <c r="R191" s="24">
        <v>46486.0</v>
      </c>
      <c r="S191" s="20" t="str">
        <f>IFERROR(__xludf.DUMMYFUNCTION("IFERROR(
  INDEX(
    QUERY(
      Historial!A:G,
      ""select G where B = '""&amp;A191&amp;""' order by A desc limit 1"",
      0
    ),
    1
  ),
  """"
)"),"")</f>
        <v/>
      </c>
      <c r="T191" s="20" t="str">
        <f t="shared" si="3"/>
        <v/>
      </c>
      <c r="U191" s="20" t="str">
        <f t="shared" si="4"/>
        <v/>
      </c>
      <c r="V191" s="25">
        <v>1.0</v>
      </c>
      <c r="W191" s="26">
        <v>2.0</v>
      </c>
      <c r="X191" s="26">
        <v>0.112</v>
      </c>
      <c r="Y191" s="26">
        <v>53.57142857142857</v>
      </c>
      <c r="Z191" s="26">
        <v>14.0</v>
      </c>
      <c r="AA191" s="26">
        <v>1.12</v>
      </c>
      <c r="AB191" s="26">
        <v>0.0</v>
      </c>
      <c r="AC191" s="27"/>
      <c r="AD191" s="26">
        <v>53.57142857142857</v>
      </c>
      <c r="AE191" s="10" t="s">
        <v>38</v>
      </c>
      <c r="AF191" s="10" t="s">
        <v>39</v>
      </c>
      <c r="AG191" s="27"/>
    </row>
    <row r="192" ht="15.75" customHeight="1">
      <c r="A192" s="34" t="s">
        <v>447</v>
      </c>
      <c r="B192" s="35">
        <v>3000.0</v>
      </c>
      <c r="C192" s="15" t="s">
        <v>403</v>
      </c>
      <c r="D192" s="15" t="s">
        <v>448</v>
      </c>
      <c r="E192" s="15" t="s">
        <v>74</v>
      </c>
      <c r="F192" s="32">
        <v>2.0</v>
      </c>
      <c r="G192" s="40">
        <v>0.0</v>
      </c>
      <c r="H192" s="40">
        <v>0.0</v>
      </c>
      <c r="I192" s="40">
        <v>0.0</v>
      </c>
      <c r="J192" s="19" t="str">
        <f t="shared" si="11"/>
        <v>sin oferta</v>
      </c>
      <c r="K192" s="20" t="str">
        <f t="shared" si="8"/>
        <v>NORMAL / SIN OFERTA</v>
      </c>
      <c r="L192" s="20">
        <v>0.0</v>
      </c>
      <c r="M192" s="20">
        <v>0.0</v>
      </c>
      <c r="N192" s="21">
        <v>3.0</v>
      </c>
      <c r="O192" s="22">
        <v>2.0</v>
      </c>
      <c r="P192" s="23" t="str">
        <f>IFERROR(__xludf.DUMMYFUNCTION("IFERROR(
  INDEX(
    QUERY(
      Historial!A:I,
      ""select I where B = '""&amp;A192&amp;""' order by A desc limit 1"",
      0
    ),
    1
  ),
  """"
)"),"")</f>
        <v/>
      </c>
      <c r="Q192" s="19" t="s">
        <v>51</v>
      </c>
      <c r="R192" s="24">
        <v>46488.0</v>
      </c>
      <c r="S192" s="20" t="str">
        <f>IFERROR(__xludf.DUMMYFUNCTION("IFERROR(
  INDEX(
    QUERY(
      Historial!A:G,
      ""select G where B = '""&amp;A192&amp;""' order by A desc limit 1"",
      0
    ),
    1
  ),
  """"
)"),"")</f>
        <v/>
      </c>
      <c r="T192" s="20" t="str">
        <f t="shared" si="3"/>
        <v/>
      </c>
      <c r="U192" s="20" t="str">
        <f t="shared" si="4"/>
        <v/>
      </c>
      <c r="V192" s="25">
        <v>1.0</v>
      </c>
      <c r="W192" s="26">
        <v>1.0</v>
      </c>
      <c r="X192" s="26">
        <v>0.099</v>
      </c>
      <c r="Y192" s="26">
        <v>20.2020202020202</v>
      </c>
      <c r="Z192" s="26">
        <v>21.0</v>
      </c>
      <c r="AA192" s="26">
        <v>0.6930000000000001</v>
      </c>
      <c r="AB192" s="26">
        <v>1.0</v>
      </c>
      <c r="AC192" s="27"/>
      <c r="AD192" s="26">
        <v>20.2020202020202</v>
      </c>
      <c r="AE192" s="10" t="s">
        <v>38</v>
      </c>
      <c r="AF192" s="10" t="s">
        <v>39</v>
      </c>
      <c r="AG192" s="27"/>
    </row>
    <row r="193" ht="15.75" customHeight="1">
      <c r="A193" s="34" t="s">
        <v>449</v>
      </c>
      <c r="B193" s="35">
        <v>1500.0</v>
      </c>
      <c r="C193" s="15" t="s">
        <v>403</v>
      </c>
      <c r="D193" s="15" t="s">
        <v>450</v>
      </c>
      <c r="E193" s="15"/>
      <c r="F193" s="41">
        <v>2.0</v>
      </c>
      <c r="G193" s="33">
        <v>0.0</v>
      </c>
      <c r="H193" s="33">
        <v>0.0</v>
      </c>
      <c r="I193" s="29">
        <v>1.0</v>
      </c>
      <c r="J193" s="19" t="str">
        <f t="shared" si="11"/>
        <v>especial</v>
      </c>
      <c r="K193" s="20">
        <f t="shared" si="8"/>
        <v>1350</v>
      </c>
      <c r="L193" s="15"/>
      <c r="M193" s="20">
        <v>1.0</v>
      </c>
      <c r="N193" s="21">
        <v>1.0</v>
      </c>
      <c r="O193" s="22">
        <v>2.0</v>
      </c>
      <c r="P193" s="23" t="str">
        <f>IFERROR(__xludf.DUMMYFUNCTION("IFERROR(
  INDEX(
    QUERY(
      Historial!A:I,
      ""select I where B = '""&amp;A193&amp;""' order by A desc limit 1"",
      0
    ),
    1
  ),
  """"
)"),"")</f>
        <v/>
      </c>
      <c r="Q193" s="19" t="s">
        <v>63</v>
      </c>
      <c r="R193" s="24">
        <v>46491.0</v>
      </c>
      <c r="S193" s="20">
        <f>IFERROR(__xludf.DUMMYFUNCTION("IFERROR(
  INDEX(
    QUERY(
      Historial!A:G,
      ""select G where B = '""&amp;A193&amp;""' order by A desc limit 1"",
      0
    ),
    1
  ),
  """"
)"),1000.0)</f>
        <v>1000</v>
      </c>
      <c r="T193" s="20" t="str">
        <f t="shared" si="3"/>
        <v/>
      </c>
      <c r="U193" s="20" t="str">
        <f t="shared" si="4"/>
        <v/>
      </c>
      <c r="V193" s="25">
        <v>0.0</v>
      </c>
      <c r="W193" s="26">
        <v>2.0</v>
      </c>
      <c r="X193" s="26">
        <v>0.027</v>
      </c>
      <c r="Y193" s="26">
        <v>74.07407407407408</v>
      </c>
      <c r="Z193" s="26">
        <v>21.0</v>
      </c>
      <c r="AA193" s="26">
        <v>0.189</v>
      </c>
      <c r="AB193" s="26">
        <v>0.0</v>
      </c>
      <c r="AC193" s="27"/>
      <c r="AD193" s="26">
        <v>74.07407407407408</v>
      </c>
      <c r="AE193" s="10" t="s">
        <v>38</v>
      </c>
      <c r="AF193" s="10" t="s">
        <v>39</v>
      </c>
      <c r="AG193" s="27"/>
    </row>
    <row r="194" ht="15.75" customHeight="1">
      <c r="A194" s="34" t="s">
        <v>451</v>
      </c>
      <c r="B194" s="35">
        <v>1500.0</v>
      </c>
      <c r="C194" s="15" t="s">
        <v>403</v>
      </c>
      <c r="D194" s="15" t="s">
        <v>452</v>
      </c>
      <c r="E194" s="15"/>
      <c r="F194" s="44">
        <v>3.0</v>
      </c>
      <c r="G194" s="33">
        <v>0.0</v>
      </c>
      <c r="H194" s="33">
        <v>0.0</v>
      </c>
      <c r="I194" s="29">
        <v>1.0</v>
      </c>
      <c r="J194" s="19" t="str">
        <f t="shared" si="11"/>
        <v>especial</v>
      </c>
      <c r="K194" s="20">
        <f t="shared" si="8"/>
        <v>1350</v>
      </c>
      <c r="L194" s="15"/>
      <c r="M194" s="20">
        <v>1.0</v>
      </c>
      <c r="N194" s="21">
        <v>0.0</v>
      </c>
      <c r="O194" s="22">
        <v>2.0</v>
      </c>
      <c r="P194" s="23" t="str">
        <f>IFERROR(__xludf.DUMMYFUNCTION("IFERROR(
  INDEX(
    QUERY(
      Historial!A:I,
      ""select I where B = '""&amp;A194&amp;""' order by A desc limit 1"",
      0
    ),
    1
  ),
  """"
)"),"")</f>
        <v/>
      </c>
      <c r="Q194" s="19" t="s">
        <v>37</v>
      </c>
      <c r="R194" s="24">
        <v>46492.0</v>
      </c>
      <c r="S194" s="20">
        <f>IFERROR(__xludf.DUMMYFUNCTION("IFERROR(
  INDEX(
    QUERY(
      Historial!A:G,
      ""select G where B = '""&amp;A194&amp;""' order by A desc limit 1"",
      0
    ),
    1
  ),
  """"
)"),820.0)</f>
        <v>820</v>
      </c>
      <c r="T194" s="20" t="str">
        <f t="shared" si="3"/>
        <v/>
      </c>
      <c r="U194" s="20" t="str">
        <f t="shared" si="4"/>
        <v/>
      </c>
      <c r="V194" s="25">
        <v>0.0</v>
      </c>
      <c r="W194" s="26">
        <v>0.0</v>
      </c>
      <c r="X194" s="26">
        <v>0.0</v>
      </c>
      <c r="Y194" s="27"/>
      <c r="Z194" s="26">
        <v>21.0</v>
      </c>
      <c r="AA194" s="26">
        <v>0.0</v>
      </c>
      <c r="AB194" s="26">
        <v>0.0</v>
      </c>
      <c r="AC194" s="27"/>
      <c r="AD194" s="27"/>
      <c r="AE194" s="10" t="s">
        <v>38</v>
      </c>
      <c r="AF194" s="10" t="s">
        <v>44</v>
      </c>
      <c r="AG194" s="27"/>
    </row>
    <row r="195" ht="15.75" customHeight="1">
      <c r="A195" s="34" t="s">
        <v>453</v>
      </c>
      <c r="B195" s="35">
        <v>1600.0</v>
      </c>
      <c r="C195" s="15" t="s">
        <v>403</v>
      </c>
      <c r="D195" s="15" t="s">
        <v>454</v>
      </c>
      <c r="E195" s="15" t="s">
        <v>47</v>
      </c>
      <c r="F195" s="41">
        <v>7.0</v>
      </c>
      <c r="G195" s="33">
        <v>0.0</v>
      </c>
      <c r="H195" s="33">
        <v>0.0</v>
      </c>
      <c r="I195" s="29">
        <v>0.0</v>
      </c>
      <c r="J195" s="19" t="str">
        <f t="shared" si="11"/>
        <v>sin oferta</v>
      </c>
      <c r="K195" s="20" t="str">
        <f t="shared" si="8"/>
        <v>NORMAL / SIN OFERTA</v>
      </c>
      <c r="L195" s="15"/>
      <c r="M195" s="20"/>
      <c r="N195" s="21">
        <v>1.0</v>
      </c>
      <c r="O195" s="22">
        <v>2.0</v>
      </c>
      <c r="P195" s="23">
        <f>IFERROR(__xludf.DUMMYFUNCTION("IFERROR(
  INDEX(
    QUERY(
      Historial!A:I,
      ""select I where B = '""&amp;A195&amp;""' order by A desc limit 1"",
      0
    ),
    1
  ),
  """"
)"),46320.0)</f>
        <v>46320</v>
      </c>
      <c r="Q195" s="19" t="s">
        <v>43</v>
      </c>
      <c r="R195" s="24">
        <v>46493.0</v>
      </c>
      <c r="S195" s="20">
        <f>IFERROR(__xludf.DUMMYFUNCTION("IFERROR(
  INDEX(
    QUERY(
      Historial!A:G,
      ""select G where B = '""&amp;A195&amp;""' order by A desc limit 1"",
      0
    ),
    1
  ),
  """"
)"),800.0)</f>
        <v>800</v>
      </c>
      <c r="T195" s="20" t="str">
        <f t="shared" si="3"/>
        <v>✅ OK</v>
      </c>
      <c r="U195" s="20" t="str">
        <f t="shared" si="4"/>
        <v/>
      </c>
      <c r="V195" s="25">
        <v>0.0</v>
      </c>
      <c r="W195" s="26">
        <v>1.0</v>
      </c>
      <c r="X195" s="26">
        <v>0.013</v>
      </c>
      <c r="Y195" s="26">
        <v>538.4615384615385</v>
      </c>
      <c r="Z195" s="26">
        <v>14.0</v>
      </c>
      <c r="AA195" s="26">
        <v>0.13</v>
      </c>
      <c r="AB195" s="26">
        <v>0.0</v>
      </c>
      <c r="AC195" s="26">
        <v>228.0</v>
      </c>
      <c r="AD195" s="26">
        <v>538.4615384615385</v>
      </c>
      <c r="AE195" s="10" t="s">
        <v>52</v>
      </c>
      <c r="AF195" s="10" t="s">
        <v>53</v>
      </c>
      <c r="AG195" s="27"/>
    </row>
    <row r="196" ht="15.75" customHeight="1">
      <c r="A196" s="34" t="s">
        <v>455</v>
      </c>
      <c r="B196" s="35">
        <v>2900.0</v>
      </c>
      <c r="C196" s="15" t="s">
        <v>403</v>
      </c>
      <c r="D196" s="15" t="s">
        <v>456</v>
      </c>
      <c r="E196" s="15" t="s">
        <v>47</v>
      </c>
      <c r="F196" s="41">
        <v>4.0</v>
      </c>
      <c r="G196" s="33">
        <v>0.0</v>
      </c>
      <c r="H196" s="33">
        <v>0.0</v>
      </c>
      <c r="I196" s="29">
        <v>0.0</v>
      </c>
      <c r="J196" s="19" t="str">
        <f t="shared" si="11"/>
        <v>sin oferta</v>
      </c>
      <c r="K196" s="20" t="str">
        <f t="shared" si="8"/>
        <v>NORMAL / SIN OFERTA</v>
      </c>
      <c r="L196" s="15"/>
      <c r="M196" s="20">
        <v>1.0</v>
      </c>
      <c r="N196" s="21">
        <v>1.0</v>
      </c>
      <c r="O196" s="22">
        <v>2.0</v>
      </c>
      <c r="P196" s="23">
        <f>IFERROR(__xludf.DUMMYFUNCTION("IFERROR(
  INDEX(
    QUERY(
      Historial!A:I,
      ""select I where B = '""&amp;A196&amp;""' order by A desc limit 1"",
      0
    ),
    1
  ),
  """"
)"),46233.0)</f>
        <v>46233</v>
      </c>
      <c r="Q196" s="19" t="s">
        <v>48</v>
      </c>
      <c r="R196" s="24">
        <v>46494.0</v>
      </c>
      <c r="S196" s="20">
        <f>IFERROR(__xludf.DUMMYFUNCTION("IFERROR(
  INDEX(
    QUERY(
      Historial!A:G,
      ""select G where B = '""&amp;A196&amp;""' order by A desc limit 1"",
      0
    ),
    1
  ),
  """"
)"),1949.0)</f>
        <v>1949</v>
      </c>
      <c r="T196" s="20" t="str">
        <f t="shared" si="3"/>
        <v>✅ OK</v>
      </c>
      <c r="U196" s="20" t="str">
        <f t="shared" si="4"/>
        <v/>
      </c>
      <c r="V196" s="25">
        <v>0.0</v>
      </c>
      <c r="W196" s="26">
        <v>1.0</v>
      </c>
      <c r="X196" s="26">
        <v>0.013</v>
      </c>
      <c r="Y196" s="26">
        <v>307.6923076923077</v>
      </c>
      <c r="Z196" s="26">
        <v>21.0</v>
      </c>
      <c r="AA196" s="26">
        <v>0.091</v>
      </c>
      <c r="AB196" s="26">
        <v>0.0</v>
      </c>
      <c r="AC196" s="26">
        <v>141.0</v>
      </c>
      <c r="AD196" s="26">
        <v>307.6923076923077</v>
      </c>
      <c r="AE196" s="10" t="s">
        <v>52</v>
      </c>
      <c r="AF196" s="10" t="s">
        <v>53</v>
      </c>
      <c r="AG196" s="27"/>
    </row>
    <row r="197" ht="15.75" customHeight="1">
      <c r="A197" s="34" t="s">
        <v>457</v>
      </c>
      <c r="B197" s="46">
        <v>3000.0</v>
      </c>
      <c r="C197" s="47" t="s">
        <v>458</v>
      </c>
      <c r="D197" s="15" t="s">
        <v>459</v>
      </c>
      <c r="E197" s="47" t="s">
        <v>114</v>
      </c>
      <c r="F197" s="36">
        <v>6.0</v>
      </c>
      <c r="G197" s="33">
        <v>0.0</v>
      </c>
      <c r="H197" s="33">
        <v>0.0</v>
      </c>
      <c r="I197" s="29">
        <v>0.0</v>
      </c>
      <c r="J197" s="19" t="str">
        <f t="shared" si="11"/>
        <v>sin oferta</v>
      </c>
      <c r="K197" s="20" t="str">
        <f t="shared" si="8"/>
        <v>NORMAL / SIN OFERTA</v>
      </c>
      <c r="L197" s="15"/>
      <c r="M197" s="20"/>
      <c r="N197" s="21">
        <v>0.0</v>
      </c>
      <c r="O197" s="22">
        <v>2.0</v>
      </c>
      <c r="P197" s="23" t="str">
        <f>IFERROR(__xludf.DUMMYFUNCTION("IFERROR(
  INDEX(
    QUERY(
      Historial!A:I,
      ""select I where B = '""&amp;A197&amp;""' order by A desc limit 1"",
      0
    ),
    1
  ),
  """"
)"),"")</f>
        <v/>
      </c>
      <c r="Q197" s="19" t="s">
        <v>51</v>
      </c>
      <c r="R197" s="24">
        <v>46495.0</v>
      </c>
      <c r="S197" s="20">
        <f>IFERROR(__xludf.DUMMYFUNCTION("IFERROR(
  INDEX(
    QUERY(
      Historial!A:G,
      ""select G where B = '""&amp;A197&amp;""' order by A desc limit 1"",
      0
    ),
    1
  ),
  """"
)"),2140.0)</f>
        <v>2140</v>
      </c>
      <c r="T197" s="20" t="str">
        <f t="shared" si="3"/>
        <v/>
      </c>
      <c r="U197" s="20" t="str">
        <f t="shared" si="4"/>
        <v/>
      </c>
      <c r="V197" s="25">
        <v>0.0</v>
      </c>
      <c r="W197" s="26">
        <v>0.0</v>
      </c>
      <c r="X197" s="26">
        <v>0.0</v>
      </c>
      <c r="Y197" s="27"/>
      <c r="Z197" s="26">
        <v>21.0</v>
      </c>
      <c r="AA197" s="26">
        <v>0.0</v>
      </c>
      <c r="AB197" s="26">
        <v>0.0</v>
      </c>
      <c r="AC197" s="27"/>
      <c r="AD197" s="27"/>
      <c r="AE197" s="10" t="s">
        <v>38</v>
      </c>
      <c r="AF197" s="10" t="s">
        <v>44</v>
      </c>
      <c r="AG197" s="27"/>
    </row>
    <row r="198" ht="15.75" customHeight="1">
      <c r="A198" s="31" t="s">
        <v>460</v>
      </c>
      <c r="B198" s="20">
        <v>2300.0</v>
      </c>
      <c r="C198" s="20" t="s">
        <v>458</v>
      </c>
      <c r="D198" s="15" t="s">
        <v>461</v>
      </c>
      <c r="E198" s="20" t="s">
        <v>147</v>
      </c>
      <c r="F198" s="39">
        <v>6.0</v>
      </c>
      <c r="G198" s="33">
        <v>0.0</v>
      </c>
      <c r="H198" s="33">
        <v>0.0</v>
      </c>
      <c r="I198" s="29">
        <v>1.0</v>
      </c>
      <c r="J198" s="19" t="str">
        <f t="shared" si="11"/>
        <v>especial</v>
      </c>
      <c r="K198" s="20">
        <f t="shared" si="8"/>
        <v>2070</v>
      </c>
      <c r="L198" s="15">
        <v>0.0</v>
      </c>
      <c r="M198" s="20"/>
      <c r="N198" s="21">
        <v>0.0</v>
      </c>
      <c r="O198" s="22">
        <v>2.0</v>
      </c>
      <c r="P198" s="23" t="str">
        <f>IFERROR(__xludf.DUMMYFUNCTION("IFERROR(
  INDEX(
    QUERY(
      Historial!A:I,
      ""select I where B = '""&amp;A198&amp;""' order by A desc limit 1"",
      0
    ),
    1
  ),
  """"
)"),"")</f>
        <v/>
      </c>
      <c r="Q198" s="19" t="s">
        <v>60</v>
      </c>
      <c r="R198" s="24">
        <v>46497.0</v>
      </c>
      <c r="S198" s="20" t="str">
        <f>IFERROR(__xludf.DUMMYFUNCTION("IFERROR(
  INDEX(
    QUERY(
      Historial!A:G,
      ""select G where B = '""&amp;A198&amp;""' order by A desc limit 1"",
      0
    ),
    1
  ),
  """"
)"),"")</f>
        <v/>
      </c>
      <c r="T198" s="20" t="str">
        <f t="shared" si="3"/>
        <v/>
      </c>
      <c r="U198" s="20" t="str">
        <f t="shared" si="4"/>
        <v/>
      </c>
      <c r="V198" s="25">
        <v>0.0</v>
      </c>
      <c r="W198" s="26">
        <v>0.0</v>
      </c>
      <c r="X198" s="26">
        <v>0.0</v>
      </c>
      <c r="Y198" s="27"/>
      <c r="Z198" s="26">
        <v>14.0</v>
      </c>
      <c r="AA198" s="26">
        <v>0.0</v>
      </c>
      <c r="AB198" s="26">
        <v>0.0</v>
      </c>
      <c r="AC198" s="27"/>
      <c r="AD198" s="27"/>
      <c r="AE198" s="10" t="s">
        <v>38</v>
      </c>
      <c r="AF198" s="10" t="s">
        <v>44</v>
      </c>
      <c r="AG198" s="27"/>
    </row>
    <row r="199" ht="15.75" customHeight="1">
      <c r="A199" s="34" t="s">
        <v>462</v>
      </c>
      <c r="B199" s="35">
        <v>2300.0</v>
      </c>
      <c r="C199" s="15" t="s">
        <v>458</v>
      </c>
      <c r="D199" s="15" t="s">
        <v>463</v>
      </c>
      <c r="E199" s="15"/>
      <c r="F199" s="41">
        <v>1.0</v>
      </c>
      <c r="G199" s="33">
        <v>0.0</v>
      </c>
      <c r="H199" s="33">
        <v>0.0</v>
      </c>
      <c r="I199" s="29">
        <v>0.0</v>
      </c>
      <c r="J199" s="19" t="str">
        <f t="shared" si="11"/>
        <v>sin oferta</v>
      </c>
      <c r="K199" s="20" t="str">
        <f t="shared" si="8"/>
        <v>NORMAL / SIN OFERTA</v>
      </c>
      <c r="L199" s="15"/>
      <c r="M199" s="20"/>
      <c r="N199" s="21">
        <v>1.0</v>
      </c>
      <c r="O199" s="22">
        <v>2.0</v>
      </c>
      <c r="P199" s="23" t="str">
        <f>IFERROR(__xludf.DUMMYFUNCTION("IFERROR(
  INDEX(
    QUERY(
      Historial!A:I,
      ""select I where B = '""&amp;A199&amp;""' order by A desc limit 1"",
      0
    ),
    1
  ),
  """"
)"),"")</f>
        <v/>
      </c>
      <c r="Q199" s="19" t="s">
        <v>63</v>
      </c>
      <c r="R199" s="24">
        <v>46498.0</v>
      </c>
      <c r="S199" s="20">
        <f>IFERROR(__xludf.DUMMYFUNCTION("IFERROR(
  INDEX(
    QUERY(
      Historial!A:G,
      ""select G where B = '""&amp;A199&amp;""' order by A desc limit 1"",
      0
    ),
    1
  ),
  """"
)"),1600.0)</f>
        <v>1600</v>
      </c>
      <c r="T199" s="20" t="str">
        <f t="shared" si="3"/>
        <v/>
      </c>
      <c r="U199" s="20" t="str">
        <f t="shared" si="4"/>
        <v/>
      </c>
      <c r="V199" s="25">
        <v>0.0</v>
      </c>
      <c r="W199" s="26">
        <v>1.0</v>
      </c>
      <c r="X199" s="26">
        <v>0.013</v>
      </c>
      <c r="Y199" s="26">
        <v>76.92307692307692</v>
      </c>
      <c r="Z199" s="26">
        <v>14.0</v>
      </c>
      <c r="AA199" s="26">
        <v>0.13</v>
      </c>
      <c r="AB199" s="26">
        <v>0.0</v>
      </c>
      <c r="AC199" s="27"/>
      <c r="AD199" s="26">
        <v>76.92307692307692</v>
      </c>
      <c r="AE199" s="10" t="s">
        <v>38</v>
      </c>
      <c r="AF199" s="10" t="s">
        <v>39</v>
      </c>
      <c r="AG199" s="27"/>
    </row>
    <row r="200" ht="15.75" customHeight="1">
      <c r="A200" s="34" t="s">
        <v>464</v>
      </c>
      <c r="B200" s="35">
        <v>7500.0</v>
      </c>
      <c r="C200" s="15" t="s">
        <v>458</v>
      </c>
      <c r="D200" s="15" t="s">
        <v>465</v>
      </c>
      <c r="E200" s="15"/>
      <c r="F200" s="41">
        <v>10.0</v>
      </c>
      <c r="G200" s="33">
        <v>0.0</v>
      </c>
      <c r="H200" s="33">
        <v>0.0</v>
      </c>
      <c r="I200" s="29">
        <v>0.0</v>
      </c>
      <c r="J200" s="19" t="str">
        <f t="shared" si="11"/>
        <v>sin oferta</v>
      </c>
      <c r="K200" s="20" t="str">
        <f t="shared" si="8"/>
        <v>NORMAL / SIN OFERTA</v>
      </c>
      <c r="L200" s="15"/>
      <c r="M200" s="20"/>
      <c r="N200" s="21">
        <v>0.0</v>
      </c>
      <c r="O200" s="22">
        <v>3.0</v>
      </c>
      <c r="P200" s="23" t="str">
        <f>IFERROR(__xludf.DUMMYFUNCTION("IFERROR(
  INDEX(
    QUERY(
      Historial!A:I,
      ""select I where B = '""&amp;A200&amp;""' order by A desc limit 1"",
      0
    ),
    1
  ),
  """"
)"),"")</f>
        <v/>
      </c>
      <c r="Q200" s="19" t="s">
        <v>48</v>
      </c>
      <c r="R200" s="24">
        <v>46501.0</v>
      </c>
      <c r="S200" s="20" t="str">
        <f>IFERROR(__xludf.DUMMYFUNCTION("IFERROR(
  INDEX(
    QUERY(
      Historial!A:G,
      ""select G where B = '""&amp;A200&amp;""' order by A desc limit 1"",
      0
    ),
    1
  ),
  """"
)"),"")</f>
        <v/>
      </c>
      <c r="T200" s="20" t="str">
        <f t="shared" si="3"/>
        <v/>
      </c>
      <c r="U200" s="20" t="str">
        <f t="shared" si="4"/>
        <v/>
      </c>
      <c r="V200" s="25">
        <v>0.0</v>
      </c>
      <c r="W200" s="26">
        <v>0.0</v>
      </c>
      <c r="X200" s="26">
        <v>0.0</v>
      </c>
      <c r="Y200" s="27"/>
      <c r="Z200" s="26">
        <v>21.0</v>
      </c>
      <c r="AA200" s="26">
        <v>0.0</v>
      </c>
      <c r="AB200" s="26">
        <v>0.0</v>
      </c>
      <c r="AC200" s="27"/>
      <c r="AD200" s="27"/>
      <c r="AE200" s="10" t="s">
        <v>38</v>
      </c>
      <c r="AF200" s="10" t="s">
        <v>44</v>
      </c>
      <c r="AG200" s="27"/>
    </row>
    <row r="201" ht="15.75" customHeight="1">
      <c r="A201" s="34" t="s">
        <v>466</v>
      </c>
      <c r="B201" s="35">
        <v>2300.0</v>
      </c>
      <c r="C201" s="15" t="s">
        <v>458</v>
      </c>
      <c r="D201" s="15" t="s">
        <v>467</v>
      </c>
      <c r="E201" s="15" t="s">
        <v>47</v>
      </c>
      <c r="F201" s="36">
        <v>24.0</v>
      </c>
      <c r="G201" s="33">
        <v>0.0</v>
      </c>
      <c r="H201" s="33">
        <v>0.0</v>
      </c>
      <c r="I201" s="29">
        <v>0.0</v>
      </c>
      <c r="J201" s="19" t="str">
        <f t="shared" si="11"/>
        <v>sin oferta</v>
      </c>
      <c r="K201" s="20" t="str">
        <f t="shared" si="8"/>
        <v>NORMAL / SIN OFERTA</v>
      </c>
      <c r="L201" s="15"/>
      <c r="M201" s="20"/>
      <c r="N201" s="21">
        <v>2.0</v>
      </c>
      <c r="O201" s="22">
        <v>2.0</v>
      </c>
      <c r="P201" s="23">
        <f>IFERROR(__xludf.DUMMYFUNCTION("IFERROR(
  INDEX(
    QUERY(
      Historial!A:I,
      ""select I where B = '""&amp;A201&amp;""' order by A desc limit 1"",
      0
    ),
    1
  ),
  """"
)"),46142.0)</f>
        <v>46142</v>
      </c>
      <c r="Q201" s="19" t="s">
        <v>57</v>
      </c>
      <c r="R201" s="24">
        <v>46503.0</v>
      </c>
      <c r="S201" s="20">
        <f>IFERROR(__xludf.DUMMYFUNCTION("IFERROR(
  INDEX(
    QUERY(
      Historial!A:G,
      ""select G where B = '""&amp;A201&amp;""' order by A desc limit 1"",
      0
    ),
    1
  ),
  """"
)"),1239.0)</f>
        <v>1239</v>
      </c>
      <c r="T201" s="20" t="str">
        <f t="shared" si="3"/>
        <v>✅ OK</v>
      </c>
      <c r="U201" s="20" t="str">
        <f t="shared" si="4"/>
        <v/>
      </c>
      <c r="V201" s="25">
        <v>1.0</v>
      </c>
      <c r="W201" s="26">
        <v>1.0</v>
      </c>
      <c r="X201" s="26">
        <v>0.099</v>
      </c>
      <c r="Y201" s="26">
        <v>242.4242424242424</v>
      </c>
      <c r="Z201" s="26">
        <v>14.0</v>
      </c>
      <c r="AA201" s="26">
        <v>0.99</v>
      </c>
      <c r="AB201" s="26">
        <v>0.0</v>
      </c>
      <c r="AC201" s="26">
        <v>50.0</v>
      </c>
      <c r="AD201" s="26">
        <v>242.4242424242424</v>
      </c>
      <c r="AE201" s="10" t="s">
        <v>52</v>
      </c>
      <c r="AF201" s="10" t="s">
        <v>53</v>
      </c>
      <c r="AG201" s="27"/>
    </row>
    <row r="202" ht="15.75" customHeight="1">
      <c r="A202" s="34" t="s">
        <v>468</v>
      </c>
      <c r="B202" s="35">
        <v>2300.0</v>
      </c>
      <c r="C202" s="15" t="s">
        <v>458</v>
      </c>
      <c r="D202" s="15" t="s">
        <v>469</v>
      </c>
      <c r="E202" s="15"/>
      <c r="F202" s="36">
        <v>2.0</v>
      </c>
      <c r="G202" s="33">
        <v>0.0</v>
      </c>
      <c r="H202" s="33">
        <v>0.0</v>
      </c>
      <c r="I202" s="29">
        <v>0.0</v>
      </c>
      <c r="J202" s="19" t="str">
        <f t="shared" si="11"/>
        <v>sin oferta</v>
      </c>
      <c r="K202" s="20" t="str">
        <f t="shared" si="8"/>
        <v>NORMAL / SIN OFERTA</v>
      </c>
      <c r="L202" s="15"/>
      <c r="M202" s="20"/>
      <c r="N202" s="21">
        <v>2.0</v>
      </c>
      <c r="O202" s="22">
        <v>3.0</v>
      </c>
      <c r="P202" s="23" t="str">
        <f>IFERROR(__xludf.DUMMYFUNCTION("IFERROR(
  INDEX(
    QUERY(
      Historial!A:I,
      ""select I where B = '""&amp;A202&amp;""' order by A desc limit 1"",
      0
    ),
    1
  ),
  """"
)"),"")</f>
        <v/>
      </c>
      <c r="Q202" s="19" t="s">
        <v>60</v>
      </c>
      <c r="R202" s="24">
        <v>46504.0</v>
      </c>
      <c r="S202" s="20" t="str">
        <f>IFERROR(__xludf.DUMMYFUNCTION("IFERROR(
  INDEX(
    QUERY(
      Historial!A:G,
      ""select G where B = '""&amp;A202&amp;""' order by A desc limit 1"",
      0
    ),
    1
  ),
  """"
)"),"")</f>
        <v/>
      </c>
      <c r="T202" s="20" t="str">
        <f t="shared" si="3"/>
        <v/>
      </c>
      <c r="U202" s="20" t="str">
        <f t="shared" si="4"/>
        <v/>
      </c>
      <c r="V202" s="25">
        <v>0.0</v>
      </c>
      <c r="W202" s="26">
        <v>4.0</v>
      </c>
      <c r="X202" s="26">
        <v>0.053</v>
      </c>
      <c r="Y202" s="26">
        <v>37.735849056603776</v>
      </c>
      <c r="Z202" s="26">
        <v>21.0</v>
      </c>
      <c r="AA202" s="26">
        <v>0.371</v>
      </c>
      <c r="AB202" s="26">
        <v>0.0</v>
      </c>
      <c r="AC202" s="27"/>
      <c r="AD202" s="26">
        <v>37.735849056603776</v>
      </c>
      <c r="AE202" s="10" t="s">
        <v>38</v>
      </c>
      <c r="AF202" s="10" t="s">
        <v>39</v>
      </c>
      <c r="AG202" s="27"/>
    </row>
    <row r="203" ht="15.75" customHeight="1">
      <c r="A203" s="34" t="s">
        <v>470</v>
      </c>
      <c r="B203" s="35">
        <v>3000.0</v>
      </c>
      <c r="C203" s="15" t="s">
        <v>458</v>
      </c>
      <c r="D203" s="15" t="s">
        <v>471</v>
      </c>
      <c r="E203" s="15"/>
      <c r="F203" s="36">
        <v>3.0</v>
      </c>
      <c r="G203" s="33">
        <v>0.0</v>
      </c>
      <c r="H203" s="33">
        <v>0.0</v>
      </c>
      <c r="I203" s="29">
        <v>0.0</v>
      </c>
      <c r="J203" s="19" t="str">
        <f t="shared" si="11"/>
        <v>sin oferta</v>
      </c>
      <c r="K203" s="20" t="str">
        <f t="shared" si="8"/>
        <v>NORMAL / SIN OFERTA</v>
      </c>
      <c r="L203" s="15"/>
      <c r="M203" s="20"/>
      <c r="N203" s="21">
        <v>3.0</v>
      </c>
      <c r="O203" s="22">
        <v>2.0</v>
      </c>
      <c r="P203" s="23" t="str">
        <f>IFERROR(__xludf.DUMMYFUNCTION("IFERROR(
  INDEX(
    QUERY(
      Historial!A:I,
      ""select I where B = '""&amp;A203&amp;""' order by A desc limit 1"",
      0
    ),
    1
  ),
  """"
)"),"")</f>
        <v/>
      </c>
      <c r="Q203" s="19" t="s">
        <v>37</v>
      </c>
      <c r="R203" s="24">
        <v>46506.0</v>
      </c>
      <c r="S203" s="20" t="str">
        <f>IFERROR(__xludf.DUMMYFUNCTION("IFERROR(
  INDEX(
    QUERY(
      Historial!A:G,
      ""select G where B = '""&amp;A203&amp;""' order by A desc limit 1"",
      0
    ),
    1
  ),
  """"
)"),"")</f>
        <v/>
      </c>
      <c r="T203" s="20" t="str">
        <f t="shared" si="3"/>
        <v/>
      </c>
      <c r="U203" s="20" t="str">
        <f t="shared" si="4"/>
        <v/>
      </c>
      <c r="V203" s="25">
        <v>1.0</v>
      </c>
      <c r="W203" s="26">
        <v>1.0</v>
      </c>
      <c r="X203" s="26">
        <v>0.099</v>
      </c>
      <c r="Y203" s="26">
        <v>30.3030303030303</v>
      </c>
      <c r="Z203" s="26">
        <v>21.0</v>
      </c>
      <c r="AA203" s="26">
        <v>0.6930000000000001</v>
      </c>
      <c r="AB203" s="26">
        <v>0.0</v>
      </c>
      <c r="AC203" s="27"/>
      <c r="AD203" s="26">
        <v>30.3030303030303</v>
      </c>
      <c r="AE203" s="10" t="s">
        <v>38</v>
      </c>
      <c r="AF203" s="10" t="s">
        <v>39</v>
      </c>
      <c r="AG203" s="27"/>
    </row>
    <row r="204" ht="15.75" customHeight="1">
      <c r="A204" s="34" t="s">
        <v>472</v>
      </c>
      <c r="B204" s="46">
        <v>4500.0</v>
      </c>
      <c r="C204" s="47" t="s">
        <v>458</v>
      </c>
      <c r="D204" s="15" t="s">
        <v>473</v>
      </c>
      <c r="E204" s="47" t="s">
        <v>114</v>
      </c>
      <c r="F204" s="63">
        <v>13.0</v>
      </c>
      <c r="G204" s="33">
        <v>10.0</v>
      </c>
      <c r="H204" s="33">
        <v>0.0</v>
      </c>
      <c r="I204" s="29">
        <v>0.0</v>
      </c>
      <c r="J204" s="19" t="str">
        <f t="shared" si="11"/>
        <v>2da50off</v>
      </c>
      <c r="K204" s="20">
        <f t="shared" si="8"/>
        <v>3375</v>
      </c>
      <c r="L204" s="15"/>
      <c r="M204" s="20"/>
      <c r="N204" s="21">
        <v>1.0</v>
      </c>
      <c r="O204" s="22">
        <v>2.0</v>
      </c>
      <c r="P204" s="23" t="str">
        <f>IFERROR(__xludf.DUMMYFUNCTION("IFERROR(
  INDEX(
    QUERY(
      Historial!A:I,
      ""select I where B = '""&amp;A204&amp;""' order by A desc limit 1"",
      0
    ),
    1
  ),
  """"
)"),"")</f>
        <v/>
      </c>
      <c r="Q204" s="19" t="s">
        <v>48</v>
      </c>
      <c r="R204" s="24">
        <v>46508.0</v>
      </c>
      <c r="S204" s="20">
        <f>IFERROR(__xludf.DUMMYFUNCTION("IFERROR(
  INDEX(
    QUERY(
      Historial!A:G,
      ""select G where B = '""&amp;A204&amp;""' order by A desc limit 1"",
      0
    ),
    1
  ),
  """"
)"),2600.0)</f>
        <v>2600</v>
      </c>
      <c r="T204" s="20" t="str">
        <f t="shared" si="3"/>
        <v/>
      </c>
      <c r="U204" s="20" t="str">
        <f t="shared" si="4"/>
        <v/>
      </c>
      <c r="V204" s="25">
        <v>0.0</v>
      </c>
      <c r="W204" s="26">
        <v>2.0</v>
      </c>
      <c r="X204" s="26">
        <v>0.027</v>
      </c>
      <c r="Y204" s="26">
        <v>481.48148148148147</v>
      </c>
      <c r="Z204" s="26">
        <v>21.0</v>
      </c>
      <c r="AA204" s="26">
        <v>0.189</v>
      </c>
      <c r="AB204" s="26">
        <v>0.0</v>
      </c>
      <c r="AC204" s="27"/>
      <c r="AD204" s="26">
        <v>481.48148148148147</v>
      </c>
      <c r="AE204" s="10" t="s">
        <v>38</v>
      </c>
      <c r="AF204" s="10" t="s">
        <v>39</v>
      </c>
      <c r="AG204" s="27"/>
    </row>
    <row r="205" ht="15.75" customHeight="1">
      <c r="A205" s="34" t="s">
        <v>474</v>
      </c>
      <c r="B205" s="35">
        <v>4500.0</v>
      </c>
      <c r="C205" s="15" t="s">
        <v>458</v>
      </c>
      <c r="D205" s="15" t="s">
        <v>475</v>
      </c>
      <c r="E205" s="15"/>
      <c r="F205" s="36">
        <v>4.0</v>
      </c>
      <c r="G205" s="33">
        <v>0.0</v>
      </c>
      <c r="H205" s="33">
        <v>0.0</v>
      </c>
      <c r="I205" s="29">
        <v>0.0</v>
      </c>
      <c r="J205" s="19" t="str">
        <f t="shared" si="11"/>
        <v>sin oferta</v>
      </c>
      <c r="K205" s="20" t="str">
        <f t="shared" si="8"/>
        <v>NORMAL / SIN OFERTA</v>
      </c>
      <c r="L205" s="15"/>
      <c r="M205" s="20"/>
      <c r="N205" s="21">
        <v>3.0</v>
      </c>
      <c r="O205" s="22">
        <v>2.0</v>
      </c>
      <c r="P205" s="23" t="str">
        <f>IFERROR(__xludf.DUMMYFUNCTION("IFERROR(
  INDEX(
    QUERY(
      Historial!A:I,
      ""select I where B = '""&amp;A205&amp;""' order by A desc limit 1"",
      0
    ),
    1
  ),
  """"
)"),"")</f>
        <v/>
      </c>
      <c r="Q205" s="19" t="s">
        <v>57</v>
      </c>
      <c r="R205" s="24">
        <v>46510.0</v>
      </c>
      <c r="S205" s="20" t="str">
        <f>IFERROR(__xludf.DUMMYFUNCTION("IFERROR(
  INDEX(
    QUERY(
      Historial!A:G,
      ""select G where B = '""&amp;A205&amp;""' order by A desc limit 1"",
      0
    ),
    1
  ),
  """"
)"),"")</f>
        <v/>
      </c>
      <c r="T205" s="20" t="str">
        <f t="shared" si="3"/>
        <v/>
      </c>
      <c r="U205" s="20" t="str">
        <f t="shared" si="4"/>
        <v/>
      </c>
      <c r="V205" s="25">
        <v>1.0</v>
      </c>
      <c r="W205" s="26">
        <v>1.0</v>
      </c>
      <c r="X205" s="26">
        <v>0.099</v>
      </c>
      <c r="Y205" s="26">
        <v>40.4040404040404</v>
      </c>
      <c r="Z205" s="26">
        <v>21.0</v>
      </c>
      <c r="AA205" s="26">
        <v>0.6930000000000001</v>
      </c>
      <c r="AB205" s="26">
        <v>0.0</v>
      </c>
      <c r="AC205" s="27"/>
      <c r="AD205" s="26">
        <v>40.4040404040404</v>
      </c>
      <c r="AE205" s="10" t="s">
        <v>38</v>
      </c>
      <c r="AF205" s="10" t="s">
        <v>39</v>
      </c>
      <c r="AG205" s="27"/>
    </row>
    <row r="206" ht="15.75" customHeight="1">
      <c r="A206" s="34" t="s">
        <v>476</v>
      </c>
      <c r="B206" s="35">
        <v>4500.0</v>
      </c>
      <c r="C206" s="15" t="s">
        <v>458</v>
      </c>
      <c r="D206" s="15" t="s">
        <v>477</v>
      </c>
      <c r="E206" s="15"/>
      <c r="F206" s="41">
        <v>6.0</v>
      </c>
      <c r="G206" s="33">
        <v>0.0</v>
      </c>
      <c r="H206" s="33">
        <v>0.0</v>
      </c>
      <c r="I206" s="29">
        <v>0.0</v>
      </c>
      <c r="J206" s="19" t="str">
        <f t="shared" si="11"/>
        <v>sin oferta</v>
      </c>
      <c r="K206" s="20" t="str">
        <f t="shared" si="8"/>
        <v>NORMAL / SIN OFERTA</v>
      </c>
      <c r="L206" s="15"/>
      <c r="M206" s="20"/>
      <c r="N206" s="21">
        <v>0.0</v>
      </c>
      <c r="O206" s="22">
        <v>3.0</v>
      </c>
      <c r="P206" s="23" t="str">
        <f>IFERROR(__xludf.DUMMYFUNCTION("IFERROR(
  INDEX(
    QUERY(
      Historial!A:I,
      ""select I where B = '""&amp;A206&amp;""' order by A desc limit 1"",
      0
    ),
    1
  ),
  """"
)"),"")</f>
        <v/>
      </c>
      <c r="Q206" s="19" t="s">
        <v>37</v>
      </c>
      <c r="R206" s="24">
        <v>46513.0</v>
      </c>
      <c r="S206" s="20" t="str">
        <f>IFERROR(__xludf.DUMMYFUNCTION("IFERROR(
  INDEX(
    QUERY(
      Historial!A:G,
      ""select G where B = '""&amp;A206&amp;""' order by A desc limit 1"",
      0
    ),
    1
  ),
  """"
)"),"")</f>
        <v/>
      </c>
      <c r="T206" s="20" t="str">
        <f t="shared" si="3"/>
        <v/>
      </c>
      <c r="U206" s="20" t="str">
        <f t="shared" si="4"/>
        <v/>
      </c>
      <c r="V206" s="25">
        <v>0.0</v>
      </c>
      <c r="W206" s="26">
        <v>0.0</v>
      </c>
      <c r="X206" s="26">
        <v>0.0</v>
      </c>
      <c r="Y206" s="27"/>
      <c r="Z206" s="26">
        <v>21.0</v>
      </c>
      <c r="AA206" s="26">
        <v>0.0</v>
      </c>
      <c r="AB206" s="26">
        <v>0.0</v>
      </c>
      <c r="AC206" s="27"/>
      <c r="AD206" s="27"/>
      <c r="AE206" s="10" t="s">
        <v>38</v>
      </c>
      <c r="AF206" s="10" t="s">
        <v>44</v>
      </c>
      <c r="AG206" s="27"/>
    </row>
    <row r="207" ht="15.75" customHeight="1">
      <c r="A207" s="34" t="s">
        <v>478</v>
      </c>
      <c r="B207" s="35">
        <v>4500.0</v>
      </c>
      <c r="C207" s="15" t="s">
        <v>458</v>
      </c>
      <c r="D207" s="15" t="s">
        <v>479</v>
      </c>
      <c r="E207" s="15" t="s">
        <v>480</v>
      </c>
      <c r="F207" s="41">
        <v>11.0</v>
      </c>
      <c r="G207" s="33">
        <v>0.0</v>
      </c>
      <c r="H207" s="33">
        <v>0.0</v>
      </c>
      <c r="I207" s="29">
        <v>0.0</v>
      </c>
      <c r="J207" s="19" t="str">
        <f t="shared" si="11"/>
        <v>sin oferta</v>
      </c>
      <c r="K207" s="20" t="str">
        <f t="shared" si="8"/>
        <v>NORMAL / SIN OFERTA</v>
      </c>
      <c r="L207" s="15"/>
      <c r="M207" s="20"/>
      <c r="N207" s="21">
        <v>1.0</v>
      </c>
      <c r="O207" s="22">
        <v>2.0</v>
      </c>
      <c r="P207" s="23" t="str">
        <f>IFERROR(__xludf.DUMMYFUNCTION("IFERROR(
  INDEX(
    QUERY(
      Historial!A:I,
      ""select I where B = '""&amp;A207&amp;""' order by A desc limit 1"",
      0
    ),
    1
  ),
  """"
)"),"")</f>
        <v/>
      </c>
      <c r="Q207" s="19" t="s">
        <v>51</v>
      </c>
      <c r="R207" s="24">
        <v>46516.0</v>
      </c>
      <c r="S207" s="20" t="str">
        <f>IFERROR(__xludf.DUMMYFUNCTION("IFERROR(
  INDEX(
    QUERY(
      Historial!A:G,
      ""select G where B = '""&amp;A207&amp;""' order by A desc limit 1"",
      0
    ),
    1
  ),
  """"
)"),"")</f>
        <v/>
      </c>
      <c r="T207" s="20" t="str">
        <f t="shared" si="3"/>
        <v/>
      </c>
      <c r="U207" s="20" t="str">
        <f t="shared" si="4"/>
        <v/>
      </c>
      <c r="V207" s="25">
        <v>0.0</v>
      </c>
      <c r="W207" s="26">
        <v>1.0</v>
      </c>
      <c r="X207" s="26">
        <v>0.013</v>
      </c>
      <c r="Y207" s="26">
        <v>846.1538461538462</v>
      </c>
      <c r="Z207" s="26">
        <v>14.0</v>
      </c>
      <c r="AA207" s="26">
        <v>0.13</v>
      </c>
      <c r="AB207" s="26">
        <v>0.0</v>
      </c>
      <c r="AC207" s="27"/>
      <c r="AD207" s="26">
        <v>846.1538461538462</v>
      </c>
      <c r="AE207" s="10" t="s">
        <v>38</v>
      </c>
      <c r="AF207" s="10" t="s">
        <v>39</v>
      </c>
      <c r="AG207" s="27"/>
    </row>
    <row r="208" ht="15.75" customHeight="1">
      <c r="A208" s="34" t="s">
        <v>481</v>
      </c>
      <c r="B208" s="35">
        <v>4500.0</v>
      </c>
      <c r="C208" s="15" t="s">
        <v>458</v>
      </c>
      <c r="D208" s="15" t="s">
        <v>482</v>
      </c>
      <c r="E208" s="15"/>
      <c r="F208" s="41">
        <v>6.0</v>
      </c>
      <c r="G208" s="33">
        <v>0.0</v>
      </c>
      <c r="H208" s="33">
        <v>0.0</v>
      </c>
      <c r="I208" s="29">
        <v>0.0</v>
      </c>
      <c r="J208" s="19" t="str">
        <f t="shared" si="11"/>
        <v>sin oferta</v>
      </c>
      <c r="K208" s="20" t="str">
        <f t="shared" si="8"/>
        <v>NORMAL / SIN OFERTA</v>
      </c>
      <c r="L208" s="15"/>
      <c r="M208" s="20"/>
      <c r="N208" s="21">
        <v>0.0</v>
      </c>
      <c r="O208" s="22">
        <v>3.0</v>
      </c>
      <c r="P208" s="23" t="str">
        <f>IFERROR(__xludf.DUMMYFUNCTION("IFERROR(
  INDEX(
    QUERY(
      Historial!A:I,
      ""select I where B = '""&amp;A208&amp;""' order by A desc limit 1"",
      0
    ),
    1
  ),
  """"
)"),"")</f>
        <v/>
      </c>
      <c r="Q208" s="19" t="s">
        <v>60</v>
      </c>
      <c r="R208" s="24">
        <v>46518.0</v>
      </c>
      <c r="S208" s="20" t="str">
        <f>IFERROR(__xludf.DUMMYFUNCTION("IFERROR(
  INDEX(
    QUERY(
      Historial!A:G,
      ""select G where B = '""&amp;A208&amp;""' order by A desc limit 1"",
      0
    ),
    1
  ),
  """"
)"),"")</f>
        <v/>
      </c>
      <c r="T208" s="20" t="str">
        <f t="shared" si="3"/>
        <v/>
      </c>
      <c r="U208" s="20" t="str">
        <f t="shared" si="4"/>
        <v/>
      </c>
      <c r="V208" s="25">
        <v>0.0</v>
      </c>
      <c r="W208" s="26">
        <v>0.0</v>
      </c>
      <c r="X208" s="26">
        <v>0.0</v>
      </c>
      <c r="Y208" s="27"/>
      <c r="Z208" s="26">
        <v>21.0</v>
      </c>
      <c r="AA208" s="26">
        <v>0.0</v>
      </c>
      <c r="AB208" s="26">
        <v>0.0</v>
      </c>
      <c r="AC208" s="27"/>
      <c r="AD208" s="27"/>
      <c r="AE208" s="10" t="s">
        <v>38</v>
      </c>
      <c r="AF208" s="10" t="s">
        <v>44</v>
      </c>
      <c r="AG208" s="27"/>
    </row>
    <row r="209" ht="15.75" customHeight="1">
      <c r="A209" s="34" t="s">
        <v>483</v>
      </c>
      <c r="B209" s="35">
        <v>4000.0</v>
      </c>
      <c r="C209" s="15" t="s">
        <v>458</v>
      </c>
      <c r="D209" s="15" t="s">
        <v>484</v>
      </c>
      <c r="E209" s="15"/>
      <c r="F209" s="41">
        <v>5.0</v>
      </c>
      <c r="G209" s="33">
        <v>0.0</v>
      </c>
      <c r="H209" s="33">
        <v>0.0</v>
      </c>
      <c r="I209" s="29">
        <v>0.0</v>
      </c>
      <c r="J209" s="19" t="str">
        <f t="shared" si="11"/>
        <v>sin oferta</v>
      </c>
      <c r="K209" s="20" t="str">
        <f t="shared" si="8"/>
        <v>NORMAL / SIN OFERTA</v>
      </c>
      <c r="L209" s="15"/>
      <c r="M209" s="20"/>
      <c r="N209" s="21">
        <v>0.0</v>
      </c>
      <c r="O209" s="22">
        <v>3.0</v>
      </c>
      <c r="P209" s="23" t="str">
        <f>IFERROR(__xludf.DUMMYFUNCTION("IFERROR(
  INDEX(
    QUERY(
      Historial!A:I,
      ""select I where B = '""&amp;A209&amp;""' order by A desc limit 1"",
      0
    ),
    1
  ),
  """"
)"),"")</f>
        <v/>
      </c>
      <c r="Q209" s="19" t="s">
        <v>63</v>
      </c>
      <c r="R209" s="24">
        <v>46519.0</v>
      </c>
      <c r="S209" s="20" t="str">
        <f>IFERROR(__xludf.DUMMYFUNCTION("IFERROR(
  INDEX(
    QUERY(
      Historial!A:G,
      ""select G where B = '""&amp;A209&amp;""' order by A desc limit 1"",
      0
    ),
    1
  ),
  """"
)"),"")</f>
        <v/>
      </c>
      <c r="T209" s="20" t="str">
        <f t="shared" si="3"/>
        <v/>
      </c>
      <c r="U209" s="20" t="str">
        <f t="shared" si="4"/>
        <v/>
      </c>
      <c r="V209" s="25">
        <v>0.0</v>
      </c>
      <c r="W209" s="26">
        <v>0.0</v>
      </c>
      <c r="X209" s="26">
        <v>0.0</v>
      </c>
      <c r="Y209" s="27"/>
      <c r="Z209" s="26">
        <v>10.0</v>
      </c>
      <c r="AA209" s="26">
        <v>0.0</v>
      </c>
      <c r="AB209" s="26">
        <v>0.0</v>
      </c>
      <c r="AC209" s="27"/>
      <c r="AD209" s="27"/>
      <c r="AE209" s="10" t="s">
        <v>38</v>
      </c>
      <c r="AF209" s="10" t="s">
        <v>44</v>
      </c>
      <c r="AG209" s="27"/>
    </row>
    <row r="210" ht="15.75" customHeight="1">
      <c r="A210" s="34" t="s">
        <v>485</v>
      </c>
      <c r="B210" s="35">
        <v>4500.0</v>
      </c>
      <c r="C210" s="15" t="s">
        <v>458</v>
      </c>
      <c r="D210" s="15" t="s">
        <v>486</v>
      </c>
      <c r="E210" s="15"/>
      <c r="F210" s="41">
        <v>5.0</v>
      </c>
      <c r="G210" s="33">
        <v>0.0</v>
      </c>
      <c r="H210" s="33">
        <v>0.0</v>
      </c>
      <c r="I210" s="29">
        <v>0.0</v>
      </c>
      <c r="J210" s="19" t="str">
        <f t="shared" si="11"/>
        <v>sin oferta</v>
      </c>
      <c r="K210" s="20" t="str">
        <f t="shared" si="8"/>
        <v>NORMAL / SIN OFERTA</v>
      </c>
      <c r="L210" s="15"/>
      <c r="M210" s="20"/>
      <c r="N210" s="21">
        <v>0.0</v>
      </c>
      <c r="O210" s="22">
        <v>3.0</v>
      </c>
      <c r="P210" s="23" t="str">
        <f>IFERROR(__xludf.DUMMYFUNCTION("IFERROR(
  INDEX(
    QUERY(
      Historial!A:I,
      ""select I where B = '""&amp;A210&amp;""' order by A desc limit 1"",
      0
    ),
    1
  ),
  """"
)"),"")</f>
        <v/>
      </c>
      <c r="Q210" s="19" t="s">
        <v>37</v>
      </c>
      <c r="R210" s="24">
        <v>46520.0</v>
      </c>
      <c r="S210" s="20" t="str">
        <f>IFERROR(__xludf.DUMMYFUNCTION("IFERROR(
  INDEX(
    QUERY(
      Historial!A:G,
      ""select G where B = '""&amp;A210&amp;""' order by A desc limit 1"",
      0
    ),
    1
  ),
  """"
)"),"")</f>
        <v/>
      </c>
      <c r="T210" s="20" t="str">
        <f t="shared" si="3"/>
        <v/>
      </c>
      <c r="U210" s="20" t="str">
        <f t="shared" si="4"/>
        <v/>
      </c>
      <c r="V210" s="25">
        <v>0.0</v>
      </c>
      <c r="W210" s="26">
        <v>0.0</v>
      </c>
      <c r="X210" s="26">
        <v>0.0</v>
      </c>
      <c r="Y210" s="27"/>
      <c r="Z210" s="26">
        <v>10.0</v>
      </c>
      <c r="AA210" s="26">
        <v>0.0</v>
      </c>
      <c r="AB210" s="26">
        <v>0.0</v>
      </c>
      <c r="AC210" s="27"/>
      <c r="AD210" s="27"/>
      <c r="AE210" s="10" t="s">
        <v>38</v>
      </c>
      <c r="AF210" s="10" t="s">
        <v>44</v>
      </c>
      <c r="AG210" s="27"/>
    </row>
    <row r="211" ht="15.75" customHeight="1">
      <c r="A211" s="34" t="s">
        <v>487</v>
      </c>
      <c r="B211" s="35">
        <v>5500.0</v>
      </c>
      <c r="C211" s="15" t="s">
        <v>458</v>
      </c>
      <c r="D211" s="15" t="s">
        <v>488</v>
      </c>
      <c r="E211" s="15"/>
      <c r="F211" s="44">
        <v>6.0</v>
      </c>
      <c r="G211" s="33">
        <v>0.0</v>
      </c>
      <c r="H211" s="33">
        <v>0.0</v>
      </c>
      <c r="I211" s="29">
        <v>0.0</v>
      </c>
      <c r="J211" s="19" t="str">
        <f t="shared" si="11"/>
        <v>sin oferta</v>
      </c>
      <c r="K211" s="20" t="str">
        <f t="shared" si="8"/>
        <v>NORMAL / SIN OFERTA</v>
      </c>
      <c r="L211" s="15"/>
      <c r="M211" s="20"/>
      <c r="N211" s="21">
        <v>0.0</v>
      </c>
      <c r="O211" s="22">
        <v>3.0</v>
      </c>
      <c r="P211" s="23" t="str">
        <f>IFERROR(__xludf.DUMMYFUNCTION("IFERROR(
  INDEX(
    QUERY(
      Historial!A:I,
      ""select I where B = '""&amp;A211&amp;""' order by A desc limit 1"",
      0
    ),
    1
  ),
  """"
)"),"")</f>
        <v/>
      </c>
      <c r="Q211" s="19" t="s">
        <v>43</v>
      </c>
      <c r="R211" s="24">
        <v>46521.0</v>
      </c>
      <c r="S211" s="20" t="str">
        <f>IFERROR(__xludf.DUMMYFUNCTION("IFERROR(
  INDEX(
    QUERY(
      Historial!A:G,
      ""select G where B = '""&amp;A211&amp;""' order by A desc limit 1"",
      0
    ),
    1
  ),
  """"
)"),"")</f>
        <v/>
      </c>
      <c r="T211" s="20" t="str">
        <f t="shared" si="3"/>
        <v/>
      </c>
      <c r="U211" s="20" t="str">
        <f t="shared" si="4"/>
        <v/>
      </c>
      <c r="V211" s="25">
        <v>0.0</v>
      </c>
      <c r="W211" s="26">
        <v>0.0</v>
      </c>
      <c r="X211" s="26">
        <v>0.0</v>
      </c>
      <c r="Y211" s="27"/>
      <c r="Z211" s="26">
        <v>10.0</v>
      </c>
      <c r="AA211" s="26">
        <v>0.0</v>
      </c>
      <c r="AB211" s="26">
        <v>0.0</v>
      </c>
      <c r="AC211" s="27"/>
      <c r="AD211" s="27"/>
      <c r="AE211" s="10" t="s">
        <v>38</v>
      </c>
      <c r="AF211" s="10" t="s">
        <v>44</v>
      </c>
      <c r="AG211" s="27"/>
    </row>
    <row r="212" ht="15.75" customHeight="1">
      <c r="A212" s="34" t="s">
        <v>489</v>
      </c>
      <c r="B212" s="35">
        <v>2300.0</v>
      </c>
      <c r="C212" s="15" t="s">
        <v>458</v>
      </c>
      <c r="D212" s="15" t="s">
        <v>490</v>
      </c>
      <c r="E212" s="15"/>
      <c r="F212" s="41">
        <v>6.0</v>
      </c>
      <c r="G212" s="33">
        <v>0.0</v>
      </c>
      <c r="H212" s="33">
        <v>0.0</v>
      </c>
      <c r="I212" s="29">
        <v>0.0</v>
      </c>
      <c r="J212" s="19" t="str">
        <f t="shared" si="11"/>
        <v>sin oferta</v>
      </c>
      <c r="K212" s="20" t="str">
        <f t="shared" si="8"/>
        <v>NORMAL / SIN OFERTA</v>
      </c>
      <c r="L212" s="15"/>
      <c r="M212" s="20"/>
      <c r="N212" s="21">
        <v>0.0</v>
      </c>
      <c r="O212" s="22">
        <v>3.0</v>
      </c>
      <c r="P212" s="23" t="str">
        <f>IFERROR(__xludf.DUMMYFUNCTION("IFERROR(
  INDEX(
    QUERY(
      Historial!A:I,
      ""select I where B = '""&amp;A212&amp;""' order by A desc limit 1"",
      0
    ),
    1
  ),
  """"
)"),"")</f>
        <v/>
      </c>
      <c r="Q212" s="19" t="s">
        <v>48</v>
      </c>
      <c r="R212" s="24">
        <v>46522.0</v>
      </c>
      <c r="S212" s="20" t="str">
        <f>IFERROR(__xludf.DUMMYFUNCTION("IFERROR(
  INDEX(
    QUERY(
      Historial!A:G,
      ""select G where B = '""&amp;A212&amp;""' order by A desc limit 1"",
      0
    ),
    1
  ),
  """"
)"),"")</f>
        <v/>
      </c>
      <c r="T212" s="20" t="str">
        <f t="shared" si="3"/>
        <v/>
      </c>
      <c r="U212" s="20" t="str">
        <f t="shared" si="4"/>
        <v/>
      </c>
      <c r="V212" s="25">
        <v>0.0</v>
      </c>
      <c r="W212" s="26">
        <v>0.0</v>
      </c>
      <c r="X212" s="26">
        <v>0.0</v>
      </c>
      <c r="Y212" s="27"/>
      <c r="Z212" s="26">
        <v>10.0</v>
      </c>
      <c r="AA212" s="26">
        <v>0.0</v>
      </c>
      <c r="AB212" s="26">
        <v>0.0</v>
      </c>
      <c r="AC212" s="27"/>
      <c r="AD212" s="27"/>
      <c r="AE212" s="10" t="s">
        <v>38</v>
      </c>
      <c r="AF212" s="10" t="s">
        <v>44</v>
      </c>
      <c r="AG212" s="27"/>
    </row>
    <row r="213" ht="15.75" customHeight="1">
      <c r="A213" s="34" t="s">
        <v>491</v>
      </c>
      <c r="B213" s="46">
        <v>8000.0</v>
      </c>
      <c r="C213" s="47" t="s">
        <v>458</v>
      </c>
      <c r="D213" s="15" t="s">
        <v>492</v>
      </c>
      <c r="E213" s="47" t="s">
        <v>114</v>
      </c>
      <c r="F213" s="36">
        <v>4.0</v>
      </c>
      <c r="G213" s="33">
        <v>0.0</v>
      </c>
      <c r="H213" s="33">
        <v>0.0</v>
      </c>
      <c r="I213" s="29">
        <v>0.0</v>
      </c>
      <c r="J213" s="19" t="str">
        <f t="shared" si="11"/>
        <v>sin oferta</v>
      </c>
      <c r="K213" s="20" t="str">
        <f t="shared" si="8"/>
        <v>NORMAL / SIN OFERTA</v>
      </c>
      <c r="L213" s="15"/>
      <c r="M213" s="20"/>
      <c r="N213" s="21">
        <v>0.0</v>
      </c>
      <c r="O213" s="22">
        <v>2.0</v>
      </c>
      <c r="P213" s="23" t="str">
        <f>IFERROR(__xludf.DUMMYFUNCTION("IFERROR(
  INDEX(
    QUERY(
      Historial!A:I,
      ""select I where B = '""&amp;A213&amp;""' order by A desc limit 1"",
      0
    ),
    1
  ),
  """"
)"),"")</f>
        <v/>
      </c>
      <c r="Q213" s="19" t="s">
        <v>51</v>
      </c>
      <c r="R213" s="24">
        <v>46523.0</v>
      </c>
      <c r="S213" s="20">
        <f>IFERROR(__xludf.DUMMYFUNCTION("IFERROR(
  INDEX(
    QUERY(
      Historial!A:G,
      ""select G where B = '""&amp;A213&amp;""' order by A desc limit 1"",
      0
    ),
    1
  ),
  """"
)"),5380.0)</f>
        <v>5380</v>
      </c>
      <c r="T213" s="20" t="str">
        <f t="shared" si="3"/>
        <v/>
      </c>
      <c r="U213" s="20" t="str">
        <f t="shared" si="4"/>
        <v/>
      </c>
      <c r="V213" s="25">
        <v>0.0</v>
      </c>
      <c r="W213" s="26">
        <v>0.0</v>
      </c>
      <c r="X213" s="26">
        <v>0.0</v>
      </c>
      <c r="Y213" s="27"/>
      <c r="Z213" s="26">
        <v>14.0</v>
      </c>
      <c r="AA213" s="26">
        <v>0.0</v>
      </c>
      <c r="AB213" s="26">
        <v>0.0</v>
      </c>
      <c r="AC213" s="27"/>
      <c r="AD213" s="27"/>
      <c r="AE213" s="10" t="s">
        <v>38</v>
      </c>
      <c r="AF213" s="10" t="s">
        <v>44</v>
      </c>
      <c r="AG213" s="27"/>
    </row>
    <row r="214" ht="15.75" customHeight="1">
      <c r="A214" s="34" t="s">
        <v>493</v>
      </c>
      <c r="B214" s="35">
        <v>2500.0</v>
      </c>
      <c r="C214" s="15" t="s">
        <v>458</v>
      </c>
      <c r="D214" s="15" t="s">
        <v>494</v>
      </c>
      <c r="E214" s="15"/>
      <c r="F214" s="41">
        <v>1.0</v>
      </c>
      <c r="G214" s="33">
        <v>0.0</v>
      </c>
      <c r="H214" s="33">
        <v>0.0</v>
      </c>
      <c r="I214" s="29">
        <v>0.0</v>
      </c>
      <c r="J214" s="19" t="str">
        <f t="shared" si="11"/>
        <v>sin oferta</v>
      </c>
      <c r="K214" s="20" t="str">
        <f t="shared" si="8"/>
        <v>NORMAL / SIN OFERTA</v>
      </c>
      <c r="L214" s="15"/>
      <c r="M214" s="20"/>
      <c r="N214" s="21">
        <v>1.0</v>
      </c>
      <c r="O214" s="22">
        <v>2.0</v>
      </c>
      <c r="P214" s="23" t="str">
        <f>IFERROR(__xludf.DUMMYFUNCTION("IFERROR(
  INDEX(
    QUERY(
      Historial!A:I,
      ""select I where B = '""&amp;A214&amp;""' order by A desc limit 1"",
      0
    ),
    1
  ),
  """"
)"),"")</f>
        <v/>
      </c>
      <c r="Q214" s="19" t="s">
        <v>37</v>
      </c>
      <c r="R214" s="24">
        <v>46527.0</v>
      </c>
      <c r="S214" s="20" t="str">
        <f>IFERROR(__xludf.DUMMYFUNCTION("IFERROR(
  INDEX(
    QUERY(
      Historial!A:G,
      ""select G where B = '""&amp;A214&amp;""' order by A desc limit 1"",
      0
    ),
    1
  ),
  """"
)"),"")</f>
        <v/>
      </c>
      <c r="T214" s="20" t="str">
        <f t="shared" si="3"/>
        <v/>
      </c>
      <c r="U214" s="20" t="str">
        <f t="shared" si="4"/>
        <v/>
      </c>
      <c r="V214" s="25">
        <v>0.0</v>
      </c>
      <c r="W214" s="26">
        <v>1.0</v>
      </c>
      <c r="X214" s="26">
        <v>0.013</v>
      </c>
      <c r="Y214" s="26">
        <v>76.92307692307692</v>
      </c>
      <c r="Z214" s="26">
        <v>14.0</v>
      </c>
      <c r="AA214" s="26">
        <v>0.13</v>
      </c>
      <c r="AB214" s="26">
        <v>0.0</v>
      </c>
      <c r="AC214" s="27"/>
      <c r="AD214" s="26">
        <v>76.92307692307692</v>
      </c>
      <c r="AE214" s="10" t="s">
        <v>38</v>
      </c>
      <c r="AF214" s="10" t="s">
        <v>39</v>
      </c>
      <c r="AG214" s="27"/>
    </row>
    <row r="215" ht="15.75" customHeight="1">
      <c r="A215" s="31" t="s">
        <v>495</v>
      </c>
      <c r="B215" s="40">
        <v>800.0</v>
      </c>
      <c r="C215" s="20" t="s">
        <v>458</v>
      </c>
      <c r="D215" s="15" t="s">
        <v>496</v>
      </c>
      <c r="E215" s="20" t="s">
        <v>147</v>
      </c>
      <c r="F215" s="39">
        <v>9.0</v>
      </c>
      <c r="G215" s="40">
        <v>0.0</v>
      </c>
      <c r="H215" s="20">
        <v>0.0</v>
      </c>
      <c r="I215" s="20">
        <v>0.0</v>
      </c>
      <c r="J215" s="40">
        <v>0.0</v>
      </c>
      <c r="K215" s="20" t="str">
        <f t="shared" si="8"/>
        <v>NORMAL / SIN OFERTA</v>
      </c>
      <c r="L215" s="20">
        <v>0.0</v>
      </c>
      <c r="M215" s="20">
        <v>0.0</v>
      </c>
      <c r="N215" s="21">
        <v>1.0</v>
      </c>
      <c r="O215" s="22">
        <v>2.0</v>
      </c>
      <c r="P215" s="23" t="str">
        <f>IFERROR(__xludf.DUMMYFUNCTION("IFERROR(
  INDEX(
    QUERY(
      Historial!A:I,
      ""select I where B = '""&amp;A215&amp;""' order by A desc limit 1"",
      0
    ),
    1
  ),
  """"
)"),"")</f>
        <v/>
      </c>
      <c r="Q215" s="19" t="s">
        <v>60</v>
      </c>
      <c r="R215" s="24">
        <v>46532.0</v>
      </c>
      <c r="S215" s="20" t="str">
        <f>IFERROR(__xludf.DUMMYFUNCTION("IFERROR(
  INDEX(
    QUERY(
      Historial!A:G,
      ""select G where B = '""&amp;A215&amp;""' order by A desc limit 1"",
      0
    ),
    1
  ),
  """"
)"),"")</f>
        <v/>
      </c>
      <c r="T215" s="20" t="str">
        <f t="shared" si="3"/>
        <v/>
      </c>
      <c r="U215" s="20" t="str">
        <f t="shared" si="4"/>
        <v/>
      </c>
      <c r="V215" s="25">
        <v>0.0</v>
      </c>
      <c r="W215" s="26">
        <v>1.0</v>
      </c>
      <c r="X215" s="26">
        <v>0.013</v>
      </c>
      <c r="Y215" s="26">
        <v>692.3076923076924</v>
      </c>
      <c r="Z215" s="26">
        <v>21.0</v>
      </c>
      <c r="AA215" s="26">
        <v>0.091</v>
      </c>
      <c r="AB215" s="26">
        <v>0.0</v>
      </c>
      <c r="AC215" s="27"/>
      <c r="AD215" s="26">
        <v>692.3076923076924</v>
      </c>
      <c r="AE215" s="10" t="s">
        <v>38</v>
      </c>
      <c r="AF215" s="10" t="s">
        <v>39</v>
      </c>
      <c r="AG215" s="27"/>
    </row>
    <row r="216" ht="15.75" customHeight="1">
      <c r="A216" s="31" t="s">
        <v>497</v>
      </c>
      <c r="B216" s="40">
        <v>800.0</v>
      </c>
      <c r="C216" s="20" t="s">
        <v>458</v>
      </c>
      <c r="D216" s="15" t="s">
        <v>498</v>
      </c>
      <c r="E216" s="20" t="s">
        <v>147</v>
      </c>
      <c r="F216" s="32">
        <v>7.0</v>
      </c>
      <c r="G216" s="40">
        <v>0.0</v>
      </c>
      <c r="H216" s="20">
        <v>0.0</v>
      </c>
      <c r="I216" s="20">
        <v>0.0</v>
      </c>
      <c r="J216" s="40">
        <v>0.0</v>
      </c>
      <c r="K216" s="20" t="str">
        <f t="shared" si="8"/>
        <v>NORMAL / SIN OFERTA</v>
      </c>
      <c r="L216" s="20">
        <v>0.0</v>
      </c>
      <c r="M216" s="20">
        <v>0.0</v>
      </c>
      <c r="N216" s="21">
        <v>5.0</v>
      </c>
      <c r="O216" s="22">
        <v>2.0</v>
      </c>
      <c r="P216" s="23">
        <f>IFERROR(__xludf.DUMMYFUNCTION("IFERROR(
  INDEX(
    QUERY(
      Historial!A:I,
      ""select I where B = '""&amp;A216&amp;""' order by A desc limit 1"",
      0
    ),
    1
  ),
  """"
)"),46365.0)</f>
        <v>46365</v>
      </c>
      <c r="Q216" s="19" t="s">
        <v>63</v>
      </c>
      <c r="R216" s="24">
        <v>46533.0</v>
      </c>
      <c r="S216" s="20">
        <f>IFERROR(__xludf.DUMMYFUNCTION("IFERROR(
  INDEX(
    QUERY(
      Historial!A:G,
      ""select G where B = '""&amp;A216&amp;""' order by A desc limit 1"",
      0
    ),
    1
  ),
  """"
)"),500.0)</f>
        <v>500</v>
      </c>
      <c r="T216" s="20" t="str">
        <f t="shared" si="3"/>
        <v>✅ OK</v>
      </c>
      <c r="U216" s="20" t="str">
        <f t="shared" si="4"/>
        <v/>
      </c>
      <c r="V216" s="25">
        <v>2.0</v>
      </c>
      <c r="W216" s="26">
        <v>2.0</v>
      </c>
      <c r="X216" s="26">
        <v>0.198</v>
      </c>
      <c r="Y216" s="26">
        <v>35.35353535353535</v>
      </c>
      <c r="Z216" s="26">
        <v>21.0</v>
      </c>
      <c r="AA216" s="26">
        <v>1.3860000000000001</v>
      </c>
      <c r="AB216" s="26">
        <v>0.0</v>
      </c>
      <c r="AC216" s="26">
        <v>273.0</v>
      </c>
      <c r="AD216" s="26">
        <v>35.35353535353535</v>
      </c>
      <c r="AE216" s="10" t="s">
        <v>38</v>
      </c>
      <c r="AF216" s="10" t="s">
        <v>39</v>
      </c>
      <c r="AG216" s="27"/>
    </row>
    <row r="217" ht="15.75" customHeight="1">
      <c r="A217" s="34" t="s">
        <v>499</v>
      </c>
      <c r="B217" s="35">
        <v>800.0</v>
      </c>
      <c r="C217" s="15" t="s">
        <v>458</v>
      </c>
      <c r="D217" s="15" t="s">
        <v>500</v>
      </c>
      <c r="E217" s="15"/>
      <c r="F217" s="41">
        <v>2.0</v>
      </c>
      <c r="G217" s="33">
        <v>0.0</v>
      </c>
      <c r="H217" s="33">
        <v>0.0</v>
      </c>
      <c r="I217" s="29">
        <v>0.0</v>
      </c>
      <c r="J217" s="19" t="str">
        <f t="array" ref="J217">IF(
  A217="",
  "",
  IF(
    F217=0,
    "sin stock",
    IF(
      NOT(OR(I217=0,I217=1)),
      "ERROR ESPECIAL",
      IF(
        NOT(ISNUMBER(MATCH(G217,{0;1;2;3;4;5;6;10;11;12;13;14},0))),
        "ERROR RELAMPAGO",
        IF(
          OR(H217&gt;70,AND(H217&gt;0,H217&lt;15)),
          "ERROR DESTACADA",
          IF(
            (I217=1)+(H217&gt;0)+(G217&gt;0)&gt;1,
            "ERROR DOBLE OFERTA",
            IF(
              I217=1,
              "especial",
              IF(
                H217&gt;0,
                "destacada",
                IF(
                  G217&gt;0,
                  IF(
                    OR(
                      AND(G217&lt;=6,F217&lt;(G217+1)),
                      AND(G217=10,F217&lt;2),
                      AND(G217&gt;=11,F217&lt;1)
                    ),
                    "REPONER "&amp;
                    IF(G217&lt;=6,G217+1-F217,
                       IF(G217=10,2-F217,
                          1-F217
                       )
                    )&amp;
                    " PARA PROMO",
                    IF(
                      G217&lt;=6,
                      "relampago "&amp;(G217+1)&amp;"x"&amp;G217,
                      IF(
                        G217=10,
                        "2da50off",
                        IF(
                          G217&gt;=11,
                          "relampago "&amp;CHOOSE(G217-10,10,15,20,25)&amp;"%",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sin oferta</v>
      </c>
      <c r="K217" s="20" t="str">
        <f t="shared" si="8"/>
        <v>NORMAL / SIN OFERTA</v>
      </c>
      <c r="L217" s="15"/>
      <c r="M217" s="20"/>
      <c r="N217" s="21">
        <v>1.0</v>
      </c>
      <c r="O217" s="22">
        <v>3.0</v>
      </c>
      <c r="P217" s="23" t="str">
        <f>IFERROR(__xludf.DUMMYFUNCTION("IFERROR(
  INDEX(
    QUERY(
      Historial!A:I,
      ""select I where B = '""&amp;A217&amp;""' order by A desc limit 1"",
      0
    ),
    1
  ),
  """"
)"),"")</f>
        <v/>
      </c>
      <c r="Q217" s="19" t="s">
        <v>37</v>
      </c>
      <c r="R217" s="24">
        <v>46534.0</v>
      </c>
      <c r="S217" s="20">
        <f>IFERROR(__xludf.DUMMYFUNCTION("IFERROR(
  INDEX(
    QUERY(
      Historial!A:G,
      ""select G where B = '""&amp;A217&amp;""' order by A desc limit 1"",
      0
    ),
    1
  ),
  """"
)"),600.0)</f>
        <v>600</v>
      </c>
      <c r="T217" s="20" t="str">
        <f t="shared" si="3"/>
        <v/>
      </c>
      <c r="U217" s="20" t="str">
        <f t="shared" si="4"/>
        <v/>
      </c>
      <c r="V217" s="25">
        <v>0.0</v>
      </c>
      <c r="W217" s="26">
        <v>3.0</v>
      </c>
      <c r="X217" s="26">
        <v>0.04</v>
      </c>
      <c r="Y217" s="26">
        <v>50.0</v>
      </c>
      <c r="Z217" s="26">
        <v>21.0</v>
      </c>
      <c r="AA217" s="26">
        <v>0.28</v>
      </c>
      <c r="AB217" s="26">
        <v>0.0</v>
      </c>
      <c r="AC217" s="27"/>
      <c r="AD217" s="26">
        <v>50.0</v>
      </c>
      <c r="AE217" s="10" t="s">
        <v>38</v>
      </c>
      <c r="AF217" s="10" t="s">
        <v>39</v>
      </c>
      <c r="AG217" s="27"/>
    </row>
    <row r="218" ht="15.75" customHeight="1">
      <c r="A218" s="34" t="s">
        <v>501</v>
      </c>
      <c r="B218" s="35">
        <v>1000.0</v>
      </c>
      <c r="C218" s="15" t="s">
        <v>502</v>
      </c>
      <c r="D218" s="15" t="s">
        <v>503</v>
      </c>
      <c r="E218" s="15" t="s">
        <v>74</v>
      </c>
      <c r="F218" s="36">
        <v>5.0</v>
      </c>
      <c r="G218" s="33">
        <v>0.0</v>
      </c>
      <c r="H218" s="33">
        <v>0.0</v>
      </c>
      <c r="I218" s="29">
        <v>0.0</v>
      </c>
      <c r="J218" s="19" t="str">
        <f t="shared" ref="J218:J228" si="12">IF(
A218="",
"",
IF(
F218=0,
"sin stock",
IF(
NOT(OR(I218=0,I218=1)),
"ERROR ESPECIAL",
IF(
NOT(ISNUMBER(MATCH(G218,{0;1;2;3;4;5;6;10;11;12;13;14},0))),
"ERROR RELAMPAGO",
IF(
OR(H218&gt;70,AND(H218&gt;0,H218&lt;15)),
"ERROR DESTACADA",
IF(
(I218=1)+(H218&gt;0)+(G218&gt;0)&gt;1,
"ERROR DOBLE OFERTA",
IF(
I218=1,
"especial",
IF(
H218&gt;0,
"destacada",
IF(
G218&gt;0,
IF(
OR(
AND(G218&lt;=6,F218&lt;(G218+1)),
AND(G218=10,F218&lt;2),
AND(G218&gt;=11,F218&lt;1)
),
"REPONER "&amp;
IF(G218&lt;=6,G218+1-F218,
IF(G218=10,2-F218,
1-
F218)
)&amp;
" PARA PROMO",
IF(
G218&lt;=6,
"relampago "&amp;(G218+1)&amp;"x"&amp;G218,
IF(
G218=10,
"2da50off",
IF(
G218&gt;=11,
"relampago "&amp;CHOOSE(G218-10,10,15,20,25)&amp;"%",
"relampago"
)
)
)
),
"sin oferta"
)
)
)
)
)
)
)
)
)</f>
        <v>sin oferta</v>
      </c>
      <c r="K218" s="20" t="str">
        <f t="shared" si="8"/>
        <v>NORMAL / SIN OFERTA</v>
      </c>
      <c r="L218" s="15"/>
      <c r="M218" s="20"/>
      <c r="N218" s="21">
        <v>6.0</v>
      </c>
      <c r="O218" s="22">
        <v>4.0</v>
      </c>
      <c r="P218" s="23" t="str">
        <f>IFERROR(__xludf.DUMMYFUNCTION("IFERROR(
  INDEX(
    QUERY(
      Historial!A:I,
      ""select I where B = '""&amp;A218&amp;""' order by A desc limit 1"",
      0
    ),
    1
  ),
  """"
)"),"")</f>
        <v/>
      </c>
      <c r="Q218" s="19" t="s">
        <v>60</v>
      </c>
      <c r="R218" s="24">
        <v>46539.0</v>
      </c>
      <c r="S218" s="20" t="str">
        <f>IFERROR(__xludf.DUMMYFUNCTION("IFERROR(
  INDEX(
    QUERY(
      Historial!A:G,
      ""select G where B = '""&amp;A218&amp;""' order by A desc limit 1"",
      0
    ),
    1
  ),
  """"
)"),"")</f>
        <v/>
      </c>
      <c r="T218" s="20" t="str">
        <f t="shared" si="3"/>
        <v/>
      </c>
      <c r="U218" s="20" t="str">
        <f t="shared" si="4"/>
        <v/>
      </c>
      <c r="V218" s="25">
        <v>2.0</v>
      </c>
      <c r="W218" s="26">
        <v>6.0</v>
      </c>
      <c r="X218" s="26">
        <v>0.251</v>
      </c>
      <c r="Y218" s="26">
        <v>19.9203187250996</v>
      </c>
      <c r="Z218" s="26">
        <v>21.0</v>
      </c>
      <c r="AA218" s="26">
        <v>1.7570000000000001</v>
      </c>
      <c r="AB218" s="26">
        <v>1.0</v>
      </c>
      <c r="AC218" s="27"/>
      <c r="AD218" s="26">
        <v>19.9203187250996</v>
      </c>
      <c r="AE218" s="10" t="s">
        <v>38</v>
      </c>
      <c r="AF218" s="10" t="s">
        <v>39</v>
      </c>
      <c r="AG218" s="27"/>
    </row>
    <row r="219" ht="15.75" customHeight="1">
      <c r="A219" s="34" t="s">
        <v>504</v>
      </c>
      <c r="B219" s="46">
        <v>800.0</v>
      </c>
      <c r="C219" s="47" t="s">
        <v>502</v>
      </c>
      <c r="D219" s="15" t="s">
        <v>505</v>
      </c>
      <c r="E219" s="47" t="s">
        <v>74</v>
      </c>
      <c r="F219" s="36">
        <v>32.0</v>
      </c>
      <c r="G219" s="33">
        <v>0.0</v>
      </c>
      <c r="H219" s="33">
        <v>0.0</v>
      </c>
      <c r="I219" s="33">
        <v>0.0</v>
      </c>
      <c r="J219" s="19" t="str">
        <f t="shared" si="12"/>
        <v>sin oferta</v>
      </c>
      <c r="K219" s="20" t="str">
        <f t="shared" si="8"/>
        <v>NORMAL / SIN OFERTA</v>
      </c>
      <c r="L219" s="15"/>
      <c r="M219" s="20">
        <v>1.0</v>
      </c>
      <c r="N219" s="21">
        <v>0.0</v>
      </c>
      <c r="O219" s="22">
        <v>2.0</v>
      </c>
      <c r="P219" s="23">
        <f>IFERROR(__xludf.DUMMYFUNCTION("IFERROR(
  INDEX(
    QUERY(
      Historial!A:I,
      ""select I where B = '""&amp;A219&amp;""' order by A desc limit 1"",
      0
    ),
    1
  ),
  """"
)"),46410.0)</f>
        <v>46410</v>
      </c>
      <c r="Q219" s="19" t="s">
        <v>63</v>
      </c>
      <c r="R219" s="24">
        <v>46540.0</v>
      </c>
      <c r="S219" s="20">
        <f>IFERROR(__xludf.DUMMYFUNCTION("IFERROR(
  INDEX(
    QUERY(
      Historial!A:G,
      ""select G where B = '""&amp;A219&amp;""' order by A desc limit 1"",
      0
    ),
    1
  ),
  """"
)"),500.0)</f>
        <v>500</v>
      </c>
      <c r="T219" s="20" t="str">
        <f t="shared" si="3"/>
        <v>✅ OK</v>
      </c>
      <c r="U219" s="20" t="str">
        <f t="shared" si="4"/>
        <v/>
      </c>
      <c r="V219" s="25">
        <v>0.0</v>
      </c>
      <c r="W219" s="26">
        <v>0.0</v>
      </c>
      <c r="X219" s="26">
        <v>0.0</v>
      </c>
      <c r="Y219" s="27"/>
      <c r="Z219" s="26">
        <v>14.0</v>
      </c>
      <c r="AA219" s="26">
        <v>0.0</v>
      </c>
      <c r="AB219" s="26">
        <v>0.0</v>
      </c>
      <c r="AC219" s="26">
        <v>318.0</v>
      </c>
      <c r="AD219" s="27"/>
      <c r="AE219" s="10" t="s">
        <v>38</v>
      </c>
      <c r="AF219" s="10" t="s">
        <v>44</v>
      </c>
      <c r="AG219" s="27"/>
    </row>
    <row r="220" ht="15.75" customHeight="1">
      <c r="A220" s="34" t="s">
        <v>506</v>
      </c>
      <c r="B220" s="46">
        <v>700.0</v>
      </c>
      <c r="C220" s="47" t="s">
        <v>502</v>
      </c>
      <c r="D220" s="15" t="s">
        <v>507</v>
      </c>
      <c r="E220" s="47" t="s">
        <v>74</v>
      </c>
      <c r="F220" s="32">
        <v>19.0</v>
      </c>
      <c r="G220" s="40">
        <v>0.0</v>
      </c>
      <c r="H220" s="40">
        <v>0.0</v>
      </c>
      <c r="I220" s="40">
        <v>0.0</v>
      </c>
      <c r="J220" s="19" t="str">
        <f t="shared" si="12"/>
        <v>sin oferta</v>
      </c>
      <c r="K220" s="20" t="str">
        <f t="shared" si="8"/>
        <v>NORMAL / SIN OFERTA</v>
      </c>
      <c r="L220" s="20">
        <v>0.0</v>
      </c>
      <c r="M220" s="20">
        <v>0.0</v>
      </c>
      <c r="N220" s="21">
        <v>1.0</v>
      </c>
      <c r="O220" s="22">
        <v>2.0</v>
      </c>
      <c r="P220" s="23">
        <f>IFERROR(__xludf.DUMMYFUNCTION("IFERROR(
  INDEX(
    QUERY(
      Historial!A:I,
      ""select I where B = '""&amp;A220&amp;""' order by A desc limit 1"",
      0
    ),
    1
  ),
  """"
)"),46752.0)</f>
        <v>46752</v>
      </c>
      <c r="Q220" s="19" t="s">
        <v>37</v>
      </c>
      <c r="R220" s="24">
        <v>46541.0</v>
      </c>
      <c r="S220" s="20">
        <f>IFERROR(__xludf.DUMMYFUNCTION("IFERROR(
  INDEX(
    QUERY(
      Historial!A:G,
      ""select G where B = '""&amp;A220&amp;""' order by A desc limit 1"",
      0
    ),
    1
  ),
  """"
)"),333.0)</f>
        <v>333</v>
      </c>
      <c r="T220" s="20" t="str">
        <f t="shared" si="3"/>
        <v>✅ OK</v>
      </c>
      <c r="U220" s="20" t="str">
        <f t="shared" si="4"/>
        <v/>
      </c>
      <c r="V220" s="25">
        <v>0.0</v>
      </c>
      <c r="W220" s="26">
        <v>2.0</v>
      </c>
      <c r="X220" s="26">
        <v>0.027</v>
      </c>
      <c r="Y220" s="26">
        <v>703.7037037037037</v>
      </c>
      <c r="Z220" s="26">
        <v>14.0</v>
      </c>
      <c r="AA220" s="26">
        <v>0.27</v>
      </c>
      <c r="AB220" s="26">
        <v>0.0</v>
      </c>
      <c r="AC220" s="26">
        <v>660.0</v>
      </c>
      <c r="AD220" s="26">
        <v>703.7037037037037</v>
      </c>
      <c r="AE220" s="10" t="s">
        <v>52</v>
      </c>
      <c r="AF220" s="10" t="s">
        <v>53</v>
      </c>
      <c r="AG220" s="27"/>
    </row>
    <row r="221" ht="15.75" customHeight="1">
      <c r="A221" s="34" t="s">
        <v>508</v>
      </c>
      <c r="B221" s="35">
        <v>1500.0</v>
      </c>
      <c r="C221" s="15" t="s">
        <v>502</v>
      </c>
      <c r="D221" s="15" t="s">
        <v>509</v>
      </c>
      <c r="E221" s="15"/>
      <c r="F221" s="41">
        <v>2.0</v>
      </c>
      <c r="G221" s="33">
        <v>0.0</v>
      </c>
      <c r="H221" s="33">
        <v>0.0</v>
      </c>
      <c r="I221" s="64">
        <v>0.0</v>
      </c>
      <c r="J221" s="19" t="str">
        <f t="shared" si="12"/>
        <v>sin oferta</v>
      </c>
      <c r="K221" s="20" t="str">
        <f t="shared" si="8"/>
        <v>NORMAL / SIN OFERTA</v>
      </c>
      <c r="L221" s="15"/>
      <c r="M221" s="20"/>
      <c r="N221" s="21">
        <v>1.0</v>
      </c>
      <c r="O221" s="22">
        <v>2.0</v>
      </c>
      <c r="P221" s="23" t="str">
        <f>IFERROR(__xludf.DUMMYFUNCTION("IFERROR(
  INDEX(
    QUERY(
      Historial!A:I,
      ""select I where B = '""&amp;A221&amp;""' order by A desc limit 1"",
      0
    ),
    1
  ),
  """"
)"),"")</f>
        <v/>
      </c>
      <c r="Q221" s="19" t="s">
        <v>43</v>
      </c>
      <c r="R221" s="24">
        <v>46542.0</v>
      </c>
      <c r="S221" s="20">
        <f>IFERROR(__xludf.DUMMYFUNCTION("IFERROR(
  INDEX(
    QUERY(
      Historial!A:G,
      ""select G where B = '""&amp;A221&amp;""' order by A desc limit 1"",
      0
    ),
    1
  ),
  """"
)"),900.0)</f>
        <v>900</v>
      </c>
      <c r="T221" s="20" t="str">
        <f t="shared" si="3"/>
        <v/>
      </c>
      <c r="U221" s="20" t="str">
        <f t="shared" si="4"/>
        <v/>
      </c>
      <c r="V221" s="25">
        <v>0.0</v>
      </c>
      <c r="W221" s="26">
        <v>1.0</v>
      </c>
      <c r="X221" s="26">
        <v>0.013</v>
      </c>
      <c r="Y221" s="26">
        <v>153.84615384615384</v>
      </c>
      <c r="Z221" s="26">
        <v>21.0</v>
      </c>
      <c r="AA221" s="26">
        <v>0.091</v>
      </c>
      <c r="AB221" s="26">
        <v>0.0</v>
      </c>
      <c r="AC221" s="27"/>
      <c r="AD221" s="26">
        <v>153.84615384615384</v>
      </c>
      <c r="AE221" s="10" t="s">
        <v>38</v>
      </c>
      <c r="AF221" s="10" t="s">
        <v>39</v>
      </c>
      <c r="AG221" s="27"/>
    </row>
    <row r="222" ht="15.75" customHeight="1">
      <c r="A222" s="34" t="s">
        <v>510</v>
      </c>
      <c r="B222" s="46">
        <v>1500.0</v>
      </c>
      <c r="C222" s="47" t="s">
        <v>502</v>
      </c>
      <c r="D222" s="15" t="s">
        <v>511</v>
      </c>
      <c r="E222" s="15"/>
      <c r="F222" s="36">
        <v>5.0</v>
      </c>
      <c r="G222" s="33">
        <v>0.0</v>
      </c>
      <c r="H222" s="33">
        <v>0.0</v>
      </c>
      <c r="I222" s="64">
        <v>0.0</v>
      </c>
      <c r="J222" s="19" t="str">
        <f t="shared" si="12"/>
        <v>sin oferta</v>
      </c>
      <c r="K222" s="20" t="str">
        <f t="shared" si="8"/>
        <v>NORMAL / SIN OFERTA</v>
      </c>
      <c r="L222" s="15"/>
      <c r="M222" s="20"/>
      <c r="N222" s="21">
        <v>1.0</v>
      </c>
      <c r="O222" s="22">
        <v>2.0</v>
      </c>
      <c r="P222" s="23">
        <f>IFERROR(__xludf.DUMMYFUNCTION("IFERROR(
  INDEX(
    QUERY(
      Historial!A:I,
      ""select I where B = '""&amp;A222&amp;""' order by A desc limit 1"",
      0
    ),
    1
  ),
  """"
)"),46446.0)</f>
        <v>46446</v>
      </c>
      <c r="Q222" s="19" t="s">
        <v>48</v>
      </c>
      <c r="R222" s="24">
        <v>46543.0</v>
      </c>
      <c r="S222" s="20">
        <f>IFERROR(__xludf.DUMMYFUNCTION("IFERROR(
  INDEX(
    QUERY(
      Historial!A:G,
      ""select G where B = '""&amp;A222&amp;""' order by A desc limit 1"",
      0
    ),
    1
  ),
  """"
)"),821.0)</f>
        <v>821</v>
      </c>
      <c r="T222" s="20" t="str">
        <f t="shared" si="3"/>
        <v>✅ OK</v>
      </c>
      <c r="U222" s="20" t="str">
        <f t="shared" si="4"/>
        <v/>
      </c>
      <c r="V222" s="25">
        <v>0.0</v>
      </c>
      <c r="W222" s="26">
        <v>1.0</v>
      </c>
      <c r="X222" s="26">
        <v>0.013</v>
      </c>
      <c r="Y222" s="26">
        <v>384.61538461538464</v>
      </c>
      <c r="Z222" s="26">
        <v>21.0</v>
      </c>
      <c r="AA222" s="26">
        <v>0.091</v>
      </c>
      <c r="AB222" s="26">
        <v>0.0</v>
      </c>
      <c r="AC222" s="26">
        <v>354.0</v>
      </c>
      <c r="AD222" s="26">
        <v>384.61538461538464</v>
      </c>
      <c r="AE222" s="10" t="s">
        <v>52</v>
      </c>
      <c r="AF222" s="10" t="s">
        <v>53</v>
      </c>
      <c r="AG222" s="27"/>
    </row>
    <row r="223" ht="15.75" customHeight="1">
      <c r="A223" s="28" t="s">
        <v>512</v>
      </c>
      <c r="B223" s="29">
        <v>7000.0</v>
      </c>
      <c r="C223" s="19" t="s">
        <v>502</v>
      </c>
      <c r="D223" s="15" t="s">
        <v>513</v>
      </c>
      <c r="E223" s="19" t="s">
        <v>74</v>
      </c>
      <c r="F223" s="53">
        <v>13.0</v>
      </c>
      <c r="G223" s="33">
        <v>0.0</v>
      </c>
      <c r="H223" s="33">
        <v>0.0</v>
      </c>
      <c r="I223" s="29">
        <v>0.0</v>
      </c>
      <c r="J223" s="19" t="str">
        <f t="shared" si="12"/>
        <v>sin oferta</v>
      </c>
      <c r="K223" s="20" t="str">
        <f t="shared" si="8"/>
        <v>NORMAL / SIN OFERTA</v>
      </c>
      <c r="L223" s="15"/>
      <c r="M223" s="20"/>
      <c r="N223" s="21">
        <v>0.0</v>
      </c>
      <c r="O223" s="22">
        <v>2.0</v>
      </c>
      <c r="P223" s="23" t="str">
        <f>IFERROR(__xludf.DUMMYFUNCTION("IFERROR(
  INDEX(
    QUERY(
      Historial!A:I,
      ""select I where B = '""&amp;A223&amp;""' order by A desc limit 1"",
      0
    ),
    1
  ),
  """"
)"),"")</f>
        <v/>
      </c>
      <c r="Q223" s="19" t="s">
        <v>57</v>
      </c>
      <c r="R223" s="24">
        <v>46545.0</v>
      </c>
      <c r="S223" s="20" t="str">
        <f>IFERROR(__xludf.DUMMYFUNCTION("IFERROR(
  INDEX(
    QUERY(
      Historial!A:G,
      ""select G where B = '""&amp;A223&amp;""' order by A desc limit 1"",
      0
    ),
    1
  ),
  """"
)"),"")</f>
        <v/>
      </c>
      <c r="T223" s="20" t="str">
        <f t="shared" si="3"/>
        <v/>
      </c>
      <c r="U223" s="20" t="str">
        <f t="shared" si="4"/>
        <v/>
      </c>
      <c r="V223" s="25">
        <v>0.0</v>
      </c>
      <c r="W223" s="26">
        <v>0.0</v>
      </c>
      <c r="X223" s="26">
        <v>0.0</v>
      </c>
      <c r="Y223" s="27"/>
      <c r="Z223" s="26">
        <v>21.0</v>
      </c>
      <c r="AA223" s="26">
        <v>0.0</v>
      </c>
      <c r="AB223" s="26">
        <v>0.0</v>
      </c>
      <c r="AC223" s="27"/>
      <c r="AD223" s="27"/>
      <c r="AE223" s="10" t="s">
        <v>38</v>
      </c>
      <c r="AF223" s="10" t="s">
        <v>44</v>
      </c>
      <c r="AG223" s="27"/>
    </row>
    <row r="224" ht="15.75" customHeight="1">
      <c r="A224" s="31" t="s">
        <v>514</v>
      </c>
      <c r="B224" s="40">
        <v>400.0</v>
      </c>
      <c r="C224" s="20" t="s">
        <v>502</v>
      </c>
      <c r="D224" s="15" t="s">
        <v>515</v>
      </c>
      <c r="E224" s="20" t="s">
        <v>42</v>
      </c>
      <c r="F224" s="32">
        <v>43.0</v>
      </c>
      <c r="G224" s="40">
        <v>0.0</v>
      </c>
      <c r="H224" s="40">
        <v>0.0</v>
      </c>
      <c r="I224" s="40">
        <v>0.0</v>
      </c>
      <c r="J224" s="19" t="str">
        <f t="shared" si="12"/>
        <v>sin oferta</v>
      </c>
      <c r="K224" s="20" t="str">
        <f t="shared" si="8"/>
        <v>NORMAL / SIN OFERTA</v>
      </c>
      <c r="L224" s="20">
        <v>0.0</v>
      </c>
      <c r="M224" s="20">
        <v>0.0</v>
      </c>
      <c r="N224" s="21">
        <v>3.0</v>
      </c>
      <c r="O224" s="22">
        <v>3.0</v>
      </c>
      <c r="P224" s="23" t="str">
        <f>IFERROR(__xludf.DUMMYFUNCTION("IFERROR(
  INDEX(
    QUERY(
      Historial!A:I,
      ""select I where B = '""&amp;A224&amp;""' order by A desc limit 1"",
      0
    ),
    1
  ),
  """"
)"),"")</f>
        <v/>
      </c>
      <c r="Q224" s="19" t="s">
        <v>60</v>
      </c>
      <c r="R224" s="24">
        <v>46546.0</v>
      </c>
      <c r="S224" s="20" t="str">
        <f>IFERROR(__xludf.DUMMYFUNCTION("IFERROR(
  INDEX(
    QUERY(
      Historial!A:G,
      ""select G where B = '""&amp;A224&amp;""' order by A desc limit 1"",
      0
    ),
    1
  ),
  """"
)"),"")</f>
        <v/>
      </c>
      <c r="T224" s="20" t="str">
        <f t="shared" si="3"/>
        <v/>
      </c>
      <c r="U224" s="20" t="str">
        <f t="shared" si="4"/>
        <v/>
      </c>
      <c r="V224" s="25">
        <v>2.0</v>
      </c>
      <c r="W224" s="26">
        <v>5.0</v>
      </c>
      <c r="X224" s="26">
        <v>0.238</v>
      </c>
      <c r="Y224" s="26">
        <v>180.67226890756302</v>
      </c>
      <c r="Z224" s="26">
        <v>10.0</v>
      </c>
      <c r="AA224" s="26">
        <v>3.332</v>
      </c>
      <c r="AB224" s="26">
        <v>0.0</v>
      </c>
      <c r="AC224" s="27"/>
      <c r="AD224" s="26">
        <v>180.67226890756302</v>
      </c>
      <c r="AE224" s="10" t="s">
        <v>38</v>
      </c>
      <c r="AF224" s="10" t="s">
        <v>39</v>
      </c>
      <c r="AG224" s="27"/>
    </row>
    <row r="225" ht="15.75" customHeight="1">
      <c r="A225" s="34" t="s">
        <v>516</v>
      </c>
      <c r="B225" s="46">
        <v>600.0</v>
      </c>
      <c r="C225" s="47" t="s">
        <v>502</v>
      </c>
      <c r="D225" s="15" t="s">
        <v>517</v>
      </c>
      <c r="E225" s="15" t="s">
        <v>74</v>
      </c>
      <c r="F225" s="36">
        <v>8.0</v>
      </c>
      <c r="G225" s="33">
        <v>0.0</v>
      </c>
      <c r="H225" s="33">
        <v>0.0</v>
      </c>
      <c r="I225" s="29">
        <v>0.0</v>
      </c>
      <c r="J225" s="19" t="str">
        <f t="shared" si="12"/>
        <v>sin oferta</v>
      </c>
      <c r="K225" s="20" t="str">
        <f t="shared" si="8"/>
        <v>NORMAL / SIN OFERTA</v>
      </c>
      <c r="L225" s="15"/>
      <c r="M225" s="20"/>
      <c r="N225" s="21">
        <v>0.0</v>
      </c>
      <c r="O225" s="22">
        <v>2.0</v>
      </c>
      <c r="P225" s="23">
        <f>IFERROR(__xludf.DUMMYFUNCTION("IFERROR(
  INDEX(
    QUERY(
      Historial!A:I,
      ""select I where B = '""&amp;A225&amp;""' order by A desc limit 1"",
      0
    ),
    1
  ),
  """"
)"),46568.0)</f>
        <v>46568</v>
      </c>
      <c r="Q225" s="19" t="s">
        <v>43</v>
      </c>
      <c r="R225" s="24">
        <v>46549.0</v>
      </c>
      <c r="S225" s="20">
        <f>IFERROR(__xludf.DUMMYFUNCTION("IFERROR(
  INDEX(
    QUERY(
      Historial!A:G,
      ""select G where B = '""&amp;A225&amp;""' order by A desc limit 1"",
      0
    ),
    1
  ),
  """"
)"),313.0)</f>
        <v>313</v>
      </c>
      <c r="T225" s="20" t="str">
        <f t="shared" si="3"/>
        <v>✅ OK</v>
      </c>
      <c r="U225" s="20" t="str">
        <f t="shared" si="4"/>
        <v/>
      </c>
      <c r="V225" s="25">
        <v>0.0</v>
      </c>
      <c r="W225" s="26">
        <v>0.0</v>
      </c>
      <c r="X225" s="26">
        <v>0.0</v>
      </c>
      <c r="Y225" s="27"/>
      <c r="Z225" s="26">
        <v>21.0</v>
      </c>
      <c r="AA225" s="26">
        <v>0.0</v>
      </c>
      <c r="AB225" s="26">
        <v>0.0</v>
      </c>
      <c r="AC225" s="26">
        <v>476.0</v>
      </c>
      <c r="AD225" s="27"/>
      <c r="AE225" s="10" t="s">
        <v>38</v>
      </c>
      <c r="AF225" s="10" t="s">
        <v>44</v>
      </c>
      <c r="AG225" s="27"/>
    </row>
    <row r="226" ht="15.75" customHeight="1">
      <c r="A226" s="34" t="s">
        <v>518</v>
      </c>
      <c r="B226" s="35">
        <v>2200.0</v>
      </c>
      <c r="C226" s="15" t="s">
        <v>502</v>
      </c>
      <c r="D226" s="15" t="s">
        <v>519</v>
      </c>
      <c r="E226" s="15" t="s">
        <v>74</v>
      </c>
      <c r="F226" s="41">
        <v>5.0</v>
      </c>
      <c r="G226" s="33">
        <v>0.0</v>
      </c>
      <c r="H226" s="33">
        <v>0.0</v>
      </c>
      <c r="I226" s="29">
        <v>1.0</v>
      </c>
      <c r="J226" s="19" t="str">
        <f t="shared" si="12"/>
        <v>especial</v>
      </c>
      <c r="K226" s="20">
        <f t="shared" si="8"/>
        <v>1980</v>
      </c>
      <c r="L226" s="15"/>
      <c r="M226" s="20">
        <v>1.0</v>
      </c>
      <c r="N226" s="21">
        <v>1.0</v>
      </c>
      <c r="O226" s="22">
        <v>3.0</v>
      </c>
      <c r="P226" s="23">
        <f>IFERROR(__xludf.DUMMYFUNCTION("IFERROR(
  INDEX(
    QUERY(
      Historial!A:I,
      ""select I where B = '""&amp;A226&amp;""' order by A desc limit 1"",
      0
    ),
    1
  ),
  """"
)"),46340.0)</f>
        <v>46340</v>
      </c>
      <c r="Q226" s="19" t="s">
        <v>48</v>
      </c>
      <c r="R226" s="24">
        <v>46550.0</v>
      </c>
      <c r="S226" s="20">
        <f>IFERROR(__xludf.DUMMYFUNCTION("IFERROR(
  INDEX(
    QUERY(
      Historial!A:G,
      ""select G where B = '""&amp;A226&amp;""' order by A desc limit 1"",
      0
    ),
    1
  ),
  """"
)"),1200.0)</f>
        <v>1200</v>
      </c>
      <c r="T226" s="20" t="str">
        <f t="shared" si="3"/>
        <v>✅ OK</v>
      </c>
      <c r="U226" s="20" t="str">
        <f t="shared" si="4"/>
        <v/>
      </c>
      <c r="V226" s="25">
        <v>0.0</v>
      </c>
      <c r="W226" s="26">
        <v>3.0</v>
      </c>
      <c r="X226" s="26">
        <v>0.04</v>
      </c>
      <c r="Y226" s="26">
        <v>125.0</v>
      </c>
      <c r="Z226" s="26">
        <v>10.0</v>
      </c>
      <c r="AA226" s="26">
        <v>0.56</v>
      </c>
      <c r="AB226" s="26">
        <v>0.0</v>
      </c>
      <c r="AC226" s="26">
        <v>248.0</v>
      </c>
      <c r="AD226" s="26">
        <v>125.0</v>
      </c>
      <c r="AE226" s="10" t="s">
        <v>38</v>
      </c>
      <c r="AF226" s="10" t="s">
        <v>39</v>
      </c>
      <c r="AG226" s="27"/>
    </row>
    <row r="227" ht="15.75" customHeight="1">
      <c r="A227" s="34" t="s">
        <v>520</v>
      </c>
      <c r="B227" s="35">
        <v>2200.0</v>
      </c>
      <c r="C227" s="15" t="s">
        <v>502</v>
      </c>
      <c r="D227" s="15" t="s">
        <v>521</v>
      </c>
      <c r="E227" s="15" t="s">
        <v>74</v>
      </c>
      <c r="F227" s="41">
        <v>20.0</v>
      </c>
      <c r="G227" s="33">
        <v>0.0</v>
      </c>
      <c r="H227" s="33">
        <v>0.0</v>
      </c>
      <c r="I227" s="29">
        <v>1.0</v>
      </c>
      <c r="J227" s="19" t="str">
        <f t="shared" si="12"/>
        <v>especial</v>
      </c>
      <c r="K227" s="20">
        <f t="shared" si="8"/>
        <v>1980</v>
      </c>
      <c r="L227" s="15"/>
      <c r="M227" s="20">
        <v>1.0</v>
      </c>
      <c r="N227" s="21">
        <v>0.0</v>
      </c>
      <c r="O227" s="22">
        <v>2.0</v>
      </c>
      <c r="P227" s="23">
        <f>IFERROR(__xludf.DUMMYFUNCTION("IFERROR(
  INDEX(
    QUERY(
      Historial!A:I,
      ""select I where B = '""&amp;A227&amp;""' order by A desc limit 1"",
      0
    ),
    1
  ),
  """"
)"),46506.0)</f>
        <v>46506</v>
      </c>
      <c r="Q227" s="19" t="s">
        <v>51</v>
      </c>
      <c r="R227" s="24">
        <v>46551.0</v>
      </c>
      <c r="S227" s="20">
        <f>IFERROR(__xludf.DUMMYFUNCTION("IFERROR(
  INDEX(
    QUERY(
      Historial!A:G,
      ""select G where B = '""&amp;A227&amp;""' order by A desc limit 1"",
      0
    ),
    1
  ),
  """"
)"),1200.0)</f>
        <v>1200</v>
      </c>
      <c r="T227" s="20" t="str">
        <f t="shared" si="3"/>
        <v>✅ OK</v>
      </c>
      <c r="U227" s="20" t="str">
        <f t="shared" si="4"/>
        <v/>
      </c>
      <c r="V227" s="25">
        <v>0.0</v>
      </c>
      <c r="W227" s="26">
        <v>0.0</v>
      </c>
      <c r="X227" s="26">
        <v>0.0</v>
      </c>
      <c r="Y227" s="27"/>
      <c r="Z227" s="26">
        <v>21.0</v>
      </c>
      <c r="AA227" s="26">
        <v>0.0</v>
      </c>
      <c r="AB227" s="26">
        <v>0.0</v>
      </c>
      <c r="AC227" s="26">
        <v>414.0</v>
      </c>
      <c r="AD227" s="27"/>
      <c r="AE227" s="10" t="s">
        <v>38</v>
      </c>
      <c r="AF227" s="10" t="s">
        <v>44</v>
      </c>
      <c r="AG227" s="27"/>
    </row>
    <row r="228" ht="15.75" customHeight="1">
      <c r="A228" s="34" t="s">
        <v>522</v>
      </c>
      <c r="B228" s="35">
        <v>4500.0</v>
      </c>
      <c r="C228" s="15" t="s">
        <v>297</v>
      </c>
      <c r="D228" s="15" t="s">
        <v>523</v>
      </c>
      <c r="E228" s="15" t="s">
        <v>524</v>
      </c>
      <c r="F228" s="36">
        <v>6.13</v>
      </c>
      <c r="G228" s="33">
        <v>0.0</v>
      </c>
      <c r="H228" s="33">
        <v>0.0</v>
      </c>
      <c r="I228" s="29">
        <v>0.0</v>
      </c>
      <c r="J228" s="19" t="str">
        <f t="shared" si="12"/>
        <v>sin oferta</v>
      </c>
      <c r="K228" s="20" t="str">
        <f t="shared" si="8"/>
        <v>NORMAL / SIN OFERTA</v>
      </c>
      <c r="L228" s="15">
        <v>0.0</v>
      </c>
      <c r="M228" s="20"/>
      <c r="N228" s="21">
        <v>0.0</v>
      </c>
      <c r="O228" s="22">
        <v>3.0</v>
      </c>
      <c r="P228" s="23" t="str">
        <f>IFERROR(__xludf.DUMMYFUNCTION("IFERROR(
  INDEX(
    QUERY(
      Historial!A:I,
      ""select I where B = '""&amp;A228&amp;""' order by A desc limit 1"",
      0
    ),
    1
  ),
  """"
)"),"")</f>
        <v/>
      </c>
      <c r="Q228" s="19" t="s">
        <v>60</v>
      </c>
      <c r="R228" s="24">
        <v>46553.0</v>
      </c>
      <c r="S228" s="20" t="str">
        <f>IFERROR(__xludf.DUMMYFUNCTION("IFERROR(
  INDEX(
    QUERY(
      Historial!A:G,
      ""select G where B = '""&amp;A228&amp;""' order by A desc limit 1"",
      0
    ),
    1
  ),
  """"
)"),"")</f>
        <v/>
      </c>
      <c r="T228" s="20" t="str">
        <f t="shared" si="3"/>
        <v/>
      </c>
      <c r="U228" s="20" t="str">
        <f t="shared" si="4"/>
        <v/>
      </c>
      <c r="V228" s="25">
        <v>0.0</v>
      </c>
      <c r="W228" s="26">
        <v>0.0</v>
      </c>
      <c r="X228" s="26">
        <v>0.0</v>
      </c>
      <c r="Y228" s="27"/>
      <c r="Z228" s="26">
        <v>10.0</v>
      </c>
      <c r="AA228" s="26">
        <v>0.0</v>
      </c>
      <c r="AB228" s="26">
        <v>0.0</v>
      </c>
      <c r="AC228" s="27"/>
      <c r="AD228" s="27"/>
      <c r="AE228" s="10" t="s">
        <v>38</v>
      </c>
      <c r="AF228" s="10" t="s">
        <v>44</v>
      </c>
      <c r="AG228" s="27"/>
    </row>
    <row r="229" ht="15.75" customHeight="1">
      <c r="A229" s="31" t="s">
        <v>525</v>
      </c>
      <c r="B229" s="40">
        <v>900.0</v>
      </c>
      <c r="C229" s="20" t="s">
        <v>297</v>
      </c>
      <c r="D229" s="15" t="s">
        <v>526</v>
      </c>
      <c r="E229" s="20" t="s">
        <v>527</v>
      </c>
      <c r="F229" s="39">
        <v>13.0</v>
      </c>
      <c r="G229" s="40">
        <v>0.0</v>
      </c>
      <c r="H229" s="20">
        <v>0.0</v>
      </c>
      <c r="I229" s="20">
        <v>0.0</v>
      </c>
      <c r="J229" s="40">
        <v>0.0</v>
      </c>
      <c r="K229" s="20" t="str">
        <f t="shared" si="8"/>
        <v>NORMAL / SIN OFERTA</v>
      </c>
      <c r="L229" s="20">
        <v>0.0</v>
      </c>
      <c r="M229" s="20">
        <v>0.0</v>
      </c>
      <c r="N229" s="21">
        <v>1.0</v>
      </c>
      <c r="O229" s="22">
        <v>2.0</v>
      </c>
      <c r="P229" s="23" t="str">
        <f>IFERROR(__xludf.DUMMYFUNCTION("IFERROR(
  INDEX(
    QUERY(
      Historial!A:I,
      ""select I where B = '""&amp;A229&amp;""' order by A desc limit 1"",
      0
    ),
    1
  ),
  """"
)"),"")</f>
        <v/>
      </c>
      <c r="Q229" s="19" t="s">
        <v>63</v>
      </c>
      <c r="R229" s="24">
        <v>46554.0</v>
      </c>
      <c r="S229" s="20" t="str">
        <f>IFERROR(__xludf.DUMMYFUNCTION("IFERROR(
  INDEX(
    QUERY(
      Historial!A:G,
      ""select G where B = '""&amp;A229&amp;""' order by A desc limit 1"",
      0
    ),
    1
  ),
  """"
)"),"")</f>
        <v/>
      </c>
      <c r="T229" s="20" t="str">
        <f t="shared" si="3"/>
        <v/>
      </c>
      <c r="U229" s="20" t="str">
        <f t="shared" si="4"/>
        <v/>
      </c>
      <c r="V229" s="25">
        <v>0.0</v>
      </c>
      <c r="W229" s="26">
        <v>2.0</v>
      </c>
      <c r="X229" s="26">
        <v>0.027</v>
      </c>
      <c r="Y229" s="26">
        <v>481.48148148148147</v>
      </c>
      <c r="Z229" s="26">
        <v>14.0</v>
      </c>
      <c r="AA229" s="26">
        <v>0.27</v>
      </c>
      <c r="AB229" s="26">
        <v>0.0</v>
      </c>
      <c r="AC229" s="27"/>
      <c r="AD229" s="26">
        <v>481.48148148148147</v>
      </c>
      <c r="AE229" s="10" t="s">
        <v>38</v>
      </c>
      <c r="AF229" s="10" t="s">
        <v>39</v>
      </c>
      <c r="AG229" s="27"/>
    </row>
    <row r="230" ht="15.75" customHeight="1">
      <c r="A230" s="34" t="s">
        <v>528</v>
      </c>
      <c r="B230" s="46">
        <v>2560.0</v>
      </c>
      <c r="C230" s="15" t="s">
        <v>297</v>
      </c>
      <c r="D230" s="15" t="s">
        <v>529</v>
      </c>
      <c r="E230" s="15" t="s">
        <v>47</v>
      </c>
      <c r="F230" s="36">
        <v>5.0</v>
      </c>
      <c r="G230" s="17">
        <v>13.0</v>
      </c>
      <c r="H230" s="33">
        <v>0.0</v>
      </c>
      <c r="I230" s="29">
        <v>0.0</v>
      </c>
      <c r="J230" s="19" t="str">
        <f t="shared" ref="J230:J246" si="13">IF(
A230="",
"",
IF(
F230=0,
"sin stock",
IF(
NOT(OR(I230=0,I230=1)),
"ERROR ESPECIAL",
IF(
NOT(ISNUMBER(MATCH(G230,{0;1;2;3;4;5;6;10;11;12;13;14},0))),
"ERROR RELAMPAGO",
IF(
OR(H230&gt;70,AND(H230&gt;0,H230&lt;15)),
"ERROR DESTACADA",
IF(
(I230=1)+(H230&gt;0)+(G230&gt;0)&gt;1,
"ERROR DOBLE OFERTA",
IF(
I230=1,
"especial",
IF(
H230&gt;0,
"destacada",
IF(
G230&gt;0,
IF(
OR(
AND(G230&lt;=6,F230&lt;(G230+1)),
AND(G230=10,F230&lt;2),
AND(G230&gt;=11,F230&lt;1)
),
"REPONER "&amp;
IF(G230&lt;=6,G230+1-F230,
IF(G230=10,2-F230,
1-
F230)
)&amp;
" PARA PROMO",
IF(
G230&lt;=6,
"relampago "&amp;(G230+1)&amp;"x"&amp;G230,
IF(
G230=10,
"2da50off",
IF(
G230&gt;=11,
"relampago "&amp;CHOOSE(G230-10,10,15,20,25)&amp;"%",
"relampago"
)
)
)
),
"sin oferta"
)
)
)
)
)
)
)
)
)</f>
        <v>relampago 20%</v>
      </c>
      <c r="K230" s="20" t="str">
        <f t="shared" si="8"/>
        <v>#N/A</v>
      </c>
      <c r="L230" s="15"/>
      <c r="M230" s="20"/>
      <c r="N230" s="21">
        <v>3.0</v>
      </c>
      <c r="O230" s="22">
        <v>2.0</v>
      </c>
      <c r="P230" s="23" t="str">
        <f>IFERROR(__xludf.DUMMYFUNCTION("IFERROR(
  INDEX(
    QUERY(
      Historial!A:I,
      ""select I where B = '""&amp;A230&amp;""' order by A desc limit 1"",
      0
    ),
    1
  ),
  """"
)"),"")</f>
        <v/>
      </c>
      <c r="Q230" s="19" t="s">
        <v>48</v>
      </c>
      <c r="R230" s="24">
        <v>46557.0</v>
      </c>
      <c r="S230" s="20" t="str">
        <f>IFERROR(__xludf.DUMMYFUNCTION("IFERROR(
  INDEX(
    QUERY(
      Historial!A:G,
      ""select G where B = '""&amp;A230&amp;""' order by A desc limit 1"",
      0
    ),
    1
  ),
  """"
)"),"")</f>
        <v/>
      </c>
      <c r="T230" s="20" t="str">
        <f t="shared" si="3"/>
        <v/>
      </c>
      <c r="U230" s="20" t="str">
        <f t="shared" si="4"/>
        <v/>
      </c>
      <c r="V230" s="25">
        <v>1.0</v>
      </c>
      <c r="W230" s="26">
        <v>2.0</v>
      </c>
      <c r="X230" s="26">
        <v>0.112</v>
      </c>
      <c r="Y230" s="26">
        <v>44.64285714285714</v>
      </c>
      <c r="Z230" s="26">
        <v>21.0</v>
      </c>
      <c r="AA230" s="26">
        <v>0.784</v>
      </c>
      <c r="AB230" s="26">
        <v>0.0</v>
      </c>
      <c r="AC230" s="27"/>
      <c r="AD230" s="26">
        <v>44.64285714285714</v>
      </c>
      <c r="AE230" s="10" t="s">
        <v>38</v>
      </c>
      <c r="AF230" s="10" t="s">
        <v>39</v>
      </c>
      <c r="AG230" s="27"/>
    </row>
    <row r="231" ht="15.75" customHeight="1">
      <c r="A231" s="34" t="s">
        <v>530</v>
      </c>
      <c r="B231" s="35">
        <v>5000.0</v>
      </c>
      <c r="C231" s="15" t="s">
        <v>297</v>
      </c>
      <c r="D231" s="15" t="s">
        <v>531</v>
      </c>
      <c r="E231" s="15"/>
      <c r="F231" s="41">
        <v>4.0</v>
      </c>
      <c r="G231" s="33">
        <v>0.0</v>
      </c>
      <c r="H231" s="33">
        <v>0.0</v>
      </c>
      <c r="I231" s="29">
        <v>1.0</v>
      </c>
      <c r="J231" s="19" t="str">
        <f t="shared" si="13"/>
        <v>especial</v>
      </c>
      <c r="K231" s="20">
        <f t="shared" si="8"/>
        <v>4500</v>
      </c>
      <c r="L231" s="15"/>
      <c r="M231" s="20"/>
      <c r="N231" s="21">
        <v>0.0</v>
      </c>
      <c r="O231" s="22">
        <v>2.0</v>
      </c>
      <c r="P231" s="23" t="str">
        <f>IFERROR(__xludf.DUMMYFUNCTION("IFERROR(
  INDEX(
    QUERY(
      Historial!A:I,
      ""select I where B = '""&amp;A231&amp;""' order by A desc limit 1"",
      0
    ),
    1
  ),
  """"
)"),"")</f>
        <v/>
      </c>
      <c r="Q231" s="19" t="s">
        <v>51</v>
      </c>
      <c r="R231" s="24">
        <v>46558.0</v>
      </c>
      <c r="S231" s="20">
        <f>IFERROR(__xludf.DUMMYFUNCTION("IFERROR(
  INDEX(
    QUERY(
      Historial!A:G,
      ""select G where B = '""&amp;A231&amp;""' order by A desc limit 1"",
      0
    ),
    1
  ),
  """"
)"),2767.0)</f>
        <v>2767</v>
      </c>
      <c r="T231" s="20" t="str">
        <f t="shared" si="3"/>
        <v/>
      </c>
      <c r="U231" s="20" t="str">
        <f t="shared" si="4"/>
        <v/>
      </c>
      <c r="V231" s="25">
        <v>0.0</v>
      </c>
      <c r="W231" s="26">
        <v>0.0</v>
      </c>
      <c r="X231" s="26">
        <v>0.0</v>
      </c>
      <c r="Y231" s="27"/>
      <c r="Z231" s="26">
        <v>21.0</v>
      </c>
      <c r="AA231" s="26">
        <v>0.0</v>
      </c>
      <c r="AB231" s="26">
        <v>0.0</v>
      </c>
      <c r="AC231" s="27"/>
      <c r="AD231" s="27"/>
      <c r="AE231" s="10" t="s">
        <v>38</v>
      </c>
      <c r="AF231" s="10" t="s">
        <v>44</v>
      </c>
      <c r="AG231" s="27"/>
    </row>
    <row r="232" ht="15.75" customHeight="1">
      <c r="A232" s="34" t="s">
        <v>532</v>
      </c>
      <c r="B232" s="35">
        <v>5000.0</v>
      </c>
      <c r="C232" s="15" t="s">
        <v>297</v>
      </c>
      <c r="D232" s="15" t="s">
        <v>533</v>
      </c>
      <c r="E232" s="15"/>
      <c r="F232" s="41">
        <v>9.0</v>
      </c>
      <c r="G232" s="15">
        <v>0.0</v>
      </c>
      <c r="H232" s="33">
        <v>20.0</v>
      </c>
      <c r="I232" s="19">
        <v>0.0</v>
      </c>
      <c r="J232" s="19" t="str">
        <f t="shared" si="13"/>
        <v>destacada</v>
      </c>
      <c r="K232" s="20">
        <f t="shared" si="8"/>
        <v>4000</v>
      </c>
      <c r="L232" s="20"/>
      <c r="M232" s="20"/>
      <c r="N232" s="21">
        <v>1.0</v>
      </c>
      <c r="O232" s="22">
        <v>2.0</v>
      </c>
      <c r="P232" s="23" t="str">
        <f>IFERROR(__xludf.DUMMYFUNCTION("IFERROR(
  INDEX(
    QUERY(
      Historial!A:I,
      ""select I where B = '""&amp;A232&amp;""' order by A desc limit 1"",
      0
    ),
    1
  ),
  """"
)"),"")</f>
        <v/>
      </c>
      <c r="Q232" s="19" t="s">
        <v>57</v>
      </c>
      <c r="R232" s="24">
        <v>46559.0</v>
      </c>
      <c r="S232" s="20">
        <f>IFERROR(__xludf.DUMMYFUNCTION("IFERROR(
  INDEX(
    QUERY(
      Historial!A:G,
      ""select G where B = '""&amp;A232&amp;""' order by A desc limit 1"",
      0
    ),
    1
  ),
  """"
)"),2500.0)</f>
        <v>2500</v>
      </c>
      <c r="T232" s="20" t="str">
        <f t="shared" si="3"/>
        <v/>
      </c>
      <c r="U232" s="20" t="str">
        <f t="shared" si="4"/>
        <v/>
      </c>
      <c r="V232" s="25">
        <v>0.0</v>
      </c>
      <c r="W232" s="26">
        <v>1.0</v>
      </c>
      <c r="X232" s="26">
        <v>0.013</v>
      </c>
      <c r="Y232" s="26">
        <v>692.3076923076924</v>
      </c>
      <c r="Z232" s="26">
        <v>14.0</v>
      </c>
      <c r="AA232" s="26">
        <v>0.13</v>
      </c>
      <c r="AB232" s="26">
        <v>0.0</v>
      </c>
      <c r="AC232" s="27"/>
      <c r="AD232" s="26">
        <v>692.3076923076924</v>
      </c>
      <c r="AE232" s="10" t="s">
        <v>38</v>
      </c>
      <c r="AF232" s="10" t="s">
        <v>39</v>
      </c>
      <c r="AG232" s="27"/>
    </row>
    <row r="233" ht="15.75" customHeight="1">
      <c r="A233" s="34" t="s">
        <v>534</v>
      </c>
      <c r="B233" s="35">
        <v>3400.0</v>
      </c>
      <c r="C233" s="15" t="s">
        <v>297</v>
      </c>
      <c r="D233" s="15" t="s">
        <v>535</v>
      </c>
      <c r="E233" s="15"/>
      <c r="F233" s="41">
        <v>1.0</v>
      </c>
      <c r="G233" s="33">
        <v>0.0</v>
      </c>
      <c r="H233" s="33">
        <v>0.0</v>
      </c>
      <c r="I233" s="29">
        <v>1.0</v>
      </c>
      <c r="J233" s="19" t="str">
        <f t="shared" si="13"/>
        <v>especial</v>
      </c>
      <c r="K233" s="20">
        <f t="shared" si="8"/>
        <v>3060</v>
      </c>
      <c r="L233" s="15"/>
      <c r="M233" s="20"/>
      <c r="N233" s="21">
        <v>1.0</v>
      </c>
      <c r="O233" s="22">
        <v>2.0</v>
      </c>
      <c r="P233" s="23" t="str">
        <f>IFERROR(__xludf.DUMMYFUNCTION("IFERROR(
  INDEX(
    QUERY(
      Historial!A:I,
      ""select I where B = '""&amp;A233&amp;""' order by A desc limit 1"",
      0
    ),
    1
  ),
  """"
)"),"")</f>
        <v/>
      </c>
      <c r="Q233" s="19" t="s">
        <v>60</v>
      </c>
      <c r="R233" s="24">
        <v>46560.0</v>
      </c>
      <c r="S233" s="20" t="str">
        <f>IFERROR(__xludf.DUMMYFUNCTION("IFERROR(
  INDEX(
    QUERY(
      Historial!A:G,
      ""select G where B = '""&amp;A233&amp;""' order by A desc limit 1"",
      0
    ),
    1
  ),
  """"
)"),"")</f>
        <v/>
      </c>
      <c r="T233" s="20" t="str">
        <f t="shared" si="3"/>
        <v/>
      </c>
      <c r="U233" s="20" t="str">
        <f t="shared" si="4"/>
        <v/>
      </c>
      <c r="V233" s="25">
        <v>0.0</v>
      </c>
      <c r="W233" s="26">
        <v>1.0</v>
      </c>
      <c r="X233" s="26">
        <v>0.013</v>
      </c>
      <c r="Y233" s="26">
        <v>76.92307692307692</v>
      </c>
      <c r="Z233" s="26">
        <v>21.0</v>
      </c>
      <c r="AA233" s="26">
        <v>0.091</v>
      </c>
      <c r="AB233" s="26">
        <v>0.0</v>
      </c>
      <c r="AC233" s="27"/>
      <c r="AD233" s="26">
        <v>76.92307692307692</v>
      </c>
      <c r="AE233" s="10" t="s">
        <v>38</v>
      </c>
      <c r="AF233" s="10" t="s">
        <v>39</v>
      </c>
      <c r="AG233" s="27"/>
    </row>
    <row r="234" ht="15.75" customHeight="1">
      <c r="A234" s="34" t="s">
        <v>536</v>
      </c>
      <c r="B234" s="46">
        <v>6700.0</v>
      </c>
      <c r="C234" s="47" t="s">
        <v>297</v>
      </c>
      <c r="D234" s="15" t="s">
        <v>537</v>
      </c>
      <c r="E234" s="47" t="s">
        <v>147</v>
      </c>
      <c r="F234" s="36">
        <v>16.0</v>
      </c>
      <c r="G234" s="33">
        <v>0.0</v>
      </c>
      <c r="H234" s="33">
        <v>15.0</v>
      </c>
      <c r="I234" s="29">
        <v>0.0</v>
      </c>
      <c r="J234" s="19" t="str">
        <f t="shared" si="13"/>
        <v>destacada</v>
      </c>
      <c r="K234" s="20">
        <f t="shared" si="8"/>
        <v>5695</v>
      </c>
      <c r="L234" s="15"/>
      <c r="M234" s="20"/>
      <c r="N234" s="21">
        <v>12.0</v>
      </c>
      <c r="O234" s="22">
        <v>5.0</v>
      </c>
      <c r="P234" s="23">
        <f>IFERROR(__xludf.DUMMYFUNCTION("IFERROR(
  INDEX(
    QUERY(
      Historial!A:I,
      ""select I where B = '""&amp;A234&amp;""' order by A desc limit 1"",
      0
    ),
    1
  ),
  """"
)"),46239.0)</f>
        <v>46239</v>
      </c>
      <c r="Q234" s="19" t="s">
        <v>63</v>
      </c>
      <c r="R234" s="24">
        <v>46561.0</v>
      </c>
      <c r="S234" s="20">
        <f>IFERROR(__xludf.DUMMYFUNCTION("IFERROR(
  INDEX(
    QUERY(
      Historial!A:G,
      ""select G where B = '""&amp;A234&amp;""' order by A desc limit 1"",
      0
    ),
    1
  ),
  """"
)"),3987.0)</f>
        <v>3987</v>
      </c>
      <c r="T234" s="20" t="str">
        <f t="shared" si="3"/>
        <v>✅ OK</v>
      </c>
      <c r="U234" s="20" t="str">
        <f t="shared" si="4"/>
        <v/>
      </c>
      <c r="V234" s="25">
        <v>5.0</v>
      </c>
      <c r="W234" s="26">
        <v>8.0</v>
      </c>
      <c r="X234" s="26">
        <v>0.535</v>
      </c>
      <c r="Y234" s="26">
        <v>29.906542056074766</v>
      </c>
      <c r="Z234" s="26">
        <v>21.0</v>
      </c>
      <c r="AA234" s="26">
        <v>3.745</v>
      </c>
      <c r="AB234" s="26">
        <v>0.0</v>
      </c>
      <c r="AC234" s="26">
        <v>147.0</v>
      </c>
      <c r="AD234" s="26">
        <v>29.906542056074766</v>
      </c>
      <c r="AE234" s="10" t="s">
        <v>38</v>
      </c>
      <c r="AF234" s="10" t="s">
        <v>39</v>
      </c>
      <c r="AG234" s="27"/>
    </row>
    <row r="235" ht="15.75" customHeight="1">
      <c r="A235" s="45" t="s">
        <v>538</v>
      </c>
      <c r="B235" s="46">
        <v>9900.0</v>
      </c>
      <c r="C235" s="47" t="s">
        <v>297</v>
      </c>
      <c r="D235" s="15" t="s">
        <v>539</v>
      </c>
      <c r="E235" s="47" t="s">
        <v>74</v>
      </c>
      <c r="F235" s="42">
        <v>7.0</v>
      </c>
      <c r="G235" s="33">
        <v>0.0</v>
      </c>
      <c r="H235" s="33">
        <v>0.0</v>
      </c>
      <c r="I235" s="29">
        <v>0.0</v>
      </c>
      <c r="J235" s="19" t="str">
        <f t="shared" si="13"/>
        <v>sin oferta</v>
      </c>
      <c r="K235" s="20" t="str">
        <f t="shared" si="8"/>
        <v>NORMAL / SIN OFERTA</v>
      </c>
      <c r="L235" s="15"/>
      <c r="M235" s="20"/>
      <c r="N235" s="21">
        <v>0.0</v>
      </c>
      <c r="O235" s="22">
        <v>3.0</v>
      </c>
      <c r="P235" s="23">
        <f>IFERROR(__xludf.DUMMYFUNCTION("IFERROR(
  INDEX(
    QUERY(
      Historial!A:I,
      ""select I where B = '""&amp;A235&amp;""' order by A desc limit 1"",
      0
    ),
    1
  ),
  """"
)"),46219.0)</f>
        <v>46219</v>
      </c>
      <c r="Q235" s="19" t="s">
        <v>37</v>
      </c>
      <c r="R235" s="24">
        <v>46562.0</v>
      </c>
      <c r="S235" s="20">
        <f>IFERROR(__xludf.DUMMYFUNCTION("IFERROR(
  INDEX(
    QUERY(
      Historial!A:G,
      ""select G where B = '""&amp;A235&amp;""' order by A desc limit 1"",
      0
    ),
    1
  ),
  """"
)"),5000.0)</f>
        <v>5000</v>
      </c>
      <c r="T235" s="20" t="str">
        <f t="shared" si="3"/>
        <v>✅ OK</v>
      </c>
      <c r="U235" s="20" t="str">
        <f t="shared" si="4"/>
        <v/>
      </c>
      <c r="V235" s="25">
        <v>0.0</v>
      </c>
      <c r="W235" s="26">
        <v>0.0</v>
      </c>
      <c r="X235" s="26">
        <v>0.0</v>
      </c>
      <c r="Y235" s="27"/>
      <c r="Z235" s="26">
        <v>14.0</v>
      </c>
      <c r="AA235" s="26">
        <v>0.0</v>
      </c>
      <c r="AB235" s="26">
        <v>0.0</v>
      </c>
      <c r="AC235" s="26">
        <v>127.0</v>
      </c>
      <c r="AD235" s="27"/>
      <c r="AE235" s="10" t="s">
        <v>38</v>
      </c>
      <c r="AF235" s="10" t="s">
        <v>44</v>
      </c>
      <c r="AG235" s="27"/>
    </row>
    <row r="236" ht="15.75" customHeight="1">
      <c r="A236" s="45" t="s">
        <v>540</v>
      </c>
      <c r="B236" s="46">
        <v>9999.0</v>
      </c>
      <c r="C236" s="47" t="s">
        <v>297</v>
      </c>
      <c r="D236" s="15" t="s">
        <v>541</v>
      </c>
      <c r="E236" s="15" t="s">
        <v>147</v>
      </c>
      <c r="F236" s="36">
        <v>16.0</v>
      </c>
      <c r="G236" s="15">
        <v>0.0</v>
      </c>
      <c r="H236" s="33">
        <v>0.0</v>
      </c>
      <c r="I236" s="19">
        <v>1.0</v>
      </c>
      <c r="J236" s="19" t="str">
        <f t="shared" si="13"/>
        <v>especial</v>
      </c>
      <c r="K236" s="20">
        <f t="shared" si="8"/>
        <v>8999.1</v>
      </c>
      <c r="L236" s="20"/>
      <c r="M236" s="20"/>
      <c r="N236" s="21">
        <v>0.0</v>
      </c>
      <c r="O236" s="22">
        <v>3.0</v>
      </c>
      <c r="P236" s="23" t="str">
        <f>IFERROR(__xludf.DUMMYFUNCTION("IFERROR(
  INDEX(
    QUERY(
      Historial!A:I,
      ""select I where B = '""&amp;A236&amp;""' order by A desc limit 1"",
      0
    ),
    1
  ),
  """"
)"),"")</f>
        <v/>
      </c>
      <c r="Q236" s="19" t="s">
        <v>43</v>
      </c>
      <c r="R236" s="24">
        <v>46563.0</v>
      </c>
      <c r="S236" s="20" t="str">
        <f>IFERROR(__xludf.DUMMYFUNCTION("IFERROR(
  INDEX(
    QUERY(
      Historial!A:G,
      ""select G where B = '""&amp;A236&amp;""' order by A desc limit 1"",
      0
    ),
    1
  ),
  """"
)"),"")</f>
        <v/>
      </c>
      <c r="T236" s="20" t="str">
        <f t="shared" si="3"/>
        <v/>
      </c>
      <c r="U236" s="20" t="str">
        <f t="shared" si="4"/>
        <v/>
      </c>
      <c r="V236" s="25">
        <v>0.0</v>
      </c>
      <c r="W236" s="26">
        <v>0.0</v>
      </c>
      <c r="X236" s="26">
        <v>0.0</v>
      </c>
      <c r="Y236" s="27"/>
      <c r="Z236" s="26">
        <v>10.0</v>
      </c>
      <c r="AA236" s="26">
        <v>0.0</v>
      </c>
      <c r="AB236" s="26">
        <v>0.0</v>
      </c>
      <c r="AC236" s="27"/>
      <c r="AD236" s="27"/>
      <c r="AE236" s="10" t="s">
        <v>38</v>
      </c>
      <c r="AF236" s="10" t="s">
        <v>44</v>
      </c>
      <c r="AG236" s="27"/>
    </row>
    <row r="237" ht="15.75" customHeight="1">
      <c r="A237" s="34" t="s">
        <v>542</v>
      </c>
      <c r="B237" s="35">
        <v>3600.0</v>
      </c>
      <c r="C237" s="15" t="s">
        <v>297</v>
      </c>
      <c r="D237" s="15" t="s">
        <v>543</v>
      </c>
      <c r="E237" s="15"/>
      <c r="F237" s="41">
        <v>5.0</v>
      </c>
      <c r="G237" s="33">
        <v>0.0</v>
      </c>
      <c r="H237" s="33">
        <v>0.0</v>
      </c>
      <c r="I237" s="29">
        <v>1.0</v>
      </c>
      <c r="J237" s="19" t="str">
        <f t="shared" si="13"/>
        <v>especial</v>
      </c>
      <c r="K237" s="20">
        <f t="shared" si="8"/>
        <v>3240</v>
      </c>
      <c r="L237" s="15"/>
      <c r="M237" s="20"/>
      <c r="N237" s="21">
        <v>0.0</v>
      </c>
      <c r="O237" s="22">
        <v>3.0</v>
      </c>
      <c r="P237" s="23" t="str">
        <f>IFERROR(__xludf.DUMMYFUNCTION("IFERROR(
  INDEX(
    QUERY(
      Historial!A:I,
      ""select I where B = '""&amp;A237&amp;""' order by A desc limit 1"",
      0
    ),
    1
  ),
  """"
)"),"")</f>
        <v/>
      </c>
      <c r="Q237" s="19" t="s">
        <v>48</v>
      </c>
      <c r="R237" s="24">
        <v>46564.0</v>
      </c>
      <c r="S237" s="20" t="str">
        <f>IFERROR(__xludf.DUMMYFUNCTION("IFERROR(
  INDEX(
    QUERY(
      Historial!A:G,
      ""select G where B = '""&amp;A237&amp;""' order by A desc limit 1"",
      0
    ),
    1
  ),
  """"
)"),"")</f>
        <v/>
      </c>
      <c r="T237" s="20" t="str">
        <f t="shared" si="3"/>
        <v/>
      </c>
      <c r="U237" s="20" t="str">
        <f t="shared" si="4"/>
        <v/>
      </c>
      <c r="V237" s="25">
        <v>0.0</v>
      </c>
      <c r="W237" s="26">
        <v>0.0</v>
      </c>
      <c r="X237" s="26">
        <v>0.0</v>
      </c>
      <c r="Y237" s="27"/>
      <c r="Z237" s="26">
        <v>10.0</v>
      </c>
      <c r="AA237" s="26">
        <v>0.0</v>
      </c>
      <c r="AB237" s="26">
        <v>0.0</v>
      </c>
      <c r="AC237" s="27"/>
      <c r="AD237" s="27"/>
      <c r="AE237" s="10" t="s">
        <v>38</v>
      </c>
      <c r="AF237" s="10" t="s">
        <v>44</v>
      </c>
      <c r="AG237" s="27"/>
    </row>
    <row r="238" ht="15.75" customHeight="1">
      <c r="A238" s="34" t="s">
        <v>544</v>
      </c>
      <c r="B238" s="46">
        <v>7200.0</v>
      </c>
      <c r="C238" s="47" t="s">
        <v>297</v>
      </c>
      <c r="D238" s="15" t="s">
        <v>545</v>
      </c>
      <c r="E238" s="47" t="s">
        <v>74</v>
      </c>
      <c r="F238" s="36">
        <v>8.0</v>
      </c>
      <c r="G238" s="33">
        <v>0.0</v>
      </c>
      <c r="H238" s="33">
        <v>15.0</v>
      </c>
      <c r="I238" s="29">
        <v>0.0</v>
      </c>
      <c r="J238" s="19" t="str">
        <f t="shared" si="13"/>
        <v>destacada</v>
      </c>
      <c r="K238" s="20">
        <f t="shared" si="8"/>
        <v>6120</v>
      </c>
      <c r="L238" s="15"/>
      <c r="M238" s="20"/>
      <c r="N238" s="21">
        <v>2.0</v>
      </c>
      <c r="O238" s="22">
        <v>5.0</v>
      </c>
      <c r="P238" s="23">
        <f>IFERROR(__xludf.DUMMYFUNCTION("IFERROR(
  INDEX(
    QUERY(
      Historial!A:I,
      ""select I where B = '""&amp;A238&amp;""' order by A desc limit 1"",
      0
    ),
    1
  ),
  """"
)"),46251.0)</f>
        <v>46251</v>
      </c>
      <c r="Q238" s="19" t="s">
        <v>51</v>
      </c>
      <c r="R238" s="24">
        <v>46565.0</v>
      </c>
      <c r="S238" s="20">
        <f>IFERROR(__xludf.DUMMYFUNCTION("IFERROR(
  INDEX(
    QUERY(
      Historial!A:G,
      ""select G where B = '""&amp;A238&amp;""' order by A desc limit 1"",
      0
    ),
    1
  ),
  """"
)"),3500.0)</f>
        <v>3500</v>
      </c>
      <c r="T238" s="20" t="str">
        <f t="shared" si="3"/>
        <v>✅ OK</v>
      </c>
      <c r="U238" s="20" t="str">
        <f t="shared" si="4"/>
        <v/>
      </c>
      <c r="V238" s="25">
        <v>2.0</v>
      </c>
      <c r="W238" s="26">
        <v>5.0</v>
      </c>
      <c r="X238" s="26">
        <v>0.238</v>
      </c>
      <c r="Y238" s="26">
        <v>33.61344537815126</v>
      </c>
      <c r="Z238" s="26">
        <v>5.0</v>
      </c>
      <c r="AA238" s="26">
        <v>4.997999999999999</v>
      </c>
      <c r="AB238" s="26">
        <v>0.0</v>
      </c>
      <c r="AC238" s="26">
        <v>159.0</v>
      </c>
      <c r="AD238" s="26">
        <v>33.61344537815126</v>
      </c>
      <c r="AE238" s="10" t="s">
        <v>38</v>
      </c>
      <c r="AF238" s="10" t="s">
        <v>39</v>
      </c>
      <c r="AG238" s="27"/>
    </row>
    <row r="239" ht="15.75" customHeight="1">
      <c r="A239" s="34" t="s">
        <v>546</v>
      </c>
      <c r="B239" s="35">
        <v>1200.0</v>
      </c>
      <c r="C239" s="15" t="s">
        <v>297</v>
      </c>
      <c r="D239" s="15" t="s">
        <v>547</v>
      </c>
      <c r="E239" s="15"/>
      <c r="F239" s="41">
        <v>7.0</v>
      </c>
      <c r="G239" s="33">
        <v>0.0</v>
      </c>
      <c r="H239" s="33">
        <v>15.0</v>
      </c>
      <c r="I239" s="29">
        <v>0.0</v>
      </c>
      <c r="J239" s="19" t="str">
        <f t="shared" si="13"/>
        <v>destacada</v>
      </c>
      <c r="K239" s="20">
        <f t="shared" si="8"/>
        <v>1020</v>
      </c>
      <c r="L239" s="15"/>
      <c r="M239" s="20"/>
      <c r="N239" s="21">
        <v>1.0</v>
      </c>
      <c r="O239" s="22">
        <v>2.0</v>
      </c>
      <c r="P239" s="23" t="str">
        <f>IFERROR(__xludf.DUMMYFUNCTION("IFERROR(
  INDEX(
    QUERY(
      Historial!A:I,
      ""select I where B = '""&amp;A239&amp;""' order by A desc limit 1"",
      0
    ),
    1
  ),
  """"
)"),"")</f>
        <v/>
      </c>
      <c r="Q239" s="19" t="s">
        <v>60</v>
      </c>
      <c r="R239" s="24">
        <v>46567.0</v>
      </c>
      <c r="S239" s="20" t="str">
        <f>IFERROR(__xludf.DUMMYFUNCTION("IFERROR(
  INDEX(
    QUERY(
      Historial!A:G,
      ""select G where B = '""&amp;A239&amp;""' order by A desc limit 1"",
      0
    ),
    1
  ),
  """"
)"),"")</f>
        <v/>
      </c>
      <c r="T239" s="20" t="str">
        <f t="shared" si="3"/>
        <v/>
      </c>
      <c r="U239" s="20" t="str">
        <f t="shared" si="4"/>
        <v/>
      </c>
      <c r="V239" s="25">
        <v>0.0</v>
      </c>
      <c r="W239" s="26">
        <v>1.0</v>
      </c>
      <c r="X239" s="26">
        <v>0.013</v>
      </c>
      <c r="Y239" s="26">
        <v>538.4615384615385</v>
      </c>
      <c r="Z239" s="26">
        <v>21.0</v>
      </c>
      <c r="AA239" s="26">
        <v>0.091</v>
      </c>
      <c r="AB239" s="26">
        <v>0.0</v>
      </c>
      <c r="AC239" s="27"/>
      <c r="AD239" s="26">
        <v>538.4615384615385</v>
      </c>
      <c r="AE239" s="10" t="s">
        <v>38</v>
      </c>
      <c r="AF239" s="10" t="s">
        <v>39</v>
      </c>
      <c r="AG239" s="27"/>
    </row>
    <row r="240" ht="15.75" customHeight="1">
      <c r="A240" s="34" t="s">
        <v>548</v>
      </c>
      <c r="B240" s="35">
        <v>1200.0</v>
      </c>
      <c r="C240" s="15" t="s">
        <v>297</v>
      </c>
      <c r="D240" s="15" t="s">
        <v>549</v>
      </c>
      <c r="E240" s="15"/>
      <c r="F240" s="41">
        <v>15.0</v>
      </c>
      <c r="G240" s="33">
        <v>0.0</v>
      </c>
      <c r="H240" s="33">
        <v>15.0</v>
      </c>
      <c r="I240" s="29">
        <v>0.0</v>
      </c>
      <c r="J240" s="19" t="str">
        <f t="shared" si="13"/>
        <v>destacada</v>
      </c>
      <c r="K240" s="20">
        <f t="shared" si="8"/>
        <v>1020</v>
      </c>
      <c r="L240" s="15"/>
      <c r="M240" s="20"/>
      <c r="N240" s="21">
        <v>1.0</v>
      </c>
      <c r="O240" s="22">
        <v>2.0</v>
      </c>
      <c r="P240" s="23" t="str">
        <f>IFERROR(__xludf.DUMMYFUNCTION("IFERROR(
  INDEX(
    QUERY(
      Historial!A:I,
      ""select I where B = '""&amp;A240&amp;""' order by A desc limit 1"",
      0
    ),
    1
  ),
  """"
)"),"")</f>
        <v/>
      </c>
      <c r="Q240" s="19" t="s">
        <v>63</v>
      </c>
      <c r="R240" s="24">
        <v>46568.0</v>
      </c>
      <c r="S240" s="20" t="str">
        <f>IFERROR(__xludf.DUMMYFUNCTION("IFERROR(
  INDEX(
    QUERY(
      Historial!A:G,
      ""select G where B = '""&amp;A240&amp;""' order by A desc limit 1"",
      0
    ),
    1
  ),
  """"
)"),"")</f>
        <v/>
      </c>
      <c r="T240" s="20" t="str">
        <f t="shared" si="3"/>
        <v/>
      </c>
      <c r="U240" s="20" t="str">
        <f t="shared" si="4"/>
        <v/>
      </c>
      <c r="V240" s="25">
        <v>0.0</v>
      </c>
      <c r="W240" s="26">
        <v>1.0</v>
      </c>
      <c r="X240" s="26">
        <v>0.013</v>
      </c>
      <c r="Y240" s="26">
        <v>1153.8461538461538</v>
      </c>
      <c r="Z240" s="26">
        <v>21.0</v>
      </c>
      <c r="AA240" s="26">
        <v>0.091</v>
      </c>
      <c r="AB240" s="26">
        <v>0.0</v>
      </c>
      <c r="AC240" s="27"/>
      <c r="AD240" s="26">
        <v>1153.8461538461538</v>
      </c>
      <c r="AE240" s="10" t="s">
        <v>38</v>
      </c>
      <c r="AF240" s="10" t="s">
        <v>39</v>
      </c>
      <c r="AG240" s="27"/>
    </row>
    <row r="241" ht="15.75" customHeight="1">
      <c r="A241" s="34" t="s">
        <v>550</v>
      </c>
      <c r="B241" s="35">
        <v>1500.0</v>
      </c>
      <c r="C241" s="15" t="s">
        <v>297</v>
      </c>
      <c r="D241" s="15" t="s">
        <v>551</v>
      </c>
      <c r="E241" s="15"/>
      <c r="F241" s="36">
        <v>20.0</v>
      </c>
      <c r="G241" s="33">
        <v>0.0</v>
      </c>
      <c r="H241" s="33">
        <v>15.0</v>
      </c>
      <c r="I241" s="29">
        <v>0.0</v>
      </c>
      <c r="J241" s="19" t="str">
        <f t="shared" si="13"/>
        <v>destacada</v>
      </c>
      <c r="K241" s="20">
        <f t="shared" si="8"/>
        <v>1275</v>
      </c>
      <c r="L241" s="15"/>
      <c r="M241" s="20"/>
      <c r="N241" s="21">
        <v>6.0</v>
      </c>
      <c r="O241" s="22">
        <v>3.0</v>
      </c>
      <c r="P241" s="23" t="str">
        <f>IFERROR(__xludf.DUMMYFUNCTION("IFERROR(
  INDEX(
    QUERY(
      Historial!A:I,
      ""select I where B = '""&amp;A241&amp;""' order by A desc limit 1"",
      0
    ),
    1
  ),
  """"
)"),"")</f>
        <v/>
      </c>
      <c r="Q241" s="19" t="s">
        <v>37</v>
      </c>
      <c r="R241" s="24">
        <v>46569.0</v>
      </c>
      <c r="S241" s="20" t="str">
        <f>IFERROR(__xludf.DUMMYFUNCTION("IFERROR(
  INDEX(
    QUERY(
      Historial!A:G,
      ""select G where B = '""&amp;A241&amp;""' order by A desc limit 1"",
      0
    ),
    1
  ),
  """"
)"),"")</f>
        <v/>
      </c>
      <c r="T241" s="20" t="str">
        <f t="shared" si="3"/>
        <v/>
      </c>
      <c r="U241" s="20" t="str">
        <f t="shared" si="4"/>
        <v/>
      </c>
      <c r="V241" s="25">
        <v>2.0</v>
      </c>
      <c r="W241" s="26">
        <v>6.0</v>
      </c>
      <c r="X241" s="26">
        <v>0.251</v>
      </c>
      <c r="Y241" s="26">
        <v>79.6812749003984</v>
      </c>
      <c r="Z241" s="26">
        <v>21.0</v>
      </c>
      <c r="AA241" s="26">
        <v>1.7570000000000001</v>
      </c>
      <c r="AB241" s="26">
        <v>0.0</v>
      </c>
      <c r="AC241" s="27"/>
      <c r="AD241" s="26">
        <v>79.6812749003984</v>
      </c>
      <c r="AE241" s="10" t="s">
        <v>38</v>
      </c>
      <c r="AF241" s="10" t="s">
        <v>39</v>
      </c>
      <c r="AG241" s="27"/>
    </row>
    <row r="242" ht="15.75" customHeight="1">
      <c r="A242" s="34" t="s">
        <v>552</v>
      </c>
      <c r="B242" s="35">
        <v>1500.0</v>
      </c>
      <c r="C242" s="15" t="s">
        <v>297</v>
      </c>
      <c r="D242" s="15" t="s">
        <v>553</v>
      </c>
      <c r="E242" s="15"/>
      <c r="F242" s="41">
        <v>9.0</v>
      </c>
      <c r="G242" s="33">
        <v>0.0</v>
      </c>
      <c r="H242" s="33">
        <v>15.0</v>
      </c>
      <c r="I242" s="29">
        <v>0.0</v>
      </c>
      <c r="J242" s="19" t="str">
        <f t="shared" si="13"/>
        <v>destacada</v>
      </c>
      <c r="K242" s="20">
        <f t="shared" si="8"/>
        <v>1275</v>
      </c>
      <c r="L242" s="15"/>
      <c r="M242" s="20"/>
      <c r="N242" s="21">
        <v>0.0</v>
      </c>
      <c r="O242" s="22">
        <v>3.0</v>
      </c>
      <c r="P242" s="23" t="str">
        <f>IFERROR(__xludf.DUMMYFUNCTION("IFERROR(
  INDEX(
    QUERY(
      Historial!A:I,
      ""select I where B = '""&amp;A242&amp;""' order by A desc limit 1"",
      0
    ),
    1
  ),
  """"
)"),"")</f>
        <v/>
      </c>
      <c r="Q242" s="19" t="s">
        <v>43</v>
      </c>
      <c r="R242" s="24">
        <v>46570.0</v>
      </c>
      <c r="S242" s="20" t="str">
        <f>IFERROR(__xludf.DUMMYFUNCTION("IFERROR(
  INDEX(
    QUERY(
      Historial!A:G,
      ""select G where B = '""&amp;A242&amp;""' order by A desc limit 1"",
      0
    ),
    1
  ),
  """"
)"),"")</f>
        <v/>
      </c>
      <c r="T242" s="20" t="str">
        <f t="shared" si="3"/>
        <v/>
      </c>
      <c r="U242" s="20" t="str">
        <f t="shared" si="4"/>
        <v/>
      </c>
      <c r="V242" s="25">
        <v>0.0</v>
      </c>
      <c r="W242" s="26">
        <v>0.0</v>
      </c>
      <c r="X242" s="26">
        <v>0.0</v>
      </c>
      <c r="Y242" s="27"/>
      <c r="Z242" s="26">
        <v>14.0</v>
      </c>
      <c r="AA242" s="26">
        <v>0.0</v>
      </c>
      <c r="AB242" s="26">
        <v>0.0</v>
      </c>
      <c r="AC242" s="27"/>
      <c r="AD242" s="27"/>
      <c r="AE242" s="10" t="s">
        <v>38</v>
      </c>
      <c r="AF242" s="10" t="s">
        <v>44</v>
      </c>
      <c r="AG242" s="27"/>
    </row>
    <row r="243" ht="15.75" customHeight="1">
      <c r="A243" s="31" t="s">
        <v>554</v>
      </c>
      <c r="B243" s="20">
        <v>4000.0</v>
      </c>
      <c r="C243" s="20" t="s">
        <v>297</v>
      </c>
      <c r="D243" s="15" t="s">
        <v>555</v>
      </c>
      <c r="E243" s="15"/>
      <c r="F243" s="41">
        <v>6.0</v>
      </c>
      <c r="G243" s="33">
        <v>0.0</v>
      </c>
      <c r="H243" s="33">
        <v>0.0</v>
      </c>
      <c r="I243" s="29">
        <v>1.0</v>
      </c>
      <c r="J243" s="19" t="str">
        <f t="shared" si="13"/>
        <v>especial</v>
      </c>
      <c r="K243" s="20">
        <f t="shared" si="8"/>
        <v>3600</v>
      </c>
      <c r="L243" s="15"/>
      <c r="M243" s="20"/>
      <c r="N243" s="21">
        <v>0.0</v>
      </c>
      <c r="O243" s="22">
        <v>3.0</v>
      </c>
      <c r="P243" s="23" t="str">
        <f>IFERROR(__xludf.DUMMYFUNCTION("IFERROR(
  INDEX(
    QUERY(
      Historial!A:I,
      ""select I where B = '""&amp;A243&amp;""' order by A desc limit 1"",
      0
    ),
    1
  ),
  """"
)"),"")</f>
        <v/>
      </c>
      <c r="Q243" s="19" t="s">
        <v>48</v>
      </c>
      <c r="R243" s="24">
        <v>46571.0</v>
      </c>
      <c r="S243" s="20" t="str">
        <f>IFERROR(__xludf.DUMMYFUNCTION("IFERROR(
  INDEX(
    QUERY(
      Historial!A:G,
      ""select G where B = '""&amp;A243&amp;""' order by A desc limit 1"",
      0
    ),
    1
  ),
  """"
)"),"")</f>
        <v/>
      </c>
      <c r="T243" s="20" t="str">
        <f t="shared" si="3"/>
        <v/>
      </c>
      <c r="U243" s="20" t="str">
        <f t="shared" si="4"/>
        <v/>
      </c>
      <c r="V243" s="25">
        <v>0.0</v>
      </c>
      <c r="W243" s="26">
        <v>0.0</v>
      </c>
      <c r="X243" s="26">
        <v>0.0</v>
      </c>
      <c r="Y243" s="27"/>
      <c r="Z243" s="26">
        <v>10.0</v>
      </c>
      <c r="AA243" s="26">
        <v>0.0</v>
      </c>
      <c r="AB243" s="26">
        <v>0.0</v>
      </c>
      <c r="AC243" s="27"/>
      <c r="AD243" s="27"/>
      <c r="AE243" s="10" t="s">
        <v>38</v>
      </c>
      <c r="AF243" s="10" t="s">
        <v>44</v>
      </c>
      <c r="AG243" s="27"/>
    </row>
    <row r="244" ht="15.75" customHeight="1">
      <c r="A244" s="31" t="s">
        <v>556</v>
      </c>
      <c r="B244" s="20">
        <v>1500.0</v>
      </c>
      <c r="C244" s="20" t="s">
        <v>297</v>
      </c>
      <c r="D244" s="15" t="s">
        <v>557</v>
      </c>
      <c r="E244" s="15"/>
      <c r="F244" s="41">
        <v>6.0</v>
      </c>
      <c r="G244" s="33">
        <v>0.0</v>
      </c>
      <c r="H244" s="33">
        <v>0.0</v>
      </c>
      <c r="I244" s="29">
        <v>1.0</v>
      </c>
      <c r="J244" s="19" t="str">
        <f t="shared" si="13"/>
        <v>especial</v>
      </c>
      <c r="K244" s="20">
        <f t="shared" si="8"/>
        <v>1350</v>
      </c>
      <c r="L244" s="15"/>
      <c r="M244" s="20"/>
      <c r="N244" s="21">
        <v>0.0</v>
      </c>
      <c r="O244" s="22">
        <v>3.0</v>
      </c>
      <c r="P244" s="23" t="str">
        <f>IFERROR(__xludf.DUMMYFUNCTION("IFERROR(
  INDEX(
    QUERY(
      Historial!A:I,
      ""select I where B = '""&amp;A244&amp;""' order by A desc limit 1"",
      0
    ),
    1
  ),
  """"
)"),"")</f>
        <v/>
      </c>
      <c r="Q244" s="19" t="s">
        <v>51</v>
      </c>
      <c r="R244" s="24">
        <v>46572.0</v>
      </c>
      <c r="S244" s="20" t="str">
        <f>IFERROR(__xludf.DUMMYFUNCTION("IFERROR(
  INDEX(
    QUERY(
      Historial!A:G,
      ""select G where B = '""&amp;A244&amp;""' order by A desc limit 1"",
      0
    ),
    1
  ),
  """"
)"),"")</f>
        <v/>
      </c>
      <c r="T244" s="20" t="str">
        <f t="shared" si="3"/>
        <v/>
      </c>
      <c r="U244" s="20" t="str">
        <f t="shared" si="4"/>
        <v/>
      </c>
      <c r="V244" s="25">
        <v>0.0</v>
      </c>
      <c r="W244" s="26">
        <v>0.0</v>
      </c>
      <c r="X244" s="26">
        <v>0.0</v>
      </c>
      <c r="Y244" s="27"/>
      <c r="Z244" s="26">
        <v>10.0</v>
      </c>
      <c r="AA244" s="26">
        <v>0.0</v>
      </c>
      <c r="AB244" s="26">
        <v>0.0</v>
      </c>
      <c r="AC244" s="27"/>
      <c r="AD244" s="27"/>
      <c r="AE244" s="10" t="s">
        <v>38</v>
      </c>
      <c r="AF244" s="10" t="s">
        <v>44</v>
      </c>
      <c r="AG244" s="27"/>
    </row>
    <row r="245" ht="15.75" customHeight="1">
      <c r="A245" s="34" t="s">
        <v>558</v>
      </c>
      <c r="B245" s="46">
        <v>3600.0</v>
      </c>
      <c r="C245" s="15" t="s">
        <v>297</v>
      </c>
      <c r="D245" s="15" t="s">
        <v>559</v>
      </c>
      <c r="E245" s="47" t="s">
        <v>47</v>
      </c>
      <c r="F245" s="36">
        <v>4.0</v>
      </c>
      <c r="G245" s="33">
        <v>0.0</v>
      </c>
      <c r="H245" s="33">
        <v>0.0</v>
      </c>
      <c r="I245" s="29">
        <v>1.0</v>
      </c>
      <c r="J245" s="19" t="str">
        <f t="shared" si="13"/>
        <v>especial</v>
      </c>
      <c r="K245" s="20">
        <f t="shared" si="8"/>
        <v>3240</v>
      </c>
      <c r="L245" s="15"/>
      <c r="M245" s="20"/>
      <c r="N245" s="21">
        <v>2.0</v>
      </c>
      <c r="O245" s="22">
        <v>2.0</v>
      </c>
      <c r="P245" s="23">
        <f>IFERROR(__xludf.DUMMYFUNCTION("IFERROR(
  INDEX(
    QUERY(
      Historial!A:I,
      ""select I where B = '""&amp;A245&amp;""' order by A desc limit 1"",
      0
    ),
    1
  ),
  """"
)"),46235.0)</f>
        <v>46235</v>
      </c>
      <c r="Q245" s="19" t="s">
        <v>60</v>
      </c>
      <c r="R245" s="24">
        <v>46574.0</v>
      </c>
      <c r="S245" s="20">
        <f>IFERROR(__xludf.DUMMYFUNCTION("IFERROR(
  INDEX(
    QUERY(
      Historial!A:G,
      ""select G where B = '""&amp;A245&amp;""' order by A desc limit 1"",
      0
    ),
    1
  ),
  """"
)"),2100.0)</f>
        <v>2100</v>
      </c>
      <c r="T245" s="20" t="str">
        <f t="shared" si="3"/>
        <v>✅ OK</v>
      </c>
      <c r="U245" s="20" t="str">
        <f t="shared" si="4"/>
        <v/>
      </c>
      <c r="V245" s="25">
        <v>1.0</v>
      </c>
      <c r="W245" s="26">
        <v>2.0</v>
      </c>
      <c r="X245" s="26">
        <v>0.112</v>
      </c>
      <c r="Y245" s="26">
        <v>35.714285714285715</v>
      </c>
      <c r="Z245" s="26">
        <v>14.0</v>
      </c>
      <c r="AA245" s="26">
        <v>1.12</v>
      </c>
      <c r="AB245" s="26">
        <v>0.0</v>
      </c>
      <c r="AC245" s="26">
        <v>143.0</v>
      </c>
      <c r="AD245" s="26">
        <v>35.714285714285715</v>
      </c>
      <c r="AE245" s="10" t="s">
        <v>38</v>
      </c>
      <c r="AF245" s="10" t="s">
        <v>39</v>
      </c>
      <c r="AG245" s="27"/>
    </row>
    <row r="246" ht="15.75" customHeight="1">
      <c r="A246" s="34" t="s">
        <v>560</v>
      </c>
      <c r="B246" s="46">
        <v>3500.0</v>
      </c>
      <c r="C246" s="47" t="s">
        <v>297</v>
      </c>
      <c r="D246" s="15" t="s">
        <v>561</v>
      </c>
      <c r="E246" s="47" t="s">
        <v>114</v>
      </c>
      <c r="F246" s="36">
        <v>6.0</v>
      </c>
      <c r="G246" s="33">
        <v>0.0</v>
      </c>
      <c r="H246" s="33">
        <v>0.0</v>
      </c>
      <c r="I246" s="29">
        <v>1.0</v>
      </c>
      <c r="J246" s="19" t="str">
        <f t="shared" si="13"/>
        <v>especial</v>
      </c>
      <c r="K246" s="20">
        <f t="shared" si="8"/>
        <v>3150</v>
      </c>
      <c r="L246" s="15"/>
      <c r="M246" s="20"/>
      <c r="N246" s="21">
        <v>5.0</v>
      </c>
      <c r="O246" s="22">
        <v>3.0</v>
      </c>
      <c r="P246" s="23">
        <f>IFERROR(__xludf.DUMMYFUNCTION("IFERROR(
  INDEX(
    QUERY(
      Historial!A:I,
      ""select I where B = '""&amp;A246&amp;""' order by A desc limit 1"",
      0
    ),
    1
  ),
  """"
)"),46204.0)</f>
        <v>46204</v>
      </c>
      <c r="Q246" s="19" t="s">
        <v>63</v>
      </c>
      <c r="R246" s="24">
        <v>46575.0</v>
      </c>
      <c r="S246" s="20">
        <f>IFERROR(__xludf.DUMMYFUNCTION("IFERROR(
  INDEX(
    QUERY(
      Historial!A:G,
      ""select G where B = '""&amp;A246&amp;""' order by A desc limit 1"",
      0
    ),
    1
  ),
  """"
)"),2350.0)</f>
        <v>2350</v>
      </c>
      <c r="T246" s="20" t="str">
        <f t="shared" si="3"/>
        <v>✅ OK</v>
      </c>
      <c r="U246" s="20" t="str">
        <f t="shared" si="4"/>
        <v/>
      </c>
      <c r="V246" s="25">
        <v>2.0</v>
      </c>
      <c r="W246" s="26">
        <v>4.0</v>
      </c>
      <c r="X246" s="26">
        <v>0.225</v>
      </c>
      <c r="Y246" s="26">
        <v>26.666666666666664</v>
      </c>
      <c r="Z246" s="26">
        <v>21.0</v>
      </c>
      <c r="AA246" s="26">
        <v>1.575</v>
      </c>
      <c r="AB246" s="26">
        <v>0.0</v>
      </c>
      <c r="AC246" s="26">
        <v>112.0</v>
      </c>
      <c r="AD246" s="26">
        <v>26.666666666666664</v>
      </c>
      <c r="AE246" s="10" t="s">
        <v>38</v>
      </c>
      <c r="AF246" s="10" t="s">
        <v>39</v>
      </c>
      <c r="AG246" s="27"/>
    </row>
    <row r="247" ht="15.75" customHeight="1">
      <c r="A247" s="34" t="s">
        <v>562</v>
      </c>
      <c r="B247" s="46">
        <v>2000.0</v>
      </c>
      <c r="C247" s="47" t="s">
        <v>297</v>
      </c>
      <c r="D247" s="15" t="s">
        <v>563</v>
      </c>
      <c r="E247" s="47" t="s">
        <v>147</v>
      </c>
      <c r="F247" s="36">
        <v>10.0</v>
      </c>
      <c r="G247" s="33">
        <v>0.0</v>
      </c>
      <c r="H247" s="33">
        <v>25.0</v>
      </c>
      <c r="I247" s="29">
        <v>0.0</v>
      </c>
      <c r="J247" s="19" t="str">
        <f t="array" ref="J247">IF(
  A247="",
  "",
  IF(
    F247=0,
    "sin stock",
    IF(
      NOT(OR(I247=0,I247=1)),
      "ERROR ESPECIAL",
      IF(
        NOT(ISNUMBER(MATCH(G247,{0;1;2;3;4;5;6;10;11;12;13;14},0))),
        "ERROR RELAMPAGO",
        IF(
          OR(H247&gt;70,AND(H247&gt;0,H247&lt;15)),
          "ERROR DESTACADA",
          IF(
            (I247=1)+(H247&gt;0)+(G247&gt;0)&gt;1,
            "ERROR DOBLE OFERTA",
            IF(
              I247=1,
              "especial",
              IF(
                H247&gt;0,
                "destacada",
                IF(
                  G247&gt;0,
                  IF(
                    OR(
                      AND(G247&lt;=6,F247&lt;(G247+1)),
                      AND(G247=10,F247&lt;2),
                      AND(G247&gt;=11,F247&lt;1)
                    ),
                    "REPONER "&amp;
                    IF(G247&lt;=6,G247+1-F247,
                       IF(G247=10,2-F247,
                          1-F247
                       )
                    )&amp;
                    " PARA PROMO",
                    IF(
                      G247&lt;=6,
                      "relampago "&amp;(G247+1)&amp;"x"&amp;G247,
                      IF(
                        G247=10,
                        "2da50off",
                        IF(
                          G247&gt;=11,
                          "relampago "&amp;CHOOSE(G247-10,10,15,20,25)&amp;"%",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destacada</v>
      </c>
      <c r="K247" s="20">
        <f t="shared" si="8"/>
        <v>1500</v>
      </c>
      <c r="L247" s="15"/>
      <c r="M247" s="20"/>
      <c r="N247" s="21">
        <v>0.0</v>
      </c>
      <c r="O247" s="22">
        <v>3.0</v>
      </c>
      <c r="P247" s="23">
        <f>IFERROR(__xludf.DUMMYFUNCTION("IFERROR(
  INDEX(
    QUERY(
      Historial!A:I,
      ""select I where B = '""&amp;A247&amp;""' order by A desc limit 1"",
      0
    ),
    1
  ),
  """"
)"),46231.0)</f>
        <v>46231</v>
      </c>
      <c r="Q247" s="19" t="s">
        <v>43</v>
      </c>
      <c r="R247" s="24">
        <v>46577.0</v>
      </c>
      <c r="S247" s="20">
        <f>IFERROR(__xludf.DUMMYFUNCTION("IFERROR(
  INDEX(
    QUERY(
      Historial!A:G,
      ""select G where B = '""&amp;A247&amp;""' order by A desc limit 1"",
      0
    ),
    1
  ),
  """"
)"),1100.0)</f>
        <v>1100</v>
      </c>
      <c r="T247" s="20" t="str">
        <f t="shared" si="3"/>
        <v>✅ OK</v>
      </c>
      <c r="U247" s="20" t="str">
        <f t="shared" si="4"/>
        <v/>
      </c>
      <c r="V247" s="25">
        <v>0.0</v>
      </c>
      <c r="W247" s="26">
        <v>0.0</v>
      </c>
      <c r="X247" s="26">
        <v>0.0</v>
      </c>
      <c r="Y247" s="27"/>
      <c r="Z247" s="26">
        <v>21.0</v>
      </c>
      <c r="AA247" s="26">
        <v>0.0</v>
      </c>
      <c r="AB247" s="26">
        <v>0.0</v>
      </c>
      <c r="AC247" s="26">
        <v>139.0</v>
      </c>
      <c r="AD247" s="27"/>
      <c r="AE247" s="10" t="s">
        <v>38</v>
      </c>
      <c r="AF247" s="10" t="s">
        <v>44</v>
      </c>
      <c r="AG247" s="27"/>
    </row>
    <row r="248" ht="15.75" customHeight="1">
      <c r="A248" s="31" t="s">
        <v>564</v>
      </c>
      <c r="B248" s="21">
        <v>4800.0</v>
      </c>
      <c r="C248" s="56" t="s">
        <v>297</v>
      </c>
      <c r="D248" s="15" t="s">
        <v>565</v>
      </c>
      <c r="E248" s="56">
        <v>4700.0</v>
      </c>
      <c r="F248" s="32">
        <v>3201.0</v>
      </c>
      <c r="G248" s="40">
        <v>0.0</v>
      </c>
      <c r="H248" s="20">
        <v>0.0</v>
      </c>
      <c r="I248" s="20">
        <v>0.0</v>
      </c>
      <c r="J248" s="40">
        <v>0.0</v>
      </c>
      <c r="K248" s="20" t="str">
        <f t="shared" si="8"/>
        <v>NORMAL / SIN OFERTA</v>
      </c>
      <c r="L248" s="20">
        <v>0.0</v>
      </c>
      <c r="M248" s="20">
        <v>0.0</v>
      </c>
      <c r="N248" s="21">
        <v>0.0</v>
      </c>
      <c r="O248" s="22">
        <v>2.0</v>
      </c>
      <c r="P248" s="23" t="str">
        <f>IFERROR(__xludf.DUMMYFUNCTION("IFERROR(
  INDEX(
    QUERY(
      Historial!A:I,
      ""select I where B = '""&amp;A248&amp;""' order by A desc limit 1"",
      0
    ),
    1
  ),
  """"
)"),"")</f>
        <v/>
      </c>
      <c r="Q248" s="19" t="s">
        <v>57</v>
      </c>
      <c r="R248" s="24">
        <v>46580.0</v>
      </c>
      <c r="S248" s="20">
        <f>IFERROR(__xludf.DUMMYFUNCTION("IFERROR(
  INDEX(
    QUERY(
      Historial!A:G,
      ""select G where B = '""&amp;A248&amp;""' order by A desc limit 1"",
      0
    ),
    1
  ),
  """"
)"),3200.0)</f>
        <v>3200</v>
      </c>
      <c r="T248" s="20" t="str">
        <f t="shared" si="3"/>
        <v/>
      </c>
      <c r="U248" s="20" t="str">
        <f t="shared" si="4"/>
        <v/>
      </c>
      <c r="V248" s="25">
        <v>0.0</v>
      </c>
      <c r="W248" s="26">
        <v>0.0</v>
      </c>
      <c r="X248" s="26">
        <v>0.0</v>
      </c>
      <c r="Y248" s="27"/>
      <c r="Z248" s="26">
        <v>14.0</v>
      </c>
      <c r="AA248" s="26">
        <v>0.0</v>
      </c>
      <c r="AB248" s="26">
        <v>0.0</v>
      </c>
      <c r="AC248" s="27"/>
      <c r="AD248" s="27"/>
      <c r="AE248" s="10" t="s">
        <v>38</v>
      </c>
      <c r="AF248" s="10" t="s">
        <v>44</v>
      </c>
      <c r="AG248" s="27"/>
    </row>
    <row r="249" ht="15.75" customHeight="1">
      <c r="A249" s="34" t="s">
        <v>566</v>
      </c>
      <c r="B249" s="35">
        <v>13500.0</v>
      </c>
      <c r="C249" s="15" t="s">
        <v>297</v>
      </c>
      <c r="D249" s="15" t="s">
        <v>567</v>
      </c>
      <c r="E249" s="15"/>
      <c r="F249" s="36">
        <v>37.2</v>
      </c>
      <c r="G249" s="33">
        <v>0.0</v>
      </c>
      <c r="H249" s="33">
        <v>0.0</v>
      </c>
      <c r="I249" s="29">
        <v>1.0</v>
      </c>
      <c r="J249" s="19" t="str">
        <f t="array" ref="J249">IF(
  A249="",
  "",
  IF(
    F249=0,
    "sin stock",
    IF(
      NOT(OR(I249=0,I249=1)),
      "ERROR ESPECIAL",
      IF(
        NOT(ISNUMBER(MATCH(G249,{0;1;2;3;4;5;6;10;11;12;13;14},0))),
        "ERROR RELAMPAGO",
        IF(
          OR(H249&gt;70,AND(H249&gt;0,H249&lt;15)),
          "ERROR DESTACADA",
          IF(
            (I249=1)+(H249&gt;0)+(G249&gt;0)&gt;1,
            "ERROR DOBLE OFERTA",
            IF(
              I249=1,
              "especial",
              IF(
                H249&gt;0,
                "destacada",
                IF(
                  G249&gt;0,
                  IF(
                    OR(
                      AND(G249&lt;=6,F249&lt;(G249+1)),
                      AND(G249=10,F249&lt;2),
                      AND(G249&gt;=11,F249&lt;1)
                    ),
                    "REPONER "&amp;
                    IF(G249&lt;=6,G249+1-F249,
                       IF(G249=10,2-F249,
                          1-F249
                       )
                    )&amp;
                    " PARA PROMO",
                    IF(
                      G249&lt;=6,
                      "relampago "&amp;(G249+1)&amp;"x"&amp;G249,
                      IF(
                        G249=10,
                        "2da50off",
                        IF(
                          G249&gt;=11,
                          "relampago "&amp;CHOOSE(G249-10,10,15,20,25)&amp;"%",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especial</v>
      </c>
      <c r="K249" s="20">
        <f t="shared" si="8"/>
        <v>12150</v>
      </c>
      <c r="L249" s="15"/>
      <c r="M249" s="20"/>
      <c r="N249" s="21">
        <v>0.0</v>
      </c>
      <c r="O249" s="22">
        <v>3.0</v>
      </c>
      <c r="P249" s="23" t="str">
        <f>IFERROR(__xludf.DUMMYFUNCTION("IFERROR(
  INDEX(
    QUERY(
      Historial!A:I,
      ""select I where B = '""&amp;A249&amp;""' order by A desc limit 1"",
      0
    ),
    1
  ),
  """"
)"),"")</f>
        <v/>
      </c>
      <c r="Q249" s="19" t="s">
        <v>60</v>
      </c>
      <c r="R249" s="24">
        <v>46581.0</v>
      </c>
      <c r="S249" s="20" t="str">
        <f>IFERROR(__xludf.DUMMYFUNCTION("IFERROR(
  INDEX(
    QUERY(
      Historial!A:G,
      ""select G where B = '""&amp;A249&amp;""' order by A desc limit 1"",
      0
    ),
    1
  ),
  """"
)"),"")</f>
        <v/>
      </c>
      <c r="T249" s="20" t="str">
        <f t="shared" si="3"/>
        <v/>
      </c>
      <c r="U249" s="20" t="str">
        <f t="shared" si="4"/>
        <v/>
      </c>
      <c r="V249" s="25">
        <v>0.0</v>
      </c>
      <c r="W249" s="26">
        <v>0.0</v>
      </c>
      <c r="X249" s="26">
        <v>0.0</v>
      </c>
      <c r="Y249" s="27"/>
      <c r="Z249" s="26">
        <v>10.0</v>
      </c>
      <c r="AA249" s="26">
        <v>0.0</v>
      </c>
      <c r="AB249" s="26">
        <v>0.0</v>
      </c>
      <c r="AC249" s="27"/>
      <c r="AD249" s="27"/>
      <c r="AE249" s="10" t="s">
        <v>38</v>
      </c>
      <c r="AF249" s="10" t="s">
        <v>44</v>
      </c>
      <c r="AG249" s="27"/>
    </row>
    <row r="250" ht="15.75" customHeight="1">
      <c r="A250" s="34" t="s">
        <v>568</v>
      </c>
      <c r="B250" s="35">
        <v>13999.0</v>
      </c>
      <c r="C250" s="15" t="s">
        <v>297</v>
      </c>
      <c r="D250" s="15" t="s">
        <v>569</v>
      </c>
      <c r="E250" s="15"/>
      <c r="F250" s="41">
        <v>6.0</v>
      </c>
      <c r="G250" s="33">
        <v>0.0</v>
      </c>
      <c r="H250" s="33">
        <v>20.0</v>
      </c>
      <c r="I250" s="29">
        <v>0.0</v>
      </c>
      <c r="J250" s="19" t="str">
        <f t="shared" ref="J250:J261" si="14">IF(
A250="",
"",
IF(
F250=0,
"sin stock",
IF(
NOT(OR(I250=0,I250=1)),
"ERROR ESPECIAL",
IF(
NOT(ISNUMBER(MATCH(G250,{0;1;2;3;4;5;6;10;11;12;13;14},0))),
"ERROR RELAMPAGO",
IF(
OR(H250&gt;70,AND(H250&gt;0,H250&lt;15)),
"ERROR DESTACADA",
IF(
(I250=1)+(H250&gt;0)+(G250&gt;0)&gt;1,
"ERROR DOBLE OFERTA",
IF(
I250=1,
"especial",
IF(
H250&gt;0,
"destacada",
IF(
G250&gt;0,
IF(
OR(
AND(G250&lt;=6,F250&lt;(G250+1)),
AND(G250=10,F250&lt;2),
AND(G250&gt;=11,F250&lt;1)
),
"REPONER "&amp;
IF(G250&lt;=6,G250+1-F250,
IF(G250=10,2-F250,
1-
F250)
)&amp;
" PARA PROMO",
IF(
G250&lt;=6,
"relampago "&amp;(G250+1)&amp;"x"&amp;G250,
IF(
G250=10,
"2da50off",
IF(
G250&gt;=11,
"relampago "&amp;CHOOSE(G250-10,10,15,20,25)&amp;"%",
"relampago"
)
)
)
),
"sin oferta"
)
)
)
)
)
)
)
)
)</f>
        <v>destacada</v>
      </c>
      <c r="K250" s="20">
        <f t="shared" si="8"/>
        <v>11199.2</v>
      </c>
      <c r="L250" s="15">
        <v>16000.0</v>
      </c>
      <c r="M250" s="20"/>
      <c r="N250" s="21">
        <v>0.0</v>
      </c>
      <c r="O250" s="22">
        <v>3.0</v>
      </c>
      <c r="P250" s="23" t="str">
        <f>IFERROR(__xludf.DUMMYFUNCTION("IFERROR(
  INDEX(
    QUERY(
      Historial!A:I,
      ""select I where B = '""&amp;A250&amp;""' order by A desc limit 1"",
      0
    ),
    1
  ),
  """"
)"),"")</f>
        <v/>
      </c>
      <c r="Q250" s="19" t="s">
        <v>63</v>
      </c>
      <c r="R250" s="24">
        <v>46582.0</v>
      </c>
      <c r="S250" s="20" t="str">
        <f>IFERROR(__xludf.DUMMYFUNCTION("IFERROR(
  INDEX(
    QUERY(
      Historial!A:G,
      ""select G where B = '""&amp;A250&amp;""' order by A desc limit 1"",
      0
    ),
    1
  ),
  """"
)"),"")</f>
        <v/>
      </c>
      <c r="T250" s="20" t="str">
        <f t="shared" si="3"/>
        <v/>
      </c>
      <c r="U250" s="20" t="str">
        <f t="shared" si="4"/>
        <v/>
      </c>
      <c r="V250" s="25">
        <v>0.0</v>
      </c>
      <c r="W250" s="26">
        <v>0.0</v>
      </c>
      <c r="X250" s="26">
        <v>0.0</v>
      </c>
      <c r="Y250" s="27"/>
      <c r="Z250" s="26">
        <v>10.0</v>
      </c>
      <c r="AA250" s="26">
        <v>0.0</v>
      </c>
      <c r="AB250" s="26">
        <v>0.0</v>
      </c>
      <c r="AC250" s="27"/>
      <c r="AD250" s="27"/>
      <c r="AE250" s="10" t="s">
        <v>38</v>
      </c>
      <c r="AF250" s="10" t="s">
        <v>44</v>
      </c>
      <c r="AG250" s="27"/>
    </row>
    <row r="251" ht="15.75" customHeight="1">
      <c r="A251" s="45" t="s">
        <v>570</v>
      </c>
      <c r="B251" s="46">
        <v>3200.0</v>
      </c>
      <c r="C251" s="47" t="s">
        <v>297</v>
      </c>
      <c r="D251" s="15" t="s">
        <v>571</v>
      </c>
      <c r="E251" s="47" t="s">
        <v>114</v>
      </c>
      <c r="F251" s="36">
        <v>2.0</v>
      </c>
      <c r="G251" s="17">
        <v>14.0</v>
      </c>
      <c r="H251" s="33">
        <v>0.0</v>
      </c>
      <c r="I251" s="29">
        <v>0.0</v>
      </c>
      <c r="J251" s="19" t="str">
        <f t="shared" si="14"/>
        <v>relampago 25%</v>
      </c>
      <c r="K251" s="20" t="str">
        <f t="shared" si="8"/>
        <v>#N/A</v>
      </c>
      <c r="L251" s="15"/>
      <c r="M251" s="20"/>
      <c r="N251" s="21">
        <v>2.0</v>
      </c>
      <c r="O251" s="22">
        <v>2.0</v>
      </c>
      <c r="P251" s="23">
        <f>IFERROR(__xludf.DUMMYFUNCTION("IFERROR(
  INDEX(
    QUERY(
      Historial!A:I,
      ""select I where B = '""&amp;A251&amp;""' order by A desc limit 1"",
      0
    ),
    1
  ),
  """"
)"),46142.0)</f>
        <v>46142</v>
      </c>
      <c r="Q251" s="19" t="s">
        <v>48</v>
      </c>
      <c r="R251" s="24">
        <v>46585.0</v>
      </c>
      <c r="S251" s="20">
        <f>IFERROR(__xludf.DUMMYFUNCTION("IFERROR(
  INDEX(
    QUERY(
      Historial!A:G,
      ""select G where B = '""&amp;A251&amp;""' order by A desc limit 1"",
      0
    ),
    1
  ),
  """"
)"),2000.0)</f>
        <v>2000</v>
      </c>
      <c r="T251" s="20" t="str">
        <f t="shared" si="3"/>
        <v>✅ OK</v>
      </c>
      <c r="U251" s="20" t="str">
        <f t="shared" si="4"/>
        <v/>
      </c>
      <c r="V251" s="25">
        <v>1.0</v>
      </c>
      <c r="W251" s="26">
        <v>1.0</v>
      </c>
      <c r="X251" s="26">
        <v>0.099</v>
      </c>
      <c r="Y251" s="26">
        <v>20.2020202020202</v>
      </c>
      <c r="Z251" s="26">
        <v>14.0</v>
      </c>
      <c r="AA251" s="26">
        <v>0.99</v>
      </c>
      <c r="AB251" s="26">
        <v>0.0</v>
      </c>
      <c r="AC251" s="26">
        <v>50.0</v>
      </c>
      <c r="AD251" s="26">
        <v>20.2020202020202</v>
      </c>
      <c r="AE251" s="10" t="s">
        <v>38</v>
      </c>
      <c r="AF251" s="10" t="s">
        <v>39</v>
      </c>
      <c r="AG251" s="27"/>
    </row>
    <row r="252" ht="15.75" customHeight="1">
      <c r="A252" s="34" t="s">
        <v>572</v>
      </c>
      <c r="B252" s="35">
        <v>3300.0</v>
      </c>
      <c r="C252" s="15" t="s">
        <v>297</v>
      </c>
      <c r="D252" s="15" t="s">
        <v>573</v>
      </c>
      <c r="E252" s="15" t="s">
        <v>47</v>
      </c>
      <c r="F252" s="36">
        <v>10.0</v>
      </c>
      <c r="G252" s="15">
        <v>0.0</v>
      </c>
      <c r="H252" s="33">
        <v>0.0</v>
      </c>
      <c r="I252" s="19">
        <v>0.0</v>
      </c>
      <c r="J252" s="19" t="str">
        <f t="shared" si="14"/>
        <v>sin oferta</v>
      </c>
      <c r="K252" s="20" t="str">
        <f t="shared" si="8"/>
        <v>NORMAL / SIN OFERTA</v>
      </c>
      <c r="L252" s="20"/>
      <c r="M252" s="20"/>
      <c r="N252" s="21">
        <v>5.0</v>
      </c>
      <c r="O252" s="22">
        <v>4.0</v>
      </c>
      <c r="P252" s="23" t="str">
        <f>IFERROR(__xludf.DUMMYFUNCTION("IFERROR(
  INDEX(
    QUERY(
      Historial!A:I,
      ""select I where B = '""&amp;A252&amp;""' order by A desc limit 1"",
      0
    ),
    1
  ),
  """"
)"),"")</f>
        <v/>
      </c>
      <c r="Q252" s="19" t="s">
        <v>57</v>
      </c>
      <c r="R252" s="24">
        <v>46587.0</v>
      </c>
      <c r="S252" s="20" t="str">
        <f>IFERROR(__xludf.DUMMYFUNCTION("IFERROR(
  INDEX(
    QUERY(
      Historial!A:G,
      ""select G where B = '""&amp;A252&amp;""' order by A desc limit 1"",
      0
    ),
    1
  ),
  """"
)"),"")</f>
        <v/>
      </c>
      <c r="T252" s="20" t="str">
        <f t="shared" si="3"/>
        <v/>
      </c>
      <c r="U252" s="20" t="str">
        <f t="shared" si="4"/>
        <v/>
      </c>
      <c r="V252" s="25">
        <v>2.0</v>
      </c>
      <c r="W252" s="26">
        <v>5.0</v>
      </c>
      <c r="X252" s="26">
        <v>0.238</v>
      </c>
      <c r="Y252" s="26">
        <v>42.016806722689076</v>
      </c>
      <c r="Z252" s="26">
        <v>21.0</v>
      </c>
      <c r="AA252" s="26">
        <v>1.666</v>
      </c>
      <c r="AB252" s="26">
        <v>0.0</v>
      </c>
      <c r="AC252" s="27"/>
      <c r="AD252" s="26">
        <v>42.016806722689076</v>
      </c>
      <c r="AE252" s="10" t="s">
        <v>38</v>
      </c>
      <c r="AF252" s="10" t="s">
        <v>39</v>
      </c>
      <c r="AG252" s="27"/>
    </row>
    <row r="253" ht="15.75" customHeight="1">
      <c r="A253" s="34" t="s">
        <v>574</v>
      </c>
      <c r="B253" s="46">
        <v>3000.0</v>
      </c>
      <c r="C253" s="47" t="s">
        <v>297</v>
      </c>
      <c r="D253" s="15" t="s">
        <v>575</v>
      </c>
      <c r="E253" s="47" t="s">
        <v>74</v>
      </c>
      <c r="F253" s="36">
        <v>10.0</v>
      </c>
      <c r="G253" s="33">
        <v>0.0</v>
      </c>
      <c r="H253" s="33">
        <v>25.0</v>
      </c>
      <c r="I253" s="29">
        <v>0.0</v>
      </c>
      <c r="J253" s="19" t="str">
        <f t="shared" si="14"/>
        <v>destacada</v>
      </c>
      <c r="K253" s="20">
        <f t="shared" si="8"/>
        <v>2250</v>
      </c>
      <c r="L253" s="15"/>
      <c r="M253" s="20"/>
      <c r="N253" s="21">
        <v>2.0</v>
      </c>
      <c r="O253" s="22">
        <v>4.0</v>
      </c>
      <c r="P253" s="23" t="str">
        <f>IFERROR(__xludf.DUMMYFUNCTION("IFERROR(
  INDEX(
    QUERY(
      Historial!A:I,
      ""select I where B = '""&amp;A253&amp;""' order by A desc limit 1"",
      0
    ),
    1
  ),
  """"
)"),"")</f>
        <v/>
      </c>
      <c r="Q253" s="19" t="s">
        <v>60</v>
      </c>
      <c r="R253" s="24">
        <v>46588.0</v>
      </c>
      <c r="S253" s="20" t="str">
        <f>IFERROR(__xludf.DUMMYFUNCTION("IFERROR(
  INDEX(
    QUERY(
      Historial!A:G,
      ""select G where B = '""&amp;A253&amp;""' order by A desc limit 1"",
      0
    ),
    1
  ),
  """"
)"),"")</f>
        <v/>
      </c>
      <c r="T253" s="20" t="str">
        <f t="shared" si="3"/>
        <v/>
      </c>
      <c r="U253" s="20" t="str">
        <f t="shared" si="4"/>
        <v/>
      </c>
      <c r="V253" s="25">
        <v>0.0</v>
      </c>
      <c r="W253" s="26">
        <v>7.0</v>
      </c>
      <c r="X253" s="26">
        <v>0.093</v>
      </c>
      <c r="Y253" s="26">
        <v>107.52688172043011</v>
      </c>
      <c r="Z253" s="26">
        <v>21.0</v>
      </c>
      <c r="AA253" s="26">
        <v>0.651</v>
      </c>
      <c r="AB253" s="26">
        <v>0.0</v>
      </c>
      <c r="AC253" s="27"/>
      <c r="AD253" s="26">
        <v>107.52688172043011</v>
      </c>
      <c r="AE253" s="10" t="s">
        <v>38</v>
      </c>
      <c r="AF253" s="10" t="s">
        <v>39</v>
      </c>
      <c r="AG253" s="27"/>
    </row>
    <row r="254" ht="15.75" customHeight="1">
      <c r="A254" s="34" t="s">
        <v>576</v>
      </c>
      <c r="B254" s="35">
        <v>3000.0</v>
      </c>
      <c r="C254" s="15" t="s">
        <v>577</v>
      </c>
      <c r="D254" s="15" t="s">
        <v>578</v>
      </c>
      <c r="E254" s="15"/>
      <c r="F254" s="41">
        <v>5.0</v>
      </c>
      <c r="G254" s="33">
        <v>0.0</v>
      </c>
      <c r="H254" s="33">
        <v>0.0</v>
      </c>
      <c r="I254" s="29">
        <v>0.0</v>
      </c>
      <c r="J254" s="19" t="str">
        <f t="shared" si="14"/>
        <v>sin oferta</v>
      </c>
      <c r="K254" s="20" t="str">
        <f t="shared" si="8"/>
        <v>NORMAL / SIN OFERTA</v>
      </c>
      <c r="L254" s="15"/>
      <c r="M254" s="20"/>
      <c r="N254" s="21">
        <v>0.0</v>
      </c>
      <c r="O254" s="65">
        <v>3.0</v>
      </c>
      <c r="P254" s="23" t="str">
        <f>IFERROR(__xludf.DUMMYFUNCTION("IFERROR(
  INDEX(
    QUERY(
      Historial!A:I,
      ""select I where B = '""&amp;A254&amp;""' order by A desc limit 1"",
      0
    ),
    1
  ),
  """"
)"),"")</f>
        <v/>
      </c>
      <c r="Q254" s="19" t="s">
        <v>57</v>
      </c>
      <c r="R254" s="24">
        <v>46594.0</v>
      </c>
      <c r="S254" s="20" t="str">
        <f>IFERROR(__xludf.DUMMYFUNCTION("IFERROR(
  INDEX(
    QUERY(
      Historial!A:G,
      ""select G where B = '""&amp;A254&amp;""' order by A desc limit 1"",
      0
    ),
    1
  ),
  """"
)"),"")</f>
        <v/>
      </c>
      <c r="T254" s="20" t="str">
        <f t="shared" si="3"/>
        <v/>
      </c>
      <c r="U254" s="20" t="str">
        <f t="shared" si="4"/>
        <v/>
      </c>
      <c r="V254" s="25">
        <v>0.0</v>
      </c>
      <c r="W254" s="26">
        <v>0.0</v>
      </c>
      <c r="X254" s="26">
        <v>0.0</v>
      </c>
      <c r="Y254" s="27"/>
      <c r="Z254" s="26">
        <v>14.0</v>
      </c>
      <c r="AA254" s="26">
        <v>0.0</v>
      </c>
      <c r="AB254" s="26">
        <v>0.0</v>
      </c>
      <c r="AC254" s="27"/>
      <c r="AD254" s="27"/>
      <c r="AE254" s="10" t="s">
        <v>38</v>
      </c>
      <c r="AF254" s="10" t="s">
        <v>44</v>
      </c>
      <c r="AG254" s="27"/>
    </row>
    <row r="255" ht="15.75" customHeight="1">
      <c r="A255" s="34" t="s">
        <v>579</v>
      </c>
      <c r="B255" s="46">
        <v>2500.0</v>
      </c>
      <c r="C255" s="47" t="s">
        <v>577</v>
      </c>
      <c r="D255" s="15" t="s">
        <v>580</v>
      </c>
      <c r="E255" s="47" t="s">
        <v>147</v>
      </c>
      <c r="F255" s="36">
        <v>10.0</v>
      </c>
      <c r="G255" s="33">
        <v>1.0</v>
      </c>
      <c r="H255" s="33">
        <v>0.0</v>
      </c>
      <c r="I255" s="29">
        <v>0.0</v>
      </c>
      <c r="J255" s="19" t="str">
        <f t="shared" si="14"/>
        <v>relampago 2x1</v>
      </c>
      <c r="K255" s="20">
        <f t="shared" si="8"/>
        <v>1250</v>
      </c>
      <c r="L255" s="15"/>
      <c r="M255" s="20"/>
      <c r="N255" s="21">
        <v>1.0</v>
      </c>
      <c r="O255" s="22">
        <v>2.0</v>
      </c>
      <c r="P255" s="23" t="str">
        <f>IFERROR(__xludf.DUMMYFUNCTION("IFERROR(
  INDEX(
    QUERY(
      Historial!A:I,
      ""select I where B = '""&amp;A255&amp;""' order by A desc limit 1"",
      0
    ),
    1
  ),
  """"
)"),"")</f>
        <v/>
      </c>
      <c r="Q255" s="19" t="s">
        <v>63</v>
      </c>
      <c r="R255" s="24">
        <v>46603.0</v>
      </c>
      <c r="S255" s="20">
        <f>IFERROR(__xludf.DUMMYFUNCTION("IFERROR(
  INDEX(
    QUERY(
      Historial!A:G,
      ""select G where B = '""&amp;A255&amp;""' order by A desc limit 1"",
      0
    ),
    1
  ),
  """"
)"),900.0)</f>
        <v>900</v>
      </c>
      <c r="T255" s="20" t="str">
        <f t="shared" si="3"/>
        <v/>
      </c>
      <c r="U255" s="20" t="str">
        <f t="shared" si="4"/>
        <v/>
      </c>
      <c r="V255" s="25">
        <v>0.0</v>
      </c>
      <c r="W255" s="26">
        <v>1.0</v>
      </c>
      <c r="X255" s="26">
        <v>0.013</v>
      </c>
      <c r="Y255" s="26">
        <v>769.2307692307693</v>
      </c>
      <c r="Z255" s="26">
        <v>14.0</v>
      </c>
      <c r="AA255" s="26">
        <v>0.13</v>
      </c>
      <c r="AB255" s="26">
        <v>0.0</v>
      </c>
      <c r="AC255" s="27"/>
      <c r="AD255" s="26">
        <v>769.2307692307693</v>
      </c>
      <c r="AE255" s="10" t="s">
        <v>38</v>
      </c>
      <c r="AF255" s="10" t="s">
        <v>39</v>
      </c>
      <c r="AG255" s="27"/>
    </row>
    <row r="256" ht="15.75" customHeight="1">
      <c r="A256" s="34" t="s">
        <v>581</v>
      </c>
      <c r="B256" s="33">
        <v>2500.0</v>
      </c>
      <c r="C256" s="15" t="s">
        <v>582</v>
      </c>
      <c r="D256" s="15" t="s">
        <v>583</v>
      </c>
      <c r="E256" s="15" t="s">
        <v>147</v>
      </c>
      <c r="F256" s="41">
        <v>4.0</v>
      </c>
      <c r="G256" s="33">
        <v>0.0</v>
      </c>
      <c r="H256" s="33">
        <v>0.0</v>
      </c>
      <c r="I256" s="29">
        <v>0.0</v>
      </c>
      <c r="J256" s="19" t="str">
        <f t="shared" si="14"/>
        <v>sin oferta</v>
      </c>
      <c r="K256" s="20" t="str">
        <f t="shared" si="8"/>
        <v>NORMAL / SIN OFERTA</v>
      </c>
      <c r="L256" s="15"/>
      <c r="M256" s="20"/>
      <c r="N256" s="21">
        <v>0.0</v>
      </c>
      <c r="O256" s="22">
        <v>2.0</v>
      </c>
      <c r="P256" s="23" t="str">
        <f>IFERROR(__xludf.DUMMYFUNCTION("IFERROR(
  INDEX(
    QUERY(
      Historial!A:I,
      ""select I where B = '""&amp;A256&amp;""' order by A desc limit 1"",
      0
    ),
    1
  ),
  """"
)"),"")</f>
        <v/>
      </c>
      <c r="Q256" s="19" t="s">
        <v>37</v>
      </c>
      <c r="R256" s="24">
        <v>46604.0</v>
      </c>
      <c r="S256" s="20">
        <f>IFERROR(__xludf.DUMMYFUNCTION("IFERROR(
  INDEX(
    QUERY(
      Historial!A:G,
      ""select G where B = '""&amp;A256&amp;""' order by A desc limit 1"",
      0
    ),
    1
  ),
  """"
)"),1500.0)</f>
        <v>1500</v>
      </c>
      <c r="T256" s="20" t="str">
        <f t="shared" si="3"/>
        <v/>
      </c>
      <c r="U256" s="20" t="str">
        <f t="shared" si="4"/>
        <v/>
      </c>
      <c r="V256" s="25">
        <v>0.0</v>
      </c>
      <c r="W256" s="26">
        <v>0.0</v>
      </c>
      <c r="X256" s="26">
        <v>0.0</v>
      </c>
      <c r="Y256" s="27"/>
      <c r="Z256" s="26">
        <v>21.0</v>
      </c>
      <c r="AA256" s="26">
        <v>0.0</v>
      </c>
      <c r="AB256" s="26">
        <v>0.0</v>
      </c>
      <c r="AC256" s="27"/>
      <c r="AD256" s="27"/>
      <c r="AE256" s="10" t="s">
        <v>38</v>
      </c>
      <c r="AF256" s="10" t="s">
        <v>44</v>
      </c>
      <c r="AG256" s="27"/>
    </row>
    <row r="257" ht="15.75" customHeight="1">
      <c r="A257" s="45" t="s">
        <v>584</v>
      </c>
      <c r="B257" s="17">
        <v>3500.0</v>
      </c>
      <c r="C257" s="47" t="s">
        <v>582</v>
      </c>
      <c r="D257" s="15" t="s">
        <v>585</v>
      </c>
      <c r="E257" s="47" t="s">
        <v>147</v>
      </c>
      <c r="F257" s="36">
        <v>3.0</v>
      </c>
      <c r="G257" s="33">
        <v>0.0</v>
      </c>
      <c r="H257" s="33">
        <v>0.0</v>
      </c>
      <c r="I257" s="29">
        <v>0.0</v>
      </c>
      <c r="J257" s="19" t="str">
        <f t="shared" si="14"/>
        <v>sin oferta</v>
      </c>
      <c r="K257" s="20" t="str">
        <f t="shared" si="8"/>
        <v>NORMAL / SIN OFERTA</v>
      </c>
      <c r="L257" s="15"/>
      <c r="M257" s="20"/>
      <c r="N257" s="21">
        <v>0.0</v>
      </c>
      <c r="O257" s="22">
        <v>2.0</v>
      </c>
      <c r="P257" s="23" t="str">
        <f>IFERROR(__xludf.DUMMYFUNCTION("IFERROR(
  INDEX(
    QUERY(
      Historial!A:I,
      ""select I where B = '""&amp;A257&amp;""' order by A desc limit 1"",
      0
    ),
    1
  ),
  """"
)"),"")</f>
        <v/>
      </c>
      <c r="Q257" s="19" t="s">
        <v>48</v>
      </c>
      <c r="R257" s="24">
        <v>46606.0</v>
      </c>
      <c r="S257" s="20">
        <f>IFERROR(__xludf.DUMMYFUNCTION("IFERROR(
  INDEX(
    QUERY(
      Historial!A:G,
      ""select G where B = '""&amp;A257&amp;""' order by A desc limit 1"",
      0
    ),
    1
  ),
  """"
)"),2000.0)</f>
        <v>2000</v>
      </c>
      <c r="T257" s="20" t="str">
        <f t="shared" si="3"/>
        <v/>
      </c>
      <c r="U257" s="20" t="str">
        <f t="shared" si="4"/>
        <v/>
      </c>
      <c r="V257" s="25">
        <v>0.0</v>
      </c>
      <c r="W257" s="26">
        <v>0.0</v>
      </c>
      <c r="X257" s="26">
        <v>0.0</v>
      </c>
      <c r="Y257" s="27"/>
      <c r="Z257" s="26">
        <v>14.0</v>
      </c>
      <c r="AA257" s="26">
        <v>0.0</v>
      </c>
      <c r="AB257" s="26">
        <v>0.0</v>
      </c>
      <c r="AC257" s="27"/>
      <c r="AD257" s="27"/>
      <c r="AE257" s="10" t="s">
        <v>38</v>
      </c>
      <c r="AF257" s="10" t="s">
        <v>44</v>
      </c>
      <c r="AG257" s="27"/>
    </row>
    <row r="258" ht="15.75" customHeight="1">
      <c r="A258" s="34" t="s">
        <v>586</v>
      </c>
      <c r="B258" s="46">
        <v>2500.0</v>
      </c>
      <c r="C258" s="47" t="s">
        <v>582</v>
      </c>
      <c r="D258" s="15" t="s">
        <v>587</v>
      </c>
      <c r="E258" s="47" t="s">
        <v>147</v>
      </c>
      <c r="F258" s="36">
        <v>7.0</v>
      </c>
      <c r="G258" s="17">
        <v>10.0</v>
      </c>
      <c r="H258" s="17">
        <v>0.0</v>
      </c>
      <c r="I258" s="18">
        <v>0.0</v>
      </c>
      <c r="J258" s="19" t="str">
        <f t="shared" si="14"/>
        <v>2da50off</v>
      </c>
      <c r="K258" s="20">
        <f t="shared" si="8"/>
        <v>1875</v>
      </c>
      <c r="L258" s="15"/>
      <c r="M258" s="20"/>
      <c r="N258" s="21">
        <v>0.0</v>
      </c>
      <c r="O258" s="22">
        <v>2.0</v>
      </c>
      <c r="P258" s="23" t="str">
        <f>IFERROR(__xludf.DUMMYFUNCTION("IFERROR(
  INDEX(
    QUERY(
      Historial!A:I,
      ""select I where B = '""&amp;A258&amp;""' order by A desc limit 1"",
      0
    ),
    1
  ),
  """"
)"),"")</f>
        <v/>
      </c>
      <c r="Q258" s="19" t="s">
        <v>60</v>
      </c>
      <c r="R258" s="24">
        <v>46609.0</v>
      </c>
      <c r="S258" s="20">
        <f>IFERROR(__xludf.DUMMYFUNCTION("IFERROR(
  INDEX(
    QUERY(
      Historial!A:G,
      ""select G where B = '""&amp;A258&amp;""' order by A desc limit 1"",
      0
    ),
    1
  ),
  """"
)"),1300.0)</f>
        <v>1300</v>
      </c>
      <c r="T258" s="20" t="str">
        <f t="shared" si="3"/>
        <v/>
      </c>
      <c r="U258" s="20" t="str">
        <f t="shared" si="4"/>
        <v/>
      </c>
      <c r="V258" s="25">
        <v>0.0</v>
      </c>
      <c r="W258" s="26">
        <v>0.0</v>
      </c>
      <c r="X258" s="26">
        <v>0.0</v>
      </c>
      <c r="Y258" s="27"/>
      <c r="Z258" s="26">
        <v>14.0</v>
      </c>
      <c r="AA258" s="26">
        <v>0.0</v>
      </c>
      <c r="AB258" s="26">
        <v>0.0</v>
      </c>
      <c r="AC258" s="27"/>
      <c r="AD258" s="27"/>
      <c r="AE258" s="10" t="s">
        <v>38</v>
      </c>
      <c r="AF258" s="10" t="s">
        <v>44</v>
      </c>
      <c r="AG258" s="27"/>
    </row>
    <row r="259" ht="15.75" customHeight="1">
      <c r="A259" s="34" t="s">
        <v>588</v>
      </c>
      <c r="B259" s="35">
        <v>4500.0</v>
      </c>
      <c r="C259" s="15" t="s">
        <v>582</v>
      </c>
      <c r="D259" s="15" t="s">
        <v>589</v>
      </c>
      <c r="E259" s="15"/>
      <c r="F259" s="41">
        <v>5.0</v>
      </c>
      <c r="G259" s="33">
        <v>0.0</v>
      </c>
      <c r="H259" s="33">
        <v>0.0</v>
      </c>
      <c r="I259" s="29">
        <v>0.0</v>
      </c>
      <c r="J259" s="19" t="str">
        <f t="shared" si="14"/>
        <v>sin oferta</v>
      </c>
      <c r="K259" s="20" t="str">
        <f t="shared" si="8"/>
        <v>NORMAL / SIN OFERTA</v>
      </c>
      <c r="L259" s="15"/>
      <c r="M259" s="20"/>
      <c r="N259" s="21">
        <v>0.0</v>
      </c>
      <c r="O259" s="22">
        <v>3.0</v>
      </c>
      <c r="P259" s="23" t="str">
        <f>IFERROR(__xludf.DUMMYFUNCTION("IFERROR(
  INDEX(
    QUERY(
      Historial!A:I,
      ""select I where B = '""&amp;A259&amp;""' order by A desc limit 1"",
      0
    ),
    1
  ),
  """"
)"),"")</f>
        <v/>
      </c>
      <c r="Q259" s="19" t="s">
        <v>63</v>
      </c>
      <c r="R259" s="24">
        <v>46610.0</v>
      </c>
      <c r="S259" s="20" t="str">
        <f>IFERROR(__xludf.DUMMYFUNCTION("IFERROR(
  INDEX(
    QUERY(
      Historial!A:G,
      ""select G where B = '""&amp;A259&amp;""' order by A desc limit 1"",
      0
    ),
    1
  ),
  """"
)"),"")</f>
        <v/>
      </c>
      <c r="T259" s="20" t="str">
        <f t="shared" si="3"/>
        <v/>
      </c>
      <c r="U259" s="20" t="str">
        <f t="shared" si="4"/>
        <v/>
      </c>
      <c r="V259" s="25">
        <v>0.0</v>
      </c>
      <c r="W259" s="26">
        <v>0.0</v>
      </c>
      <c r="X259" s="26">
        <v>0.0</v>
      </c>
      <c r="Y259" s="27"/>
      <c r="Z259" s="26">
        <v>10.0</v>
      </c>
      <c r="AA259" s="26">
        <v>0.0</v>
      </c>
      <c r="AB259" s="26">
        <v>0.0</v>
      </c>
      <c r="AC259" s="27"/>
      <c r="AD259" s="27"/>
      <c r="AE259" s="10" t="s">
        <v>38</v>
      </c>
      <c r="AF259" s="10" t="s">
        <v>44</v>
      </c>
      <c r="AG259" s="27"/>
    </row>
    <row r="260" ht="15.75" customHeight="1">
      <c r="A260" s="34" t="s">
        <v>590</v>
      </c>
      <c r="B260" s="35">
        <v>2000.0</v>
      </c>
      <c r="C260" s="15" t="s">
        <v>582</v>
      </c>
      <c r="D260" s="15" t="s">
        <v>591</v>
      </c>
      <c r="E260" s="15"/>
      <c r="F260" s="36">
        <v>7.0</v>
      </c>
      <c r="G260" s="33">
        <v>0.0</v>
      </c>
      <c r="H260" s="33">
        <v>0.0</v>
      </c>
      <c r="I260" s="29">
        <v>0.0</v>
      </c>
      <c r="J260" s="19" t="str">
        <f t="shared" si="14"/>
        <v>sin oferta</v>
      </c>
      <c r="K260" s="20" t="str">
        <f t="shared" si="8"/>
        <v>NORMAL / SIN OFERTA</v>
      </c>
      <c r="L260" s="15"/>
      <c r="M260" s="20"/>
      <c r="N260" s="21">
        <v>0.0</v>
      </c>
      <c r="O260" s="22">
        <v>2.0</v>
      </c>
      <c r="P260" s="23" t="str">
        <f>IFERROR(__xludf.DUMMYFUNCTION("IFERROR(
  INDEX(
    QUERY(
      Historial!A:I,
      ""select I where B = '""&amp;A260&amp;""' order by A desc limit 1"",
      0
    ),
    1
  ),
  """"
)"),"")</f>
        <v/>
      </c>
      <c r="Q260" s="19" t="s">
        <v>57</v>
      </c>
      <c r="R260" s="24">
        <v>46615.0</v>
      </c>
      <c r="S260" s="20" t="str">
        <f>IFERROR(__xludf.DUMMYFUNCTION("IFERROR(
  INDEX(
    QUERY(
      Historial!A:G,
      ""select G where B = '""&amp;A260&amp;""' order by A desc limit 1"",
      0
    ),
    1
  ),
  """"
)"),"")</f>
        <v/>
      </c>
      <c r="T260" s="20" t="str">
        <f t="shared" si="3"/>
        <v/>
      </c>
      <c r="U260" s="20" t="str">
        <f t="shared" si="4"/>
        <v/>
      </c>
      <c r="V260" s="25">
        <v>0.0</v>
      </c>
      <c r="W260" s="26">
        <v>0.0</v>
      </c>
      <c r="X260" s="26">
        <v>0.0</v>
      </c>
      <c r="Y260" s="27"/>
      <c r="Z260" s="26">
        <v>14.0</v>
      </c>
      <c r="AA260" s="26">
        <v>0.0</v>
      </c>
      <c r="AB260" s="26">
        <v>0.0</v>
      </c>
      <c r="AC260" s="27"/>
      <c r="AD260" s="27"/>
      <c r="AE260" s="10" t="s">
        <v>38</v>
      </c>
      <c r="AF260" s="10" t="s">
        <v>44</v>
      </c>
      <c r="AG260" s="27"/>
    </row>
    <row r="261" ht="15.75" customHeight="1">
      <c r="A261" s="34" t="s">
        <v>592</v>
      </c>
      <c r="B261" s="46">
        <v>3000.0</v>
      </c>
      <c r="C261" s="47" t="s">
        <v>582</v>
      </c>
      <c r="D261" s="15" t="s">
        <v>593</v>
      </c>
      <c r="E261" s="47" t="s">
        <v>147</v>
      </c>
      <c r="F261" s="36">
        <v>9.0</v>
      </c>
      <c r="G261" s="33">
        <v>0.0</v>
      </c>
      <c r="H261" s="33">
        <v>0.0</v>
      </c>
      <c r="I261" s="29">
        <v>1.0</v>
      </c>
      <c r="J261" s="19" t="str">
        <f t="shared" si="14"/>
        <v>especial</v>
      </c>
      <c r="K261" s="20">
        <f t="shared" si="8"/>
        <v>2700</v>
      </c>
      <c r="L261" s="15"/>
      <c r="M261" s="20"/>
      <c r="N261" s="21">
        <v>0.0</v>
      </c>
      <c r="O261" s="22">
        <v>2.0</v>
      </c>
      <c r="P261" s="23" t="str">
        <f>IFERROR(__xludf.DUMMYFUNCTION("IFERROR(
  INDEX(
    QUERY(
      Historial!A:I,
      ""select I where B = '""&amp;A261&amp;""' order by A desc limit 1"",
      0
    ),
    1
  ),
  """"
)"),"")</f>
        <v/>
      </c>
      <c r="Q261" s="19" t="s">
        <v>60</v>
      </c>
      <c r="R261" s="24">
        <v>46616.0</v>
      </c>
      <c r="S261" s="20">
        <f>IFERROR(__xludf.DUMMYFUNCTION("IFERROR(
  INDEX(
    QUERY(
      Historial!A:G,
      ""select G where B = '""&amp;A261&amp;""' order by A desc limit 1"",
      0
    ),
    1
  ),
  """"
)"),1400.0)</f>
        <v>1400</v>
      </c>
      <c r="T261" s="20" t="str">
        <f t="shared" si="3"/>
        <v/>
      </c>
      <c r="U261" s="20" t="str">
        <f t="shared" si="4"/>
        <v/>
      </c>
      <c r="V261" s="25">
        <v>0.0</v>
      </c>
      <c r="W261" s="26">
        <v>0.0</v>
      </c>
      <c r="X261" s="26">
        <v>0.0</v>
      </c>
      <c r="Y261" s="27"/>
      <c r="Z261" s="26">
        <v>14.0</v>
      </c>
      <c r="AA261" s="26">
        <v>0.0</v>
      </c>
      <c r="AB261" s="26">
        <v>0.0</v>
      </c>
      <c r="AC261" s="27"/>
      <c r="AD261" s="27"/>
      <c r="AE261" s="10" t="s">
        <v>38</v>
      </c>
      <c r="AF261" s="10" t="s">
        <v>44</v>
      </c>
      <c r="AG261" s="27"/>
    </row>
    <row r="262" ht="15.75" customHeight="1">
      <c r="A262" s="34" t="s">
        <v>594</v>
      </c>
      <c r="B262" s="35">
        <v>2500.0</v>
      </c>
      <c r="C262" s="15" t="s">
        <v>582</v>
      </c>
      <c r="D262" s="15" t="s">
        <v>595</v>
      </c>
      <c r="E262" s="15"/>
      <c r="F262" s="41">
        <v>1.0</v>
      </c>
      <c r="G262" s="33">
        <v>0.0</v>
      </c>
      <c r="H262" s="33">
        <v>0.0</v>
      </c>
      <c r="I262" s="29">
        <v>1.0</v>
      </c>
      <c r="J262" s="19" t="str">
        <f t="array" ref="J262">IF(
  A262="",
  "",
  IF(
    F262=0,
    "sin stock",
    IF(
      NOT(OR(I262=0,I262=1)),
      "ERROR ESPECIAL",
      IF(
        NOT(ISNUMBER(MATCH(G262,{0;1;2;3;4;5;6;10;11;12;13;14},0))),
        "ERROR RELAMPAGO",
        IF(
          OR(H262&gt;70,AND(H262&gt;0,H262&lt;15)),
          "ERROR DESTACADA",
          IF(
            (I262=1)+(H262&gt;0)+(G262&gt;0)&gt;1,
            "ERROR DOBLE OFERTA",
            IF(
              I262=1,
              "especial",
              IF(
                H262&gt;0,
                "destacada",
                IF(
                  G262&gt;0,
                  IF(
                    OR(
                      AND(G262&lt;=6,F262&lt;(G262+1)),
                      AND(G262=10,F262&lt;2),
                      AND(G262&gt;=11,F262&lt;1)
                    ),
                    "REPONER "&amp;
                    IF(G262&lt;=6,G262+1-F262,
                       IF(G262=10,2-F262,
                          1-F262
                       )
                    )&amp;
                    " PARA PROMO",
                    IF(
                      G262&lt;=6,
                      "relampago "&amp;(G262+1)&amp;"x"&amp;G262,
                      IF(
                        G262=10,
                        "2da50off",
                        IF(
                          G262&gt;=11,
                          "relampago "&amp;CHOOSE(G262-10,10,15,20,25)&amp;"%",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especial</v>
      </c>
      <c r="K262" s="20">
        <f t="shared" si="8"/>
        <v>2250</v>
      </c>
      <c r="L262" s="15"/>
      <c r="M262" s="20"/>
      <c r="N262" s="21">
        <v>1.0</v>
      </c>
      <c r="O262" s="22">
        <v>3.0</v>
      </c>
      <c r="P262" s="23" t="str">
        <f>IFERROR(__xludf.DUMMYFUNCTION("IFERROR(
  INDEX(
    QUERY(
      Historial!A:I,
      ""select I where B = '""&amp;A262&amp;""' order by A desc limit 1"",
      0
    ),
    1
  ),
  """"
)"),"")</f>
        <v/>
      </c>
      <c r="Q262" s="19" t="s">
        <v>48</v>
      </c>
      <c r="R262" s="24">
        <v>46620.0</v>
      </c>
      <c r="S262" s="20" t="str">
        <f>IFERROR(__xludf.DUMMYFUNCTION("IFERROR(
  INDEX(
    QUERY(
      Historial!A:G,
      ""select G where B = '""&amp;A262&amp;""' order by A desc limit 1"",
      0
    ),
    1
  ),
  """"
)"),"")</f>
        <v/>
      </c>
      <c r="T262" s="20" t="str">
        <f t="shared" si="3"/>
        <v/>
      </c>
      <c r="U262" s="20" t="str">
        <f t="shared" si="4"/>
        <v/>
      </c>
      <c r="V262" s="25">
        <v>0.0</v>
      </c>
      <c r="W262" s="26">
        <v>3.0</v>
      </c>
      <c r="X262" s="26">
        <v>0.04</v>
      </c>
      <c r="Y262" s="26">
        <v>25.0</v>
      </c>
      <c r="Z262" s="26">
        <v>10.0</v>
      </c>
      <c r="AA262" s="26">
        <v>0.56</v>
      </c>
      <c r="AB262" s="26">
        <v>0.0</v>
      </c>
      <c r="AC262" s="27"/>
      <c r="AD262" s="26">
        <v>25.0</v>
      </c>
      <c r="AE262" s="10" t="s">
        <v>38</v>
      </c>
      <c r="AF262" s="10" t="s">
        <v>39</v>
      </c>
      <c r="AG262" s="27"/>
    </row>
    <row r="263" ht="15.75" customHeight="1">
      <c r="A263" s="31" t="s">
        <v>596</v>
      </c>
      <c r="B263" s="40">
        <v>4500.0</v>
      </c>
      <c r="C263" s="20" t="s">
        <v>582</v>
      </c>
      <c r="D263" s="15" t="s">
        <v>597</v>
      </c>
      <c r="E263" s="20" t="s">
        <v>147</v>
      </c>
      <c r="F263" s="39">
        <v>1.0</v>
      </c>
      <c r="G263" s="40">
        <v>0.0</v>
      </c>
      <c r="H263" s="20">
        <v>0.0</v>
      </c>
      <c r="I263" s="20">
        <v>0.0</v>
      </c>
      <c r="J263" s="40">
        <v>0.0</v>
      </c>
      <c r="K263" s="20" t="str">
        <f t="shared" si="8"/>
        <v>NORMAL / SIN OFERTA</v>
      </c>
      <c r="L263" s="20">
        <v>0.0</v>
      </c>
      <c r="M263" s="20">
        <v>0.0</v>
      </c>
      <c r="N263" s="21">
        <v>1.0</v>
      </c>
      <c r="O263" s="22">
        <v>2.0</v>
      </c>
      <c r="P263" s="23" t="str">
        <f>IFERROR(__xludf.DUMMYFUNCTION("IFERROR(
  INDEX(
    QUERY(
      Historial!A:I,
      ""select I where B = '""&amp;A263&amp;""' order by A desc limit 1"",
      0
    ),
    1
  ),
  """"
)"),"")</f>
        <v/>
      </c>
      <c r="Q263" s="19" t="s">
        <v>63</v>
      </c>
      <c r="R263" s="24">
        <v>46624.0</v>
      </c>
      <c r="S263" s="20" t="str">
        <f>IFERROR(__xludf.DUMMYFUNCTION("IFERROR(
  INDEX(
    QUERY(
      Historial!A:G,
      ""select G where B = '""&amp;A263&amp;""' order by A desc limit 1"",
      0
    ),
    1
  ),
  """"
)"),"")</f>
        <v/>
      </c>
      <c r="T263" s="20" t="str">
        <f t="shared" si="3"/>
        <v/>
      </c>
      <c r="U263" s="20" t="str">
        <f t="shared" si="4"/>
        <v/>
      </c>
      <c r="V263" s="25">
        <v>0.0</v>
      </c>
      <c r="W263" s="26">
        <v>1.0</v>
      </c>
      <c r="X263" s="26">
        <v>0.013</v>
      </c>
      <c r="Y263" s="26">
        <v>76.92307692307692</v>
      </c>
      <c r="Z263" s="26">
        <v>21.0</v>
      </c>
      <c r="AA263" s="26">
        <v>0.091</v>
      </c>
      <c r="AB263" s="26">
        <v>0.0</v>
      </c>
      <c r="AC263" s="27"/>
      <c r="AD263" s="26">
        <v>76.92307692307692</v>
      </c>
      <c r="AE263" s="10" t="s">
        <v>38</v>
      </c>
      <c r="AF263" s="10" t="s">
        <v>39</v>
      </c>
      <c r="AG263" s="27"/>
    </row>
    <row r="264" ht="15.75" customHeight="1">
      <c r="A264" s="34" t="s">
        <v>598</v>
      </c>
      <c r="B264" s="35">
        <v>4000.0</v>
      </c>
      <c r="C264" s="15" t="s">
        <v>582</v>
      </c>
      <c r="D264" s="15" t="s">
        <v>599</v>
      </c>
      <c r="E264" s="15"/>
      <c r="F264" s="44">
        <v>2.0</v>
      </c>
      <c r="G264" s="33">
        <v>0.0</v>
      </c>
      <c r="H264" s="33">
        <v>0.0</v>
      </c>
      <c r="I264" s="29">
        <v>0.0</v>
      </c>
      <c r="J264" s="19" t="str">
        <f t="shared" ref="J264:J286" si="15">IF(
A264="",
"",
IF(
F264=0,
"sin stock",
IF(
NOT(OR(I264=0,I264=1)),
"ERROR ESPECIAL",
IF(
NOT(ISNUMBER(MATCH(G264,{0;1;2;3;4;5;6;10;11;12;13;14},0))),
"ERROR RELAMPAGO",
IF(
OR(H264&gt;70,AND(H264&gt;0,H264&lt;15)),
"ERROR DESTACADA",
IF(
(I264=1)+(H264&gt;0)+(G264&gt;0)&gt;1,
"ERROR DOBLE OFERTA",
IF(
I264=1,
"especial",
IF(
H264&gt;0,
"destacada",
IF(
G264&gt;0,
IF(
OR(
AND(G264&lt;=6,F264&lt;(G264+1)),
AND(G264=10,F264&lt;2),
AND(G264&gt;=11,F264&lt;1)
),
"REPONER "&amp;
IF(G264&lt;=6,G264+1-F264,
IF(G264=10,2-F264,
1-
F264)
)&amp;
" PARA PROMO",
IF(
G264&lt;=6,
"relampago "&amp;(G264+1)&amp;"x"&amp;G264,
IF(
G264=10,
"2da50off",
IF(
G264&gt;=11,
"relampago "&amp;CHOOSE(G264-10,10,15,20,25)&amp;"%",
"relampago"
)
)
)
),
"sin oferta"
)
)
)
)
)
)
)
)
)</f>
        <v>sin oferta</v>
      </c>
      <c r="K264" s="20" t="str">
        <f t="shared" si="8"/>
        <v>NORMAL / SIN OFERTA</v>
      </c>
      <c r="L264" s="15"/>
      <c r="M264" s="20"/>
      <c r="N264" s="21">
        <v>1.0</v>
      </c>
      <c r="O264" s="22">
        <v>2.0</v>
      </c>
      <c r="P264" s="23" t="str">
        <f>IFERROR(__xludf.DUMMYFUNCTION("IFERROR(
  INDEX(
    QUERY(
      Historial!A:I,
      ""select I where B = '""&amp;A264&amp;""' order by A desc limit 1"",
      0
    ),
    1
  ),
  """"
)"),"")</f>
        <v/>
      </c>
      <c r="Q264" s="19" t="s">
        <v>37</v>
      </c>
      <c r="R264" s="24">
        <v>46625.0</v>
      </c>
      <c r="S264" s="20">
        <f>IFERROR(__xludf.DUMMYFUNCTION("IFERROR(
  INDEX(
    QUERY(
      Historial!A:G,
      ""select G where B = '""&amp;A264&amp;""' order by A desc limit 1"",
      0
    ),
    1
  ),
  """"
)"),3000.0)</f>
        <v>3000</v>
      </c>
      <c r="T264" s="20" t="str">
        <f t="shared" si="3"/>
        <v/>
      </c>
      <c r="U264" s="20" t="str">
        <f t="shared" si="4"/>
        <v/>
      </c>
      <c r="V264" s="25">
        <v>0.0</v>
      </c>
      <c r="W264" s="26">
        <v>1.0</v>
      </c>
      <c r="X264" s="26">
        <v>0.013</v>
      </c>
      <c r="Y264" s="26">
        <v>153.84615384615384</v>
      </c>
      <c r="Z264" s="26">
        <v>21.0</v>
      </c>
      <c r="AA264" s="26">
        <v>0.091</v>
      </c>
      <c r="AB264" s="26">
        <v>0.0</v>
      </c>
      <c r="AC264" s="27"/>
      <c r="AD264" s="26">
        <v>153.84615384615384</v>
      </c>
      <c r="AE264" s="10" t="s">
        <v>38</v>
      </c>
      <c r="AF264" s="10" t="s">
        <v>39</v>
      </c>
      <c r="AG264" s="27"/>
    </row>
    <row r="265" ht="15.75" customHeight="1">
      <c r="A265" s="34" t="s">
        <v>600</v>
      </c>
      <c r="B265" s="46">
        <v>2800.0</v>
      </c>
      <c r="C265" s="47" t="s">
        <v>582</v>
      </c>
      <c r="D265" s="15" t="s">
        <v>601</v>
      </c>
      <c r="E265" s="47" t="s">
        <v>114</v>
      </c>
      <c r="F265" s="36">
        <v>3.0</v>
      </c>
      <c r="G265" s="33">
        <v>0.0</v>
      </c>
      <c r="H265" s="33">
        <v>0.0</v>
      </c>
      <c r="I265" s="29">
        <v>1.0</v>
      </c>
      <c r="J265" s="19" t="str">
        <f t="shared" si="15"/>
        <v>especial</v>
      </c>
      <c r="K265" s="20">
        <f t="shared" si="8"/>
        <v>2520</v>
      </c>
      <c r="L265" s="15"/>
      <c r="M265" s="20"/>
      <c r="N265" s="21">
        <v>0.0</v>
      </c>
      <c r="O265" s="22">
        <v>2.0</v>
      </c>
      <c r="P265" s="23" t="str">
        <f>IFERROR(__xludf.DUMMYFUNCTION("IFERROR(
  INDEX(
    QUERY(
      Historial!A:I,
      ""select I where B = '""&amp;A265&amp;""' order by A desc limit 1"",
      0
    ),
    1
  ),
  """"
)"),"")</f>
        <v/>
      </c>
      <c r="Q265" s="19" t="s">
        <v>43</v>
      </c>
      <c r="R265" s="24">
        <v>46626.0</v>
      </c>
      <c r="S265" s="20">
        <f>IFERROR(__xludf.DUMMYFUNCTION("IFERROR(
  INDEX(
    QUERY(
      Historial!A:G,
      ""select G where B = '""&amp;A265&amp;""' order by A desc limit 1"",
      0
    ),
    1
  ),
  """"
)"),1778.0)</f>
        <v>1778</v>
      </c>
      <c r="T265" s="20" t="str">
        <f t="shared" si="3"/>
        <v/>
      </c>
      <c r="U265" s="20" t="str">
        <f t="shared" si="4"/>
        <v/>
      </c>
      <c r="V265" s="25">
        <v>0.0</v>
      </c>
      <c r="W265" s="26">
        <v>0.0</v>
      </c>
      <c r="X265" s="26">
        <v>0.0</v>
      </c>
      <c r="Y265" s="27"/>
      <c r="Z265" s="26">
        <v>21.0</v>
      </c>
      <c r="AA265" s="26">
        <v>0.0</v>
      </c>
      <c r="AB265" s="26">
        <v>0.0</v>
      </c>
      <c r="AC265" s="27"/>
      <c r="AD265" s="27"/>
      <c r="AE265" s="10" t="s">
        <v>38</v>
      </c>
      <c r="AF265" s="10" t="s">
        <v>44</v>
      </c>
      <c r="AG265" s="27"/>
    </row>
    <row r="266" ht="15.75" customHeight="1">
      <c r="A266" s="58" t="s">
        <v>602</v>
      </c>
      <c r="B266" s="21">
        <v>3900.0</v>
      </c>
      <c r="C266" s="56" t="s">
        <v>582</v>
      </c>
      <c r="D266" s="56" t="s">
        <v>603</v>
      </c>
      <c r="E266" s="56" t="s">
        <v>147</v>
      </c>
      <c r="F266" s="32">
        <v>4.0</v>
      </c>
      <c r="G266" s="33">
        <v>0.0</v>
      </c>
      <c r="H266" s="33">
        <v>0.0</v>
      </c>
      <c r="I266" s="29">
        <v>0.0</v>
      </c>
      <c r="J266" s="19" t="str">
        <f t="shared" si="15"/>
        <v>sin oferta</v>
      </c>
      <c r="K266" s="20" t="str">
        <f t="shared" si="8"/>
        <v>NORMAL / SIN OFERTA</v>
      </c>
      <c r="L266" s="15"/>
      <c r="M266" s="20"/>
      <c r="N266" s="21">
        <v>0.0</v>
      </c>
      <c r="O266" s="22">
        <v>2.0</v>
      </c>
      <c r="P266" s="23" t="str">
        <f>IFERROR(__xludf.DUMMYFUNCTION("IFERROR(
  INDEX(
    QUERY(
      Historial!A:I,
      ""select I where B = '""&amp;A266&amp;""' order by A desc limit 1"",
      0
    ),
    1
  ),
  """"
)"),"")</f>
        <v/>
      </c>
      <c r="Q266" s="19" t="s">
        <v>60</v>
      </c>
      <c r="R266" s="24">
        <v>46630.0</v>
      </c>
      <c r="S266" s="20">
        <f>IFERROR(__xludf.DUMMYFUNCTION("IFERROR(
  INDEX(
    QUERY(
      Historial!A:G,
      ""select G where B = '""&amp;A266&amp;""' order by A desc limit 1"",
      0
    ),
    1
  ),
  """"
)"),1300.0)</f>
        <v>1300</v>
      </c>
      <c r="T266" s="20" t="str">
        <f t="shared" si="3"/>
        <v/>
      </c>
      <c r="U266" s="20" t="str">
        <f t="shared" si="4"/>
        <v/>
      </c>
      <c r="V266" s="25">
        <v>0.0</v>
      </c>
      <c r="W266" s="26">
        <v>0.0</v>
      </c>
      <c r="X266" s="26">
        <v>0.0</v>
      </c>
      <c r="Y266" s="27"/>
      <c r="Z266" s="26">
        <v>14.0</v>
      </c>
      <c r="AA266" s="26">
        <v>0.0</v>
      </c>
      <c r="AB266" s="26">
        <v>0.0</v>
      </c>
      <c r="AC266" s="27"/>
      <c r="AD266" s="27"/>
      <c r="AE266" s="10" t="s">
        <v>38</v>
      </c>
      <c r="AF266" s="10" t="s">
        <v>44</v>
      </c>
      <c r="AG266" s="27"/>
    </row>
    <row r="267" ht="15.75" customHeight="1">
      <c r="A267" s="34" t="s">
        <v>604</v>
      </c>
      <c r="B267" s="35">
        <v>2200.0</v>
      </c>
      <c r="C267" s="15" t="s">
        <v>605</v>
      </c>
      <c r="D267" s="15" t="s">
        <v>606</v>
      </c>
      <c r="E267" s="15" t="s">
        <v>147</v>
      </c>
      <c r="F267" s="41">
        <v>6.0</v>
      </c>
      <c r="G267" s="33">
        <v>0.0</v>
      </c>
      <c r="H267" s="33">
        <v>0.0</v>
      </c>
      <c r="I267" s="29">
        <v>0.0</v>
      </c>
      <c r="J267" s="19" t="str">
        <f t="shared" si="15"/>
        <v>sin oferta</v>
      </c>
      <c r="K267" s="20" t="str">
        <f t="shared" si="8"/>
        <v>NORMAL / SIN OFERTA</v>
      </c>
      <c r="L267" s="15"/>
      <c r="M267" s="20"/>
      <c r="N267" s="21">
        <v>0.0</v>
      </c>
      <c r="O267" s="22">
        <v>2.0</v>
      </c>
      <c r="P267" s="23" t="str">
        <f>IFERROR(__xludf.DUMMYFUNCTION("IFERROR(
  INDEX(
    QUERY(
      Historial!A:I,
      ""select I where B = '""&amp;A267&amp;""' order by A desc limit 1"",
      0
    ),
    1
  ),
  """"
)"),"")</f>
        <v/>
      </c>
      <c r="Q267" s="19" t="s">
        <v>37</v>
      </c>
      <c r="R267" s="24">
        <v>46632.0</v>
      </c>
      <c r="S267" s="20" t="str">
        <f>IFERROR(__xludf.DUMMYFUNCTION("IFERROR(
  INDEX(
    QUERY(
      Historial!A:G,
      ""select G where B = '""&amp;A267&amp;""' order by A desc limit 1"",
      0
    ),
    1
  ),
  """"
)"),"")</f>
        <v/>
      </c>
      <c r="T267" s="20" t="str">
        <f t="shared" si="3"/>
        <v/>
      </c>
      <c r="U267" s="20" t="str">
        <f t="shared" si="4"/>
        <v/>
      </c>
      <c r="V267" s="25">
        <v>0.0</v>
      </c>
      <c r="W267" s="26">
        <v>0.0</v>
      </c>
      <c r="X267" s="26">
        <v>0.0</v>
      </c>
      <c r="Y267" s="27"/>
      <c r="Z267" s="26">
        <v>14.0</v>
      </c>
      <c r="AA267" s="26">
        <v>0.0</v>
      </c>
      <c r="AB267" s="26">
        <v>0.0</v>
      </c>
      <c r="AC267" s="27"/>
      <c r="AD267" s="27"/>
      <c r="AE267" s="10" t="s">
        <v>38</v>
      </c>
      <c r="AF267" s="10" t="s">
        <v>44</v>
      </c>
      <c r="AG267" s="27"/>
    </row>
    <row r="268" ht="15.75" customHeight="1">
      <c r="A268" s="34" t="s">
        <v>607</v>
      </c>
      <c r="B268" s="35">
        <v>1600.0</v>
      </c>
      <c r="C268" s="15" t="s">
        <v>605</v>
      </c>
      <c r="D268" s="15" t="s">
        <v>608</v>
      </c>
      <c r="E268" s="15" t="s">
        <v>147</v>
      </c>
      <c r="F268" s="41">
        <v>4.0</v>
      </c>
      <c r="G268" s="33">
        <v>0.0</v>
      </c>
      <c r="H268" s="33">
        <v>0.0</v>
      </c>
      <c r="I268" s="29">
        <v>0.0</v>
      </c>
      <c r="J268" s="19" t="str">
        <f t="shared" si="15"/>
        <v>sin oferta</v>
      </c>
      <c r="K268" s="20" t="str">
        <f t="shared" si="8"/>
        <v>NORMAL / SIN OFERTA</v>
      </c>
      <c r="L268" s="15"/>
      <c r="M268" s="20"/>
      <c r="N268" s="21">
        <v>0.0</v>
      </c>
      <c r="O268" s="22">
        <v>2.0</v>
      </c>
      <c r="P268" s="23" t="str">
        <f>IFERROR(__xludf.DUMMYFUNCTION("IFERROR(
  INDEX(
    QUERY(
      Historial!A:I,
      ""select I where B = '""&amp;A268&amp;""' order by A desc limit 1"",
      0
    ),
    1
  ),
  """"
)"),"")</f>
        <v/>
      </c>
      <c r="Q268" s="19" t="s">
        <v>43</v>
      </c>
      <c r="R268" s="24">
        <v>46633.0</v>
      </c>
      <c r="S268" s="20" t="str">
        <f>IFERROR(__xludf.DUMMYFUNCTION("IFERROR(
  INDEX(
    QUERY(
      Historial!A:G,
      ""select G where B = '""&amp;A268&amp;""' order by A desc limit 1"",
      0
    ),
    1
  ),
  """"
)"),"")</f>
        <v/>
      </c>
      <c r="T268" s="20" t="str">
        <f t="shared" si="3"/>
        <v/>
      </c>
      <c r="U268" s="20" t="str">
        <f t="shared" si="4"/>
        <v/>
      </c>
      <c r="V268" s="25">
        <v>0.0</v>
      </c>
      <c r="W268" s="26">
        <v>0.0</v>
      </c>
      <c r="X268" s="26">
        <v>0.0</v>
      </c>
      <c r="Y268" s="27"/>
      <c r="Z268" s="26">
        <v>14.0</v>
      </c>
      <c r="AA268" s="26">
        <v>0.0</v>
      </c>
      <c r="AB268" s="26">
        <v>0.0</v>
      </c>
      <c r="AC268" s="27"/>
      <c r="AD268" s="27"/>
      <c r="AE268" s="10" t="s">
        <v>38</v>
      </c>
      <c r="AF268" s="10" t="s">
        <v>44</v>
      </c>
      <c r="AG268" s="27"/>
    </row>
    <row r="269" ht="15.75" customHeight="1">
      <c r="A269" s="34" t="s">
        <v>609</v>
      </c>
      <c r="B269" s="35">
        <v>1000.0</v>
      </c>
      <c r="C269" s="15" t="s">
        <v>605</v>
      </c>
      <c r="D269" s="15" t="s">
        <v>610</v>
      </c>
      <c r="E269" s="15" t="s">
        <v>147</v>
      </c>
      <c r="F269" s="41">
        <v>14.0</v>
      </c>
      <c r="G269" s="33">
        <v>0.0</v>
      </c>
      <c r="H269" s="33">
        <v>0.0</v>
      </c>
      <c r="I269" s="29">
        <v>0.0</v>
      </c>
      <c r="J269" s="19" t="str">
        <f t="shared" si="15"/>
        <v>sin oferta</v>
      </c>
      <c r="K269" s="20" t="str">
        <f t="shared" si="8"/>
        <v>NORMAL / SIN OFERTA</v>
      </c>
      <c r="L269" s="15"/>
      <c r="M269" s="20"/>
      <c r="N269" s="21">
        <v>0.0</v>
      </c>
      <c r="O269" s="22">
        <v>2.0</v>
      </c>
      <c r="P269" s="23" t="str">
        <f>IFERROR(__xludf.DUMMYFUNCTION("IFERROR(
  INDEX(
    QUERY(
      Historial!A:I,
      ""select I where B = '""&amp;A269&amp;""' order by A desc limit 1"",
      0
    ),
    1
  ),
  """"
)"),"")</f>
        <v/>
      </c>
      <c r="Q269" s="19" t="s">
        <v>48</v>
      </c>
      <c r="R269" s="24">
        <v>46634.0</v>
      </c>
      <c r="S269" s="20">
        <f>IFERROR(__xludf.DUMMYFUNCTION("IFERROR(
  INDEX(
    QUERY(
      Historial!A:G,
      ""select G where B = '""&amp;A269&amp;""' order by A desc limit 1"",
      0
    ),
    1
  ),
  """"
)"),300.0)</f>
        <v>300</v>
      </c>
      <c r="T269" s="20" t="str">
        <f t="shared" si="3"/>
        <v/>
      </c>
      <c r="U269" s="20" t="str">
        <f t="shared" si="4"/>
        <v/>
      </c>
      <c r="V269" s="25">
        <v>0.0</v>
      </c>
      <c r="W269" s="26">
        <v>0.0</v>
      </c>
      <c r="X269" s="26">
        <v>0.0</v>
      </c>
      <c r="Y269" s="27"/>
      <c r="Z269" s="26">
        <v>14.0</v>
      </c>
      <c r="AA269" s="26">
        <v>0.0</v>
      </c>
      <c r="AB269" s="26">
        <v>0.0</v>
      </c>
      <c r="AC269" s="27"/>
      <c r="AD269" s="27"/>
      <c r="AE269" s="10" t="s">
        <v>38</v>
      </c>
      <c r="AF269" s="10" t="s">
        <v>44</v>
      </c>
      <c r="AG269" s="27"/>
    </row>
    <row r="270" ht="15.75" customHeight="1">
      <c r="A270" s="34" t="s">
        <v>611</v>
      </c>
      <c r="B270" s="35">
        <v>3200.0</v>
      </c>
      <c r="C270" s="15" t="s">
        <v>605</v>
      </c>
      <c r="D270" s="15" t="s">
        <v>612</v>
      </c>
      <c r="E270" s="15"/>
      <c r="F270" s="41">
        <v>10.0</v>
      </c>
      <c r="G270" s="33">
        <v>0.0</v>
      </c>
      <c r="H270" s="33">
        <v>0.0</v>
      </c>
      <c r="I270" s="29">
        <v>0.0</v>
      </c>
      <c r="J270" s="19" t="str">
        <f t="shared" si="15"/>
        <v>sin oferta</v>
      </c>
      <c r="K270" s="20" t="str">
        <f t="shared" si="8"/>
        <v>NORMAL / SIN OFERTA</v>
      </c>
      <c r="L270" s="15"/>
      <c r="M270" s="20"/>
      <c r="N270" s="21">
        <v>0.0</v>
      </c>
      <c r="O270" s="22">
        <v>3.0</v>
      </c>
      <c r="P270" s="23" t="str">
        <f>IFERROR(__xludf.DUMMYFUNCTION("IFERROR(
  INDEX(
    QUERY(
      Historial!A:I,
      ""select I where B = '""&amp;A270&amp;""' order by A desc limit 1"",
      0
    ),
    1
  ),
  """"
)"),"")</f>
        <v/>
      </c>
      <c r="Q270" s="19" t="s">
        <v>57</v>
      </c>
      <c r="R270" s="24">
        <v>46636.0</v>
      </c>
      <c r="S270" s="20" t="str">
        <f>IFERROR(__xludf.DUMMYFUNCTION("IFERROR(
  INDEX(
    QUERY(
      Historial!A:G,
      ""select G where B = '""&amp;A270&amp;""' order by A desc limit 1"",
      0
    ),
    1
  ),
  """"
)"),"")</f>
        <v/>
      </c>
      <c r="T270" s="20" t="str">
        <f t="shared" si="3"/>
        <v/>
      </c>
      <c r="U270" s="20" t="str">
        <f t="shared" si="4"/>
        <v/>
      </c>
      <c r="V270" s="25">
        <v>0.0</v>
      </c>
      <c r="W270" s="26">
        <v>0.0</v>
      </c>
      <c r="X270" s="26">
        <v>0.0</v>
      </c>
      <c r="Y270" s="27"/>
      <c r="Z270" s="26">
        <v>10.0</v>
      </c>
      <c r="AA270" s="26">
        <v>0.0</v>
      </c>
      <c r="AB270" s="26">
        <v>0.0</v>
      </c>
      <c r="AC270" s="27"/>
      <c r="AD270" s="27"/>
      <c r="AE270" s="10" t="s">
        <v>38</v>
      </c>
      <c r="AF270" s="10" t="s">
        <v>44</v>
      </c>
      <c r="AG270" s="27"/>
    </row>
    <row r="271" ht="15.75" customHeight="1">
      <c r="A271" s="28" t="s">
        <v>613</v>
      </c>
      <c r="B271" s="29">
        <v>2500.0</v>
      </c>
      <c r="C271" s="15" t="s">
        <v>605</v>
      </c>
      <c r="D271" s="15" t="s">
        <v>614</v>
      </c>
      <c r="E271" s="19"/>
      <c r="F271" s="53">
        <v>20.0</v>
      </c>
      <c r="G271" s="33">
        <v>0.0</v>
      </c>
      <c r="H271" s="33">
        <v>0.0</v>
      </c>
      <c r="I271" s="29">
        <v>0.0</v>
      </c>
      <c r="J271" s="19" t="str">
        <f t="shared" si="15"/>
        <v>sin oferta</v>
      </c>
      <c r="K271" s="20" t="str">
        <f t="shared" si="8"/>
        <v>NORMAL / SIN OFERTA</v>
      </c>
      <c r="L271" s="15"/>
      <c r="M271" s="20"/>
      <c r="N271" s="21">
        <v>0.0</v>
      </c>
      <c r="O271" s="22">
        <v>3.0</v>
      </c>
      <c r="P271" s="23" t="str">
        <f>IFERROR(__xludf.DUMMYFUNCTION("IFERROR(
  INDEX(
    QUERY(
      Historial!A:I,
      ""select I where B = '""&amp;A271&amp;""' order by A desc limit 1"",
      0
    ),
    1
  ),
  """"
)"),"")</f>
        <v/>
      </c>
      <c r="Q271" s="19" t="s">
        <v>60</v>
      </c>
      <c r="R271" s="24">
        <v>46637.0</v>
      </c>
      <c r="S271" s="20" t="str">
        <f>IFERROR(__xludf.DUMMYFUNCTION("IFERROR(
  INDEX(
    QUERY(
      Historial!A:G,
      ""select G where B = '""&amp;A271&amp;""' order by A desc limit 1"",
      0
    ),
    1
  ),
  """"
)"),"")</f>
        <v/>
      </c>
      <c r="T271" s="20" t="str">
        <f t="shared" si="3"/>
        <v/>
      </c>
      <c r="U271" s="20" t="str">
        <f t="shared" si="4"/>
        <v/>
      </c>
      <c r="V271" s="25">
        <v>0.0</v>
      </c>
      <c r="W271" s="26">
        <v>0.0</v>
      </c>
      <c r="X271" s="26">
        <v>0.0</v>
      </c>
      <c r="Y271" s="27"/>
      <c r="Z271" s="26">
        <v>10.0</v>
      </c>
      <c r="AA271" s="26">
        <v>0.0</v>
      </c>
      <c r="AB271" s="26">
        <v>0.0</v>
      </c>
      <c r="AC271" s="27"/>
      <c r="AD271" s="27"/>
      <c r="AE271" s="10" t="s">
        <v>38</v>
      </c>
      <c r="AF271" s="10" t="s">
        <v>44</v>
      </c>
      <c r="AG271" s="27"/>
    </row>
    <row r="272" ht="15.75" customHeight="1">
      <c r="A272" s="34" t="s">
        <v>615</v>
      </c>
      <c r="B272" s="35">
        <v>6000.0</v>
      </c>
      <c r="C272" s="15" t="s">
        <v>605</v>
      </c>
      <c r="D272" s="15" t="s">
        <v>616</v>
      </c>
      <c r="E272" s="15"/>
      <c r="F272" s="41">
        <v>10.0</v>
      </c>
      <c r="G272" s="33">
        <v>0.0</v>
      </c>
      <c r="H272" s="33">
        <v>0.0</v>
      </c>
      <c r="I272" s="29">
        <v>0.0</v>
      </c>
      <c r="J272" s="19" t="str">
        <f t="shared" si="15"/>
        <v>sin oferta</v>
      </c>
      <c r="K272" s="20" t="str">
        <f t="shared" si="8"/>
        <v>NORMAL / SIN OFERTA</v>
      </c>
      <c r="L272" s="15"/>
      <c r="M272" s="20"/>
      <c r="N272" s="21">
        <v>0.0</v>
      </c>
      <c r="O272" s="22">
        <v>3.0</v>
      </c>
      <c r="P272" s="23" t="str">
        <f>IFERROR(__xludf.DUMMYFUNCTION("IFERROR(
  INDEX(
    QUERY(
      Historial!A:I,
      ""select I where B = '""&amp;A272&amp;""' order by A desc limit 1"",
      0
    ),
    1
  ),
  """"
)"),"")</f>
        <v/>
      </c>
      <c r="Q272" s="19" t="s">
        <v>63</v>
      </c>
      <c r="R272" s="24">
        <v>46638.0</v>
      </c>
      <c r="S272" s="20" t="str">
        <f>IFERROR(__xludf.DUMMYFUNCTION("IFERROR(
  INDEX(
    QUERY(
      Historial!A:G,
      ""select G where B = '""&amp;A272&amp;""' order by A desc limit 1"",
      0
    ),
    1
  ),
  """"
)"),"")</f>
        <v/>
      </c>
      <c r="T272" s="20" t="str">
        <f t="shared" si="3"/>
        <v/>
      </c>
      <c r="U272" s="20" t="str">
        <f t="shared" si="4"/>
        <v/>
      </c>
      <c r="V272" s="25">
        <v>0.0</v>
      </c>
      <c r="W272" s="26">
        <v>0.0</v>
      </c>
      <c r="X272" s="26">
        <v>0.0</v>
      </c>
      <c r="Y272" s="27"/>
      <c r="Z272" s="26">
        <v>10.0</v>
      </c>
      <c r="AA272" s="26">
        <v>0.0</v>
      </c>
      <c r="AB272" s="26">
        <v>0.0</v>
      </c>
      <c r="AC272" s="27"/>
      <c r="AD272" s="27"/>
      <c r="AE272" s="10" t="s">
        <v>38</v>
      </c>
      <c r="AF272" s="10" t="s">
        <v>44</v>
      </c>
      <c r="AG272" s="27"/>
    </row>
    <row r="273" ht="15.75" customHeight="1">
      <c r="A273" s="28" t="s">
        <v>617</v>
      </c>
      <c r="B273" s="29">
        <v>2500.0</v>
      </c>
      <c r="C273" s="15" t="s">
        <v>605</v>
      </c>
      <c r="D273" s="15" t="s">
        <v>618</v>
      </c>
      <c r="E273" s="19"/>
      <c r="F273" s="53">
        <v>20.0</v>
      </c>
      <c r="G273" s="33">
        <v>0.0</v>
      </c>
      <c r="H273" s="33">
        <v>0.0</v>
      </c>
      <c r="I273" s="29">
        <v>0.0</v>
      </c>
      <c r="J273" s="19" t="str">
        <f t="shared" si="15"/>
        <v>sin oferta</v>
      </c>
      <c r="K273" s="20" t="str">
        <f t="shared" si="8"/>
        <v>NORMAL / SIN OFERTA</v>
      </c>
      <c r="L273" s="15"/>
      <c r="M273" s="20"/>
      <c r="N273" s="21">
        <v>0.0</v>
      </c>
      <c r="O273" s="22">
        <v>3.0</v>
      </c>
      <c r="P273" s="23" t="str">
        <f>IFERROR(__xludf.DUMMYFUNCTION("IFERROR(
  INDEX(
    QUERY(
      Historial!A:I,
      ""select I where B = '""&amp;A273&amp;""' order by A desc limit 1"",
      0
    ),
    1
  ),
  """"
)"),"")</f>
        <v/>
      </c>
      <c r="Q273" s="19" t="s">
        <v>37</v>
      </c>
      <c r="R273" s="24">
        <v>46639.0</v>
      </c>
      <c r="S273" s="20" t="str">
        <f>IFERROR(__xludf.DUMMYFUNCTION("IFERROR(
  INDEX(
    QUERY(
      Historial!A:G,
      ""select G where B = '""&amp;A273&amp;""' order by A desc limit 1"",
      0
    ),
    1
  ),
  """"
)"),"")</f>
        <v/>
      </c>
      <c r="T273" s="20" t="str">
        <f t="shared" si="3"/>
        <v/>
      </c>
      <c r="U273" s="20" t="str">
        <f t="shared" si="4"/>
        <v/>
      </c>
      <c r="V273" s="25">
        <v>0.0</v>
      </c>
      <c r="W273" s="26">
        <v>0.0</v>
      </c>
      <c r="X273" s="26">
        <v>0.0</v>
      </c>
      <c r="Y273" s="27"/>
      <c r="Z273" s="26">
        <v>10.0</v>
      </c>
      <c r="AA273" s="26">
        <v>0.0</v>
      </c>
      <c r="AB273" s="26">
        <v>0.0</v>
      </c>
      <c r="AC273" s="27"/>
      <c r="AD273" s="27"/>
      <c r="AE273" s="10" t="s">
        <v>38</v>
      </c>
      <c r="AF273" s="10" t="s">
        <v>44</v>
      </c>
      <c r="AG273" s="27"/>
    </row>
    <row r="274" ht="15.75" customHeight="1">
      <c r="A274" s="34" t="s">
        <v>619</v>
      </c>
      <c r="B274" s="35">
        <v>3300.0</v>
      </c>
      <c r="C274" s="15" t="s">
        <v>605</v>
      </c>
      <c r="D274" s="15" t="s">
        <v>620</v>
      </c>
      <c r="E274" s="15"/>
      <c r="F274" s="36">
        <v>2.0</v>
      </c>
      <c r="G274" s="33">
        <v>0.0</v>
      </c>
      <c r="H274" s="33">
        <v>0.0</v>
      </c>
      <c r="I274" s="29">
        <v>0.0</v>
      </c>
      <c r="J274" s="19" t="str">
        <f t="shared" si="15"/>
        <v>sin oferta</v>
      </c>
      <c r="K274" s="20" t="str">
        <f t="shared" si="8"/>
        <v>NORMAL / SIN OFERTA</v>
      </c>
      <c r="L274" s="15"/>
      <c r="M274" s="20"/>
      <c r="N274" s="21">
        <v>2.0</v>
      </c>
      <c r="O274" s="22">
        <v>2.0</v>
      </c>
      <c r="P274" s="23" t="str">
        <f>IFERROR(__xludf.DUMMYFUNCTION("IFERROR(
  INDEX(
    QUERY(
      Historial!A:I,
      ""select I where B = '""&amp;A274&amp;""' order by A desc limit 1"",
      0
    ),
    1
  ),
  """"
)"),"")</f>
        <v/>
      </c>
      <c r="Q274" s="19" t="s">
        <v>57</v>
      </c>
      <c r="R274" s="24">
        <v>46643.0</v>
      </c>
      <c r="S274" s="20" t="str">
        <f>IFERROR(__xludf.DUMMYFUNCTION("IFERROR(
  INDEX(
    QUERY(
      Historial!A:G,
      ""select G where B = '""&amp;A274&amp;""' order by A desc limit 1"",
      0
    ),
    1
  ),
  """"
)"),"")</f>
        <v/>
      </c>
      <c r="T274" s="20" t="str">
        <f t="shared" si="3"/>
        <v/>
      </c>
      <c r="U274" s="20" t="str">
        <f t="shared" si="4"/>
        <v/>
      </c>
      <c r="V274" s="25">
        <v>1.0</v>
      </c>
      <c r="W274" s="26">
        <v>1.0</v>
      </c>
      <c r="X274" s="26">
        <v>0.099</v>
      </c>
      <c r="Y274" s="26">
        <v>20.2020202020202</v>
      </c>
      <c r="Z274" s="26">
        <v>14.0</v>
      </c>
      <c r="AA274" s="26">
        <v>0.99</v>
      </c>
      <c r="AB274" s="26">
        <v>0.0</v>
      </c>
      <c r="AC274" s="27"/>
      <c r="AD274" s="26">
        <v>20.2020202020202</v>
      </c>
      <c r="AE274" s="10" t="s">
        <v>38</v>
      </c>
      <c r="AF274" s="10" t="s">
        <v>39</v>
      </c>
      <c r="AG274" s="27"/>
    </row>
    <row r="275" ht="15.75" customHeight="1">
      <c r="A275" s="31" t="s">
        <v>621</v>
      </c>
      <c r="B275" s="40">
        <v>10.0</v>
      </c>
      <c r="C275" s="20" t="s">
        <v>605</v>
      </c>
      <c r="D275" s="20" t="s">
        <v>622</v>
      </c>
      <c r="E275" s="20" t="s">
        <v>623</v>
      </c>
      <c r="F275" s="39">
        <v>10.0</v>
      </c>
      <c r="G275" s="33">
        <v>0.0</v>
      </c>
      <c r="H275" s="33">
        <v>0.0</v>
      </c>
      <c r="I275" s="29">
        <v>0.0</v>
      </c>
      <c r="J275" s="19" t="str">
        <f t="shared" si="15"/>
        <v>sin oferta</v>
      </c>
      <c r="K275" s="20" t="str">
        <f t="shared" si="8"/>
        <v>NORMAL / SIN OFERTA</v>
      </c>
      <c r="L275" s="15"/>
      <c r="M275" s="20"/>
      <c r="N275" s="21">
        <v>0.0</v>
      </c>
      <c r="O275" s="22">
        <v>3.0</v>
      </c>
      <c r="P275" s="23" t="str">
        <f>IFERROR(__xludf.DUMMYFUNCTION("IFERROR(
  INDEX(
    QUERY(
      Historial!A:I,
      ""select I where B = '""&amp;A275&amp;""' order by A desc limit 1"",
      0
    ),
    1
  ),
  """"
)"),"")</f>
        <v/>
      </c>
      <c r="Q275" s="19" t="s">
        <v>48</v>
      </c>
      <c r="R275" s="24">
        <v>46648.0</v>
      </c>
      <c r="S275" s="20" t="str">
        <f>IFERROR(__xludf.DUMMYFUNCTION("IFERROR(
  INDEX(
    QUERY(
      Historial!A:G,
      ""select G where B = '""&amp;A275&amp;""' order by A desc limit 1"",
      0
    ),
    1
  ),
  """"
)"),"")</f>
        <v/>
      </c>
      <c r="T275" s="20" t="str">
        <f t="shared" si="3"/>
        <v/>
      </c>
      <c r="U275" s="20" t="str">
        <f t="shared" si="4"/>
        <v/>
      </c>
      <c r="V275" s="25">
        <v>0.0</v>
      </c>
      <c r="W275" s="26">
        <v>0.0</v>
      </c>
      <c r="X275" s="26">
        <v>0.0</v>
      </c>
      <c r="Y275" s="27"/>
      <c r="Z275" s="26">
        <v>21.0</v>
      </c>
      <c r="AA275" s="26">
        <v>0.0</v>
      </c>
      <c r="AB275" s="26">
        <v>0.0</v>
      </c>
      <c r="AC275" s="27"/>
      <c r="AD275" s="27"/>
      <c r="AE275" s="10" t="s">
        <v>38</v>
      </c>
      <c r="AF275" s="10" t="s">
        <v>44</v>
      </c>
      <c r="AG275" s="27"/>
    </row>
    <row r="276" ht="15.75" customHeight="1">
      <c r="A276" s="31" t="s">
        <v>624</v>
      </c>
      <c r="B276" s="55">
        <v>1800.0</v>
      </c>
      <c r="C276" s="56" t="s">
        <v>625</v>
      </c>
      <c r="D276" s="15" t="s">
        <v>626</v>
      </c>
      <c r="E276" s="47" t="s">
        <v>74</v>
      </c>
      <c r="F276" s="32">
        <v>24.0</v>
      </c>
      <c r="G276" s="40">
        <v>0.0</v>
      </c>
      <c r="H276" s="40">
        <v>0.0</v>
      </c>
      <c r="I276" s="40">
        <v>0.0</v>
      </c>
      <c r="J276" s="19" t="str">
        <f t="shared" si="15"/>
        <v>sin oferta</v>
      </c>
      <c r="K276" s="20" t="str">
        <f t="shared" si="8"/>
        <v>NORMAL / SIN OFERTA</v>
      </c>
      <c r="L276" s="20">
        <v>0.0</v>
      </c>
      <c r="M276" s="20">
        <v>0.0</v>
      </c>
      <c r="N276" s="21">
        <v>2.0</v>
      </c>
      <c r="O276" s="22">
        <v>3.0</v>
      </c>
      <c r="P276" s="23" t="str">
        <f>IFERROR(__xludf.DUMMYFUNCTION("IFERROR(
  INDEX(
    QUERY(
      Historial!A:I,
      ""select I where B = '""&amp;A276&amp;""' order by A desc limit 1"",
      0
    ),
    1
  ),
  """"
)"),"")</f>
        <v/>
      </c>
      <c r="Q276" s="19" t="s">
        <v>63</v>
      </c>
      <c r="R276" s="24">
        <v>46652.0</v>
      </c>
      <c r="S276" s="20" t="str">
        <f>IFERROR(__xludf.DUMMYFUNCTION("IFERROR(
  INDEX(
    QUERY(
      Historial!A:G,
      ""select G where B = '""&amp;A276&amp;""' order by A desc limit 1"",
      0
    ),
    1
  ),
  """"
)"),"")</f>
        <v/>
      </c>
      <c r="T276" s="20" t="str">
        <f t="shared" si="3"/>
        <v/>
      </c>
      <c r="U276" s="20" t="str">
        <f t="shared" si="4"/>
        <v/>
      </c>
      <c r="V276" s="25">
        <v>1.0</v>
      </c>
      <c r="W276" s="26">
        <v>3.0</v>
      </c>
      <c r="X276" s="26">
        <v>0.126</v>
      </c>
      <c r="Y276" s="26">
        <v>190.47619047619048</v>
      </c>
      <c r="Z276" s="26">
        <v>10.0</v>
      </c>
      <c r="AA276" s="26">
        <v>1.764</v>
      </c>
      <c r="AB276" s="26">
        <v>0.0</v>
      </c>
      <c r="AC276" s="27"/>
      <c r="AD276" s="26">
        <v>190.47619047619048</v>
      </c>
      <c r="AE276" s="10" t="s">
        <v>38</v>
      </c>
      <c r="AF276" s="10" t="s">
        <v>39</v>
      </c>
      <c r="AG276" s="27"/>
    </row>
    <row r="277" ht="15.75" customHeight="1">
      <c r="A277" s="34" t="s">
        <v>627</v>
      </c>
      <c r="B277" s="35">
        <v>1800.0</v>
      </c>
      <c r="C277" s="15" t="s">
        <v>625</v>
      </c>
      <c r="D277" s="15" t="s">
        <v>628</v>
      </c>
      <c r="E277" s="15" t="s">
        <v>74</v>
      </c>
      <c r="F277" s="36">
        <v>13.0</v>
      </c>
      <c r="G277" s="33">
        <v>0.0</v>
      </c>
      <c r="H277" s="33">
        <v>0.0</v>
      </c>
      <c r="I277" s="29">
        <v>0.0</v>
      </c>
      <c r="J277" s="19" t="str">
        <f t="shared" si="15"/>
        <v>sin oferta</v>
      </c>
      <c r="K277" s="20" t="str">
        <f t="shared" si="8"/>
        <v>NORMAL / SIN OFERTA</v>
      </c>
      <c r="L277" s="15"/>
      <c r="M277" s="20">
        <v>1.0</v>
      </c>
      <c r="N277" s="21">
        <v>5.0</v>
      </c>
      <c r="O277" s="22">
        <v>3.0</v>
      </c>
      <c r="P277" s="23" t="str">
        <f>IFERROR(__xludf.DUMMYFUNCTION("IFERROR(
  INDEX(
    QUERY(
      Historial!A:I,
      ""select I where B = '""&amp;A277&amp;""' order by A desc limit 1"",
      0
    ),
    1
  ),
  """"
)"),"")</f>
        <v/>
      </c>
      <c r="Q277" s="19" t="s">
        <v>37</v>
      </c>
      <c r="R277" s="24">
        <v>46653.0</v>
      </c>
      <c r="S277" s="20" t="str">
        <f>IFERROR(__xludf.DUMMYFUNCTION("IFERROR(
  INDEX(
    QUERY(
      Historial!A:G,
      ""select G where B = '""&amp;A277&amp;""' order by A desc limit 1"",
      0
    ),
    1
  ),
  """"
)"),"")</f>
        <v/>
      </c>
      <c r="T277" s="20" t="str">
        <f t="shared" si="3"/>
        <v/>
      </c>
      <c r="U277" s="20" t="str">
        <f t="shared" si="4"/>
        <v/>
      </c>
      <c r="V277" s="25">
        <v>2.0</v>
      </c>
      <c r="W277" s="26">
        <v>3.0</v>
      </c>
      <c r="X277" s="26">
        <v>0.211</v>
      </c>
      <c r="Y277" s="26">
        <v>61.61137440758294</v>
      </c>
      <c r="Z277" s="26">
        <v>21.0</v>
      </c>
      <c r="AA277" s="26">
        <v>1.4769999999999999</v>
      </c>
      <c r="AB277" s="26">
        <v>0.0</v>
      </c>
      <c r="AC277" s="27"/>
      <c r="AD277" s="26">
        <v>61.61137440758294</v>
      </c>
      <c r="AE277" s="10" t="s">
        <v>38</v>
      </c>
      <c r="AF277" s="10" t="s">
        <v>39</v>
      </c>
      <c r="AG277" s="27"/>
    </row>
    <row r="278" ht="15.75" customHeight="1">
      <c r="A278" s="31" t="s">
        <v>629</v>
      </c>
      <c r="B278" s="55">
        <v>2000.0</v>
      </c>
      <c r="C278" s="56" t="s">
        <v>625</v>
      </c>
      <c r="D278" s="15" t="s">
        <v>630</v>
      </c>
      <c r="E278" s="56" t="s">
        <v>74</v>
      </c>
      <c r="F278" s="32">
        <v>19.0</v>
      </c>
      <c r="G278" s="33">
        <v>0.0</v>
      </c>
      <c r="H278" s="33">
        <v>0.0</v>
      </c>
      <c r="I278" s="29">
        <v>0.0</v>
      </c>
      <c r="J278" s="19" t="str">
        <f t="shared" si="15"/>
        <v>sin oferta</v>
      </c>
      <c r="K278" s="20" t="str">
        <f t="shared" si="8"/>
        <v>NORMAL / SIN OFERTA</v>
      </c>
      <c r="L278" s="15">
        <v>0.0</v>
      </c>
      <c r="M278" s="20"/>
      <c r="N278" s="21">
        <v>3.0</v>
      </c>
      <c r="O278" s="22">
        <v>3.0</v>
      </c>
      <c r="P278" s="23" t="str">
        <f>IFERROR(__xludf.DUMMYFUNCTION("IFERROR(
  INDEX(
    QUERY(
      Historial!A:I,
      ""select I where B = '""&amp;A278&amp;""' order by A desc limit 1"",
      0
    ),
    1
  ),
  """"
)"),"")</f>
        <v/>
      </c>
      <c r="Q278" s="19" t="s">
        <v>43</v>
      </c>
      <c r="R278" s="24">
        <v>46654.0</v>
      </c>
      <c r="S278" s="20" t="str">
        <f>IFERROR(__xludf.DUMMYFUNCTION("IFERROR(
  INDEX(
    QUERY(
      Historial!A:G,
      ""select G where B = '""&amp;A278&amp;""' order by A desc limit 1"",
      0
    ),
    1
  ),
  """"
)"),"")</f>
        <v/>
      </c>
      <c r="T278" s="20" t="str">
        <f t="shared" si="3"/>
        <v/>
      </c>
      <c r="U278" s="20" t="str">
        <f t="shared" si="4"/>
        <v/>
      </c>
      <c r="V278" s="25">
        <v>1.0</v>
      </c>
      <c r="W278" s="26">
        <v>4.0</v>
      </c>
      <c r="X278" s="26">
        <v>0.139</v>
      </c>
      <c r="Y278" s="26">
        <v>136.69064748201438</v>
      </c>
      <c r="Z278" s="26">
        <v>21.0</v>
      </c>
      <c r="AA278" s="26">
        <v>0.9730000000000001</v>
      </c>
      <c r="AB278" s="26">
        <v>0.0</v>
      </c>
      <c r="AC278" s="27"/>
      <c r="AD278" s="26">
        <v>136.69064748201438</v>
      </c>
      <c r="AE278" s="10" t="s">
        <v>38</v>
      </c>
      <c r="AF278" s="10" t="s">
        <v>39</v>
      </c>
      <c r="AG278" s="27"/>
    </row>
    <row r="279" ht="15.75" customHeight="1">
      <c r="A279" s="31" t="s">
        <v>631</v>
      </c>
      <c r="B279" s="20">
        <v>2500.0</v>
      </c>
      <c r="C279" s="20" t="s">
        <v>625</v>
      </c>
      <c r="D279" s="15" t="s">
        <v>632</v>
      </c>
      <c r="E279" s="20" t="s">
        <v>217</v>
      </c>
      <c r="F279" s="32">
        <v>11.0</v>
      </c>
      <c r="G279" s="40">
        <v>0.0</v>
      </c>
      <c r="H279" s="40">
        <v>0.0</v>
      </c>
      <c r="I279" s="40">
        <v>1.0</v>
      </c>
      <c r="J279" s="19" t="str">
        <f t="shared" si="15"/>
        <v>especial</v>
      </c>
      <c r="K279" s="20">
        <f t="shared" si="8"/>
        <v>2250</v>
      </c>
      <c r="L279" s="20">
        <v>0.0</v>
      </c>
      <c r="M279" s="20">
        <v>0.0</v>
      </c>
      <c r="N279" s="21">
        <v>5.0</v>
      </c>
      <c r="O279" s="22">
        <v>5.0</v>
      </c>
      <c r="P279" s="23" t="str">
        <f>IFERROR(__xludf.DUMMYFUNCTION("IFERROR(
  INDEX(
    QUERY(
      Historial!A:I,
      ""select I where B = '""&amp;A279&amp;""' order by A desc limit 1"",
      0
    ),
    1
  ),
  """"
)"),"")</f>
        <v/>
      </c>
      <c r="Q279" s="19" t="s">
        <v>48</v>
      </c>
      <c r="R279" s="24">
        <v>46655.0</v>
      </c>
      <c r="S279" s="20" t="str">
        <f>IFERROR(__xludf.DUMMYFUNCTION("IFERROR(
  INDEX(
    QUERY(
      Historial!A:G,
      ""select G where B = '""&amp;A279&amp;""' order by A desc limit 1"",
      0
    ),
    1
  ),
  """"
)"),"")</f>
        <v/>
      </c>
      <c r="T279" s="20" t="str">
        <f t="shared" si="3"/>
        <v/>
      </c>
      <c r="U279" s="20" t="str">
        <f t="shared" si="4"/>
        <v/>
      </c>
      <c r="V279" s="25">
        <v>1.0</v>
      </c>
      <c r="W279" s="26">
        <v>9.0</v>
      </c>
      <c r="X279" s="26">
        <v>0.206</v>
      </c>
      <c r="Y279" s="26">
        <v>53.39805825242719</v>
      </c>
      <c r="Z279" s="26">
        <v>21.0</v>
      </c>
      <c r="AA279" s="26">
        <v>1.442</v>
      </c>
      <c r="AB279" s="26">
        <v>0.0</v>
      </c>
      <c r="AC279" s="27"/>
      <c r="AD279" s="26">
        <v>53.39805825242719</v>
      </c>
      <c r="AE279" s="10" t="s">
        <v>38</v>
      </c>
      <c r="AF279" s="10" t="s">
        <v>39</v>
      </c>
      <c r="AG279" s="27"/>
    </row>
    <row r="280" ht="15.75" customHeight="1">
      <c r="A280" s="31" t="s">
        <v>633</v>
      </c>
      <c r="B280" s="35">
        <v>2000.0</v>
      </c>
      <c r="C280" s="15" t="s">
        <v>625</v>
      </c>
      <c r="D280" s="15" t="s">
        <v>634</v>
      </c>
      <c r="E280" s="15" t="s">
        <v>74</v>
      </c>
      <c r="F280" s="41">
        <v>3.0</v>
      </c>
      <c r="G280" s="33">
        <v>0.0</v>
      </c>
      <c r="H280" s="33">
        <v>0.0</v>
      </c>
      <c r="I280" s="29">
        <v>0.0</v>
      </c>
      <c r="J280" s="19" t="str">
        <f t="shared" si="15"/>
        <v>sin oferta</v>
      </c>
      <c r="K280" s="20" t="str">
        <f t="shared" si="8"/>
        <v>NORMAL / SIN OFERTA</v>
      </c>
      <c r="L280" s="15"/>
      <c r="M280" s="20"/>
      <c r="N280" s="21">
        <v>1.0</v>
      </c>
      <c r="O280" s="22">
        <v>2.0</v>
      </c>
      <c r="P280" s="23" t="str">
        <f>IFERROR(__xludf.DUMMYFUNCTION("IFERROR(
  INDEX(
    QUERY(
      Historial!A:I,
      ""select I where B = '""&amp;A280&amp;""' order by A desc limit 1"",
      0
    ),
    1
  ),
  """"
)"),"")</f>
        <v/>
      </c>
      <c r="Q280" s="19" t="s">
        <v>57</v>
      </c>
      <c r="R280" s="24">
        <v>46657.0</v>
      </c>
      <c r="S280" s="20" t="str">
        <f>IFERROR(__xludf.DUMMYFUNCTION("IFERROR(
  INDEX(
    QUERY(
      Historial!A:G,
      ""select G where B = '""&amp;A280&amp;""' order by A desc limit 1"",
      0
    ),
    1
  ),
  """"
)"),"")</f>
        <v/>
      </c>
      <c r="T280" s="20" t="str">
        <f t="shared" si="3"/>
        <v/>
      </c>
      <c r="U280" s="20" t="str">
        <f t="shared" si="4"/>
        <v/>
      </c>
      <c r="V280" s="25">
        <v>0.0</v>
      </c>
      <c r="W280" s="26">
        <v>1.0</v>
      </c>
      <c r="X280" s="26">
        <v>0.013</v>
      </c>
      <c r="Y280" s="26">
        <v>230.76923076923077</v>
      </c>
      <c r="Z280" s="26">
        <v>14.0</v>
      </c>
      <c r="AA280" s="26">
        <v>0.13</v>
      </c>
      <c r="AB280" s="26">
        <v>0.0</v>
      </c>
      <c r="AC280" s="27"/>
      <c r="AD280" s="26">
        <v>230.76923076923077</v>
      </c>
      <c r="AE280" s="10" t="s">
        <v>38</v>
      </c>
      <c r="AF280" s="10" t="s">
        <v>39</v>
      </c>
      <c r="AG280" s="27"/>
    </row>
    <row r="281" ht="15.75" customHeight="1">
      <c r="A281" s="34" t="s">
        <v>635</v>
      </c>
      <c r="B281" s="35">
        <v>2100.0</v>
      </c>
      <c r="C281" s="15" t="s">
        <v>625</v>
      </c>
      <c r="D281" s="15" t="s">
        <v>636</v>
      </c>
      <c r="E281" s="15" t="s">
        <v>74</v>
      </c>
      <c r="F281" s="36">
        <v>14.0</v>
      </c>
      <c r="G281" s="33">
        <v>0.0</v>
      </c>
      <c r="H281" s="33">
        <v>20.0</v>
      </c>
      <c r="I281" s="29">
        <v>0.0</v>
      </c>
      <c r="J281" s="19" t="str">
        <f t="shared" si="15"/>
        <v>destacada</v>
      </c>
      <c r="K281" s="20">
        <f t="shared" si="8"/>
        <v>1680</v>
      </c>
      <c r="L281" s="15"/>
      <c r="M281" s="20"/>
      <c r="N281" s="21">
        <v>9.0</v>
      </c>
      <c r="O281" s="22">
        <v>3.0</v>
      </c>
      <c r="P281" s="23" t="str">
        <f>IFERROR(__xludf.DUMMYFUNCTION("IFERROR(
  INDEX(
    QUERY(
      Historial!A:I,
      ""select I where B = '""&amp;A281&amp;""' order by A desc limit 1"",
      0
    ),
    1
  ),
  """"
)"),"")</f>
        <v/>
      </c>
      <c r="Q281" s="19" t="s">
        <v>60</v>
      </c>
      <c r="R281" s="24">
        <v>46658.0</v>
      </c>
      <c r="S281" s="20" t="str">
        <f>IFERROR(__xludf.DUMMYFUNCTION("IFERROR(
  INDEX(
    QUERY(
      Historial!A:G,
      ""select G where B = '""&amp;A281&amp;""' order by A desc limit 1"",
      0
    ),
    1
  ),
  """"
)"),"")</f>
        <v/>
      </c>
      <c r="T281" s="20" t="str">
        <f t="shared" si="3"/>
        <v/>
      </c>
      <c r="U281" s="20" t="str">
        <f t="shared" si="4"/>
        <v/>
      </c>
      <c r="V281" s="25">
        <v>4.0</v>
      </c>
      <c r="W281" s="26">
        <v>4.0</v>
      </c>
      <c r="X281" s="26">
        <v>0.396</v>
      </c>
      <c r="Y281" s="26">
        <v>35.35353535353535</v>
      </c>
      <c r="Z281" s="26">
        <v>21.0</v>
      </c>
      <c r="AA281" s="26">
        <v>2.7720000000000002</v>
      </c>
      <c r="AB281" s="26">
        <v>0.0</v>
      </c>
      <c r="AC281" s="27"/>
      <c r="AD281" s="26">
        <v>35.35353535353535</v>
      </c>
      <c r="AE281" s="10" t="s">
        <v>38</v>
      </c>
      <c r="AF281" s="10" t="s">
        <v>39</v>
      </c>
      <c r="AG281" s="27"/>
    </row>
    <row r="282" ht="15.75" customHeight="1">
      <c r="A282" s="34" t="s">
        <v>637</v>
      </c>
      <c r="B282" s="35">
        <v>9000.0</v>
      </c>
      <c r="C282" s="15" t="s">
        <v>638</v>
      </c>
      <c r="D282" s="15" t="s">
        <v>639</v>
      </c>
      <c r="E282" s="15"/>
      <c r="F282" s="36">
        <v>8.0</v>
      </c>
      <c r="G282" s="33">
        <v>0.0</v>
      </c>
      <c r="H282" s="33">
        <v>25.0</v>
      </c>
      <c r="I282" s="29">
        <v>0.0</v>
      </c>
      <c r="J282" s="19" t="str">
        <f t="shared" si="15"/>
        <v>destacada</v>
      </c>
      <c r="K282" s="20">
        <f t="shared" si="8"/>
        <v>6750</v>
      </c>
      <c r="L282" s="15"/>
      <c r="M282" s="20"/>
      <c r="N282" s="21">
        <v>1.0</v>
      </c>
      <c r="O282" s="22">
        <v>2.0</v>
      </c>
      <c r="P282" s="23" t="str">
        <f>IFERROR(__xludf.DUMMYFUNCTION("IFERROR(
  INDEX(
    QUERY(
      Historial!A:I,
      ""select I where B = '""&amp;A282&amp;""' order by A desc limit 1"",
      0
    ),
    1
  ),
  """"
)"),"")</f>
        <v/>
      </c>
      <c r="Q282" s="19" t="s">
        <v>48</v>
      </c>
      <c r="R282" s="24">
        <v>46662.0</v>
      </c>
      <c r="S282" s="20" t="str">
        <f>IFERROR(__xludf.DUMMYFUNCTION("IFERROR(
  INDEX(
    QUERY(
      Historial!A:G,
      ""select G where B = '""&amp;A282&amp;""' order by A desc limit 1"",
      0
    ),
    1
  ),
  """"
)"),"")</f>
        <v/>
      </c>
      <c r="T282" s="20" t="str">
        <f t="shared" si="3"/>
        <v/>
      </c>
      <c r="U282" s="20" t="str">
        <f t="shared" si="4"/>
        <v/>
      </c>
      <c r="V282" s="25">
        <v>0.0</v>
      </c>
      <c r="W282" s="26">
        <v>1.0</v>
      </c>
      <c r="X282" s="26">
        <v>0.013</v>
      </c>
      <c r="Y282" s="26">
        <v>615.3846153846154</v>
      </c>
      <c r="Z282" s="26">
        <v>21.0</v>
      </c>
      <c r="AA282" s="26">
        <v>0.091</v>
      </c>
      <c r="AB282" s="26">
        <v>0.0</v>
      </c>
      <c r="AC282" s="27"/>
      <c r="AD282" s="26">
        <v>615.3846153846154</v>
      </c>
      <c r="AE282" s="10" t="s">
        <v>38</v>
      </c>
      <c r="AF282" s="10" t="s">
        <v>39</v>
      </c>
      <c r="AG282" s="27"/>
    </row>
    <row r="283" ht="15.75" customHeight="1">
      <c r="A283" s="34" t="s">
        <v>640</v>
      </c>
      <c r="B283" s="46">
        <v>9000.0</v>
      </c>
      <c r="C283" s="47" t="s">
        <v>638</v>
      </c>
      <c r="D283" s="15" t="s">
        <v>641</v>
      </c>
      <c r="E283" s="15" t="s">
        <v>147</v>
      </c>
      <c r="F283" s="36">
        <v>12.0</v>
      </c>
      <c r="G283" s="33">
        <v>0.0</v>
      </c>
      <c r="H283" s="33">
        <v>25.0</v>
      </c>
      <c r="I283" s="29">
        <v>0.0</v>
      </c>
      <c r="J283" s="19" t="str">
        <f t="shared" si="15"/>
        <v>destacada</v>
      </c>
      <c r="K283" s="20">
        <f t="shared" si="8"/>
        <v>6750</v>
      </c>
      <c r="L283" s="15"/>
      <c r="M283" s="20"/>
      <c r="N283" s="21">
        <v>5.0</v>
      </c>
      <c r="O283" s="22">
        <v>3.0</v>
      </c>
      <c r="P283" s="23" t="str">
        <f>IFERROR(__xludf.DUMMYFUNCTION("IFERROR(
  INDEX(
    QUERY(
      Historial!A:I,
      ""select I where B = '""&amp;A283&amp;""' order by A desc limit 1"",
      0
    ),
    1
  ),
  """"
)"),"")</f>
        <v/>
      </c>
      <c r="Q283" s="19" t="s">
        <v>51</v>
      </c>
      <c r="R283" s="24">
        <v>46663.0</v>
      </c>
      <c r="S283" s="20">
        <f>IFERROR(__xludf.DUMMYFUNCTION("IFERROR(
  INDEX(
    QUERY(
      Historial!A:G,
      ""select G where B = '""&amp;A283&amp;""' order by A desc limit 1"",
      0
    ),
    1
  ),
  """"
)"),4000.0)</f>
        <v>4000</v>
      </c>
      <c r="T283" s="20" t="str">
        <f t="shared" si="3"/>
        <v/>
      </c>
      <c r="U283" s="20" t="str">
        <f t="shared" si="4"/>
        <v/>
      </c>
      <c r="V283" s="25">
        <v>2.0</v>
      </c>
      <c r="W283" s="26">
        <v>3.0</v>
      </c>
      <c r="X283" s="26">
        <v>0.211</v>
      </c>
      <c r="Y283" s="26">
        <v>56.872037914691944</v>
      </c>
      <c r="Z283" s="26">
        <v>21.0</v>
      </c>
      <c r="AA283" s="26">
        <v>1.4769999999999999</v>
      </c>
      <c r="AB283" s="26">
        <v>0.0</v>
      </c>
      <c r="AC283" s="27"/>
      <c r="AD283" s="26">
        <v>56.872037914691944</v>
      </c>
      <c r="AE283" s="10" t="s">
        <v>38</v>
      </c>
      <c r="AF283" s="10" t="s">
        <v>39</v>
      </c>
      <c r="AG283" s="27"/>
    </row>
    <row r="284" ht="15.75" customHeight="1">
      <c r="A284" s="34" t="s">
        <v>642</v>
      </c>
      <c r="B284" s="46">
        <v>4000.0</v>
      </c>
      <c r="C284" s="47" t="s">
        <v>638</v>
      </c>
      <c r="D284" s="15" t="s">
        <v>643</v>
      </c>
      <c r="E284" s="47" t="s">
        <v>114</v>
      </c>
      <c r="F284" s="36">
        <v>12.0</v>
      </c>
      <c r="G284" s="33">
        <v>0.0</v>
      </c>
      <c r="H284" s="33">
        <v>0.0</v>
      </c>
      <c r="I284" s="29">
        <v>0.0</v>
      </c>
      <c r="J284" s="19" t="str">
        <f t="shared" si="15"/>
        <v>sin oferta</v>
      </c>
      <c r="K284" s="20" t="str">
        <f t="shared" si="8"/>
        <v>NORMAL / SIN OFERTA</v>
      </c>
      <c r="L284" s="15"/>
      <c r="M284" s="20"/>
      <c r="N284" s="21">
        <v>7.0</v>
      </c>
      <c r="O284" s="22">
        <v>5.0</v>
      </c>
      <c r="P284" s="23" t="str">
        <f>IFERROR(__xludf.DUMMYFUNCTION("IFERROR(
  INDEX(
    QUERY(
      Historial!A:I,
      ""select I where B = '""&amp;A284&amp;""' order by A desc limit 1"",
      0
    ),
    1
  ),
  """"
)"),"")</f>
        <v/>
      </c>
      <c r="Q284" s="19" t="s">
        <v>37</v>
      </c>
      <c r="R284" s="24">
        <v>46667.0</v>
      </c>
      <c r="S284" s="20" t="str">
        <f>IFERROR(__xludf.DUMMYFUNCTION("IFERROR(
  INDEX(
    QUERY(
      Historial!A:G,
      ""select G where B = '""&amp;A284&amp;""' order by A desc limit 1"",
      0
    ),
    1
  ),
  """"
)"),"")</f>
        <v/>
      </c>
      <c r="T284" s="20" t="str">
        <f t="shared" si="3"/>
        <v/>
      </c>
      <c r="U284" s="20" t="str">
        <f t="shared" si="4"/>
        <v/>
      </c>
      <c r="V284" s="25">
        <v>2.0</v>
      </c>
      <c r="W284" s="26">
        <v>12.0</v>
      </c>
      <c r="X284" s="26">
        <v>0.331</v>
      </c>
      <c r="Y284" s="26">
        <v>36.25377643504532</v>
      </c>
      <c r="Z284" s="26">
        <v>21.0</v>
      </c>
      <c r="AA284" s="26">
        <v>2.317</v>
      </c>
      <c r="AB284" s="26">
        <v>0.0</v>
      </c>
      <c r="AC284" s="27"/>
      <c r="AD284" s="26">
        <v>36.25377643504532</v>
      </c>
      <c r="AE284" s="10" t="s">
        <v>38</v>
      </c>
      <c r="AF284" s="10" t="s">
        <v>39</v>
      </c>
      <c r="AG284" s="27"/>
    </row>
    <row r="285" ht="15.75" customHeight="1">
      <c r="A285" s="34" t="s">
        <v>644</v>
      </c>
      <c r="B285" s="35">
        <v>7000.0</v>
      </c>
      <c r="C285" s="15" t="s">
        <v>638</v>
      </c>
      <c r="D285" s="15" t="s">
        <v>645</v>
      </c>
      <c r="E285" s="15"/>
      <c r="F285" s="41">
        <v>6.0</v>
      </c>
      <c r="G285" s="33">
        <v>0.0</v>
      </c>
      <c r="H285" s="33">
        <v>0.0</v>
      </c>
      <c r="I285" s="29">
        <v>0.0</v>
      </c>
      <c r="J285" s="19" t="str">
        <f t="shared" si="15"/>
        <v>sin oferta</v>
      </c>
      <c r="K285" s="20" t="str">
        <f t="shared" si="8"/>
        <v>NORMAL / SIN OFERTA</v>
      </c>
      <c r="L285" s="15"/>
      <c r="M285" s="20"/>
      <c r="N285" s="21">
        <v>0.0</v>
      </c>
      <c r="O285" s="22">
        <v>2.0</v>
      </c>
      <c r="P285" s="23" t="str">
        <f>IFERROR(__xludf.DUMMYFUNCTION("IFERROR(
  INDEX(
    QUERY(
      Historial!A:I,
      ""select I where B = '""&amp;A285&amp;""' order by A desc limit 1"",
      0
    ),
    1
  ),
  """"
)"),"")</f>
        <v/>
      </c>
      <c r="Q285" s="19" t="s">
        <v>57</v>
      </c>
      <c r="R285" s="24">
        <v>46671.0</v>
      </c>
      <c r="S285" s="20" t="str">
        <f>IFERROR(__xludf.DUMMYFUNCTION("IFERROR(
  INDEX(
    QUERY(
      Historial!A:G,
      ""select G where B = '""&amp;A285&amp;""' order by A desc limit 1"",
      0
    ),
    1
  ),
  """"
)"),"")</f>
        <v/>
      </c>
      <c r="T285" s="20" t="str">
        <f t="shared" si="3"/>
        <v/>
      </c>
      <c r="U285" s="20" t="str">
        <f t="shared" si="4"/>
        <v/>
      </c>
      <c r="V285" s="25">
        <v>0.0</v>
      </c>
      <c r="W285" s="26">
        <v>0.0</v>
      </c>
      <c r="X285" s="26">
        <v>0.0</v>
      </c>
      <c r="Y285" s="27"/>
      <c r="Z285" s="26">
        <v>14.0</v>
      </c>
      <c r="AA285" s="26">
        <v>0.0</v>
      </c>
      <c r="AB285" s="26">
        <v>0.0</v>
      </c>
      <c r="AC285" s="27"/>
      <c r="AD285" s="27"/>
      <c r="AE285" s="10" t="s">
        <v>38</v>
      </c>
      <c r="AF285" s="10" t="s">
        <v>44</v>
      </c>
      <c r="AG285" s="27"/>
    </row>
    <row r="286" ht="15.75" customHeight="1">
      <c r="A286" s="34" t="s">
        <v>646</v>
      </c>
      <c r="B286" s="46">
        <v>3500.0</v>
      </c>
      <c r="C286" s="47" t="s">
        <v>638</v>
      </c>
      <c r="D286" s="15" t="s">
        <v>647</v>
      </c>
      <c r="E286" s="47" t="s">
        <v>147</v>
      </c>
      <c r="F286" s="36">
        <v>9.0</v>
      </c>
      <c r="G286" s="15">
        <v>0.0</v>
      </c>
      <c r="H286" s="33">
        <v>0.0</v>
      </c>
      <c r="I286" s="19">
        <v>0.0</v>
      </c>
      <c r="J286" s="19" t="str">
        <f t="shared" si="15"/>
        <v>sin oferta</v>
      </c>
      <c r="K286" s="20" t="str">
        <f t="shared" si="8"/>
        <v>NORMAL / SIN OFERTA</v>
      </c>
      <c r="L286" s="20"/>
      <c r="M286" s="20"/>
      <c r="N286" s="21">
        <v>1.0</v>
      </c>
      <c r="O286" s="22">
        <v>2.0</v>
      </c>
      <c r="P286" s="23" t="str">
        <f>IFERROR(__xludf.DUMMYFUNCTION("IFERROR(
  INDEX(
    QUERY(
      Historial!A:I,
      ""select I where B = '""&amp;A286&amp;""' order by A desc limit 1"",
      0
    ),
    1
  ),
  """"
)"),"")</f>
        <v/>
      </c>
      <c r="Q286" s="19" t="s">
        <v>51</v>
      </c>
      <c r="R286" s="24">
        <v>46677.0</v>
      </c>
      <c r="S286" s="20">
        <f>IFERROR(__xludf.DUMMYFUNCTION("IFERROR(
  INDEX(
    QUERY(
      Historial!A:G,
      ""select G where B = '""&amp;A286&amp;""' order by A desc limit 1"",
      0
    ),
    1
  ),
  """"
)"),1300.0)</f>
        <v>1300</v>
      </c>
      <c r="T286" s="20" t="str">
        <f t="shared" si="3"/>
        <v/>
      </c>
      <c r="U286" s="20" t="str">
        <f t="shared" si="4"/>
        <v/>
      </c>
      <c r="V286" s="25">
        <v>0.0</v>
      </c>
      <c r="W286" s="26">
        <v>2.0</v>
      </c>
      <c r="X286" s="26">
        <v>0.027</v>
      </c>
      <c r="Y286" s="26">
        <v>333.3333333333333</v>
      </c>
      <c r="Z286" s="26">
        <v>14.0</v>
      </c>
      <c r="AA286" s="26">
        <v>0.27</v>
      </c>
      <c r="AB286" s="26">
        <v>0.0</v>
      </c>
      <c r="AC286" s="27"/>
      <c r="AD286" s="26">
        <v>333.3333333333333</v>
      </c>
      <c r="AE286" s="10" t="s">
        <v>38</v>
      </c>
      <c r="AF286" s="10" t="s">
        <v>39</v>
      </c>
      <c r="AG286" s="27"/>
    </row>
    <row r="287" ht="15.75" customHeight="1">
      <c r="A287" s="66" t="s">
        <v>648</v>
      </c>
      <c r="B287" s="67">
        <v>2500.0</v>
      </c>
      <c r="C287" s="66" t="s">
        <v>605</v>
      </c>
      <c r="D287" s="66" t="s">
        <v>649</v>
      </c>
      <c r="E287" s="66" t="s">
        <v>47</v>
      </c>
      <c r="F287" s="68">
        <v>3.0</v>
      </c>
      <c r="G287" s="69"/>
      <c r="H287" s="40"/>
      <c r="I287" s="40"/>
      <c r="J287" s="20"/>
      <c r="K287" s="20"/>
      <c r="L287" s="20"/>
      <c r="M287" s="20"/>
      <c r="N287" s="21">
        <v>0.0</v>
      </c>
      <c r="O287" s="22">
        <v>2.0</v>
      </c>
      <c r="P287" s="23">
        <f>IFERROR(__xludf.DUMMYFUNCTION("IFERROR(
  INDEX(
    QUERY(
      Historial!A:I,
      ""select I where B = '""&amp;A287&amp;""' order by A desc limit 1"",
      0
    ),
    1
  ),
  """"
)"),46410.0)</f>
        <v>46410</v>
      </c>
      <c r="Q287" s="19" t="s">
        <v>63</v>
      </c>
      <c r="R287" s="24">
        <v>46680.0</v>
      </c>
      <c r="S287" s="20">
        <f>IFERROR(__xludf.DUMMYFUNCTION("IFERROR(
  INDEX(
    QUERY(
      Historial!A:G,
      ""select G where B = '""&amp;A287&amp;""' order by A desc limit 1"",
      0
    ),
    1
  ),
  """"
)"),1554.0)</f>
        <v>1554</v>
      </c>
      <c r="T287" s="20" t="str">
        <f t="shared" si="3"/>
        <v>✅ OK</v>
      </c>
      <c r="U287" s="20" t="str">
        <f t="shared" si="4"/>
        <v/>
      </c>
      <c r="V287" s="25">
        <v>0.0</v>
      </c>
      <c r="W287" s="26">
        <v>0.0</v>
      </c>
      <c r="X287" s="26">
        <v>0.0</v>
      </c>
      <c r="Y287" s="27"/>
      <c r="Z287" s="26">
        <v>21.0</v>
      </c>
      <c r="AA287" s="26">
        <v>0.0</v>
      </c>
      <c r="AB287" s="26">
        <v>0.0</v>
      </c>
      <c r="AC287" s="26">
        <v>318.0</v>
      </c>
      <c r="AD287" s="27"/>
      <c r="AE287" s="10" t="s">
        <v>38</v>
      </c>
      <c r="AF287" s="10" t="s">
        <v>44</v>
      </c>
      <c r="AG287" s="27"/>
    </row>
    <row r="288" ht="15.75" customHeight="1">
      <c r="A288" s="66" t="s">
        <v>650</v>
      </c>
      <c r="B288" s="67">
        <v>3200.0</v>
      </c>
      <c r="C288" s="66" t="s">
        <v>87</v>
      </c>
      <c r="D288" s="66" t="s">
        <v>651</v>
      </c>
      <c r="E288" s="66" t="s">
        <v>527</v>
      </c>
      <c r="F288" s="68">
        <v>9.0</v>
      </c>
      <c r="G288" s="69"/>
      <c r="H288" s="40"/>
      <c r="I288" s="40"/>
      <c r="J288" s="20"/>
      <c r="K288" s="20"/>
      <c r="L288" s="20"/>
      <c r="M288" s="20"/>
      <c r="N288" s="21">
        <v>0.0</v>
      </c>
      <c r="O288" s="22">
        <v>3.0</v>
      </c>
      <c r="P288" s="23" t="str">
        <f>IFERROR(__xludf.DUMMYFUNCTION("IFERROR(
  INDEX(
    QUERY(
      Historial!A:I,
      ""select I where B = '""&amp;A288&amp;""' order by A desc limit 1"",
      0
    ),
    1
  ),
  """"
)"),"")</f>
        <v/>
      </c>
      <c r="Q288" s="19" t="s">
        <v>48</v>
      </c>
      <c r="R288" s="24">
        <v>46683.0</v>
      </c>
      <c r="S288" s="20" t="str">
        <f>IFERROR(__xludf.DUMMYFUNCTION("IFERROR(
  INDEX(
    QUERY(
      Historial!A:G,
      ""select G where B = '""&amp;A288&amp;""' order by A desc limit 1"",
      0
    ),
    1
  ),
  """"
)"),"")</f>
        <v/>
      </c>
      <c r="T288" s="20" t="str">
        <f t="shared" si="3"/>
        <v/>
      </c>
      <c r="U288" s="20" t="str">
        <f t="shared" si="4"/>
        <v/>
      </c>
      <c r="V288" s="25">
        <v>0.0</v>
      </c>
      <c r="W288" s="26">
        <v>0.0</v>
      </c>
      <c r="X288" s="26">
        <v>0.0</v>
      </c>
      <c r="Y288" s="27"/>
      <c r="Z288" s="26">
        <v>10.0</v>
      </c>
      <c r="AA288" s="26">
        <v>0.0</v>
      </c>
      <c r="AB288" s="26">
        <v>0.0</v>
      </c>
      <c r="AC288" s="27"/>
      <c r="AD288" s="27"/>
      <c r="AE288" s="10" t="s">
        <v>38</v>
      </c>
      <c r="AF288" s="10" t="s">
        <v>44</v>
      </c>
      <c r="AG288" s="27"/>
    </row>
    <row r="289" ht="15.75" customHeight="1">
      <c r="A289" s="34" t="s">
        <v>652</v>
      </c>
      <c r="B289" s="35">
        <v>4500.0</v>
      </c>
      <c r="C289" s="15" t="s">
        <v>87</v>
      </c>
      <c r="D289" s="15" t="s">
        <v>653</v>
      </c>
      <c r="E289" s="15"/>
      <c r="F289" s="70">
        <v>4.0</v>
      </c>
      <c r="G289" s="33">
        <v>10.0</v>
      </c>
      <c r="H289" s="33">
        <v>0.0</v>
      </c>
      <c r="I289" s="29">
        <v>0.0</v>
      </c>
      <c r="J289" s="19" t="str">
        <f t="shared" ref="J289:J296" si="16">IF(
A289="",
"",
IF(
F289=0,
"sin stock",
IF(
NOT(OR(I289=0,I289=1)),
"ERROR ESPECIAL",
IF(
NOT(ISNUMBER(MATCH(G289,{0;1;2;3;4;5;6;10;11;12;13;14},0))),
"ERROR RELAMPAGO",
IF(
OR(H289&gt;70,AND(H289&gt;0,H289&lt;15)),
"ERROR DESTACADA",
IF(
(I289=1)+(H289&gt;0)+(G289&gt;0)&gt;1,
"ERROR DOBLE OFERTA",
IF(
I289=1,
"especial",
IF(
H289&gt;0,
"destacada",
IF(
G289&gt;0,
IF(
OR(
AND(G289&lt;=6,F289&lt;(G289+1)),
AND(G289=10,F289&lt;2),
AND(G289&gt;=11,F289&lt;1)
),
"REPONER "&amp;
IF(G289&lt;=6,G289+1-F289,
IF(G289=10,2-F289,
1-
F289)
)&amp;
" PARA PROMO",
IF(
G289&lt;=6,
"relampago "&amp;(G289+1)&amp;"x"&amp;G289,
IF(
G289=10,
"2da50off",
IF(
G289&gt;=11,
"relampago "&amp;CHOOSE(G289-10,10,15,20,25)&amp;"%",
"relampago"
)
)
)
),
"sin oferta"
)
)
)
)
)
)
)
)
)</f>
        <v>2da50off</v>
      </c>
      <c r="K289" s="20">
        <f t="shared" ref="K289:K430" si="17">IF(AND(C289="PROMOS", F289&gt;=1),
   "COMBO ACTIVADO EN CAT. PROMOS",
   IF(OR(F289&lt;=0, B289&lt;=0),
      "SIN STOCK / CARGAR STOCK",
      IF(B289="",
         "CARGAR PRECIO",
         IF(AND(ISNUMBER(G289), G289&gt;0),
            B289 * VLOOKUP(G289, {1,0.5; 2,0.6667; 3,0.75; 4,0.8; 5,0.8333; 6,0.8571; 10,0.75}, 2, FALSE),
            IF(AND(ISNUMBER(H289), H289&gt;0),
               B289 * (1 - H289/100),
               IF(I289=1,
                  B289 * 0.9,
                  "NORMAL / SIN OFERTA"
               )
            )
         )
      )
   )
)</f>
        <v>3375</v>
      </c>
      <c r="L289" s="15"/>
      <c r="M289" s="20"/>
      <c r="N289" s="21">
        <v>0.0</v>
      </c>
      <c r="O289" s="22">
        <v>3.0</v>
      </c>
      <c r="P289" s="23" t="str">
        <f>IFERROR(__xludf.DUMMYFUNCTION("IFERROR(
  INDEX(
    QUERY(
      Historial!A:I,
      ""select I where B = '""&amp;A289&amp;""' order by A desc limit 1"",
      0
    ),
    1
  ),
  """"
)"),"")</f>
        <v/>
      </c>
      <c r="Q289" s="19" t="s">
        <v>57</v>
      </c>
      <c r="R289" s="24">
        <v>46118.0</v>
      </c>
      <c r="S289" s="20" t="str">
        <f>IFERROR(__xludf.DUMMYFUNCTION("IFERROR(
  INDEX(
    QUERY(
      Historial!A:G,
      ""select G where B = '""&amp;A289&amp;""' order by A desc limit 1"",
      0
    ),
    1
  ),
  """"
)"),"")</f>
        <v/>
      </c>
      <c r="T289" s="20" t="str">
        <f t="shared" si="3"/>
        <v/>
      </c>
      <c r="U289" s="20" t="str">
        <f t="shared" si="4"/>
        <v/>
      </c>
      <c r="V289" s="25">
        <v>0.0</v>
      </c>
      <c r="W289" s="26">
        <v>0.0</v>
      </c>
      <c r="X289" s="26">
        <v>0.0</v>
      </c>
      <c r="Y289" s="27"/>
      <c r="Z289" s="26">
        <v>10.0</v>
      </c>
      <c r="AA289" s="26">
        <v>0.0</v>
      </c>
      <c r="AB289" s="26">
        <v>0.0</v>
      </c>
      <c r="AC289" s="27"/>
      <c r="AD289" s="27"/>
      <c r="AE289" s="10" t="s">
        <v>38</v>
      </c>
      <c r="AF289" s="10" t="s">
        <v>44</v>
      </c>
      <c r="AG289" s="27"/>
    </row>
    <row r="290" ht="15.75" customHeight="1">
      <c r="A290" s="34" t="s">
        <v>654</v>
      </c>
      <c r="B290" s="35">
        <v>5000.0</v>
      </c>
      <c r="C290" s="15" t="s">
        <v>87</v>
      </c>
      <c r="D290" s="15" t="s">
        <v>655</v>
      </c>
      <c r="E290" s="15"/>
      <c r="F290" s="41">
        <v>0.0</v>
      </c>
      <c r="G290" s="33">
        <v>0.0</v>
      </c>
      <c r="H290" s="33">
        <v>0.0</v>
      </c>
      <c r="I290" s="29">
        <v>0.0</v>
      </c>
      <c r="J290" s="19" t="str">
        <f t="shared" si="16"/>
        <v>sin stock</v>
      </c>
      <c r="K290" s="20" t="str">
        <f t="shared" si="17"/>
        <v>SIN STOCK / CARGAR STOCK</v>
      </c>
      <c r="L290" s="15"/>
      <c r="M290" s="20"/>
      <c r="N290" s="21">
        <v>1.0</v>
      </c>
      <c r="O290" s="22">
        <v>2.0</v>
      </c>
      <c r="P290" s="23" t="str">
        <f>IFERROR(__xludf.DUMMYFUNCTION("IFERROR(
  INDEX(
    QUERY(
      Historial!A:I,
      ""select I where B = '""&amp;A290&amp;""' order by A desc limit 1"",
      0
    ),
    1
  ),
  """"
)"),"")</f>
        <v/>
      </c>
      <c r="Q290" s="19" t="s">
        <v>57</v>
      </c>
      <c r="R290" s="24">
        <v>46125.0</v>
      </c>
      <c r="S290" s="20">
        <f>IFERROR(__xludf.DUMMYFUNCTION("IFERROR(
  INDEX(
    QUERY(
      Historial!A:G,
      ""select G where B = '""&amp;A290&amp;""' order by A desc limit 1"",
      0
    ),
    1
  ),
  """"
)"),3500.0)</f>
        <v>3500</v>
      </c>
      <c r="T290" s="20" t="str">
        <f t="shared" si="3"/>
        <v/>
      </c>
      <c r="U290" s="20" t="str">
        <f t="shared" si="4"/>
        <v/>
      </c>
      <c r="V290" s="25">
        <v>0.0</v>
      </c>
      <c r="W290" s="26">
        <v>1.0</v>
      </c>
      <c r="X290" s="26">
        <v>0.013</v>
      </c>
      <c r="Y290" s="26">
        <v>0.0</v>
      </c>
      <c r="Z290" s="26">
        <v>14.0</v>
      </c>
      <c r="AA290" s="26">
        <v>0.13</v>
      </c>
      <c r="AB290" s="26">
        <v>1.0</v>
      </c>
      <c r="AC290" s="27"/>
      <c r="AD290" s="26">
        <v>0.0</v>
      </c>
      <c r="AE290" s="10" t="s">
        <v>38</v>
      </c>
      <c r="AF290" s="10" t="s">
        <v>44</v>
      </c>
      <c r="AG290" s="27"/>
    </row>
    <row r="291" ht="15.75" customHeight="1">
      <c r="A291" s="34" t="s">
        <v>656</v>
      </c>
      <c r="B291" s="35">
        <v>6000.0</v>
      </c>
      <c r="C291" s="15" t="s">
        <v>87</v>
      </c>
      <c r="D291" s="15" t="s">
        <v>657</v>
      </c>
      <c r="E291" s="15"/>
      <c r="F291" s="41">
        <v>2.0</v>
      </c>
      <c r="G291" s="33">
        <v>0.0</v>
      </c>
      <c r="H291" s="33">
        <v>0.0</v>
      </c>
      <c r="I291" s="29">
        <v>0.0</v>
      </c>
      <c r="J291" s="19" t="str">
        <f t="shared" si="16"/>
        <v>sin oferta</v>
      </c>
      <c r="K291" s="20" t="str">
        <f t="shared" si="17"/>
        <v>NORMAL / SIN OFERTA</v>
      </c>
      <c r="L291" s="15"/>
      <c r="M291" s="20"/>
      <c r="N291" s="21">
        <v>0.0</v>
      </c>
      <c r="O291" s="22">
        <v>2.0</v>
      </c>
      <c r="P291" s="23" t="str">
        <f>IFERROR(__xludf.DUMMYFUNCTION("IFERROR(
  INDEX(
    QUERY(
      Historial!A:I,
      ""select I where B = '""&amp;A291&amp;""' order by A desc limit 1"",
      0
    ),
    1
  ),
  """"
)"),"")</f>
        <v/>
      </c>
      <c r="Q291" s="19" t="s">
        <v>63</v>
      </c>
      <c r="R291" s="24">
        <v>46127.0</v>
      </c>
      <c r="S291" s="20">
        <f>IFERROR(__xludf.DUMMYFUNCTION("IFERROR(
  INDEX(
    QUERY(
      Historial!A:G,
      ""select G where B = '""&amp;A291&amp;""' order by A desc limit 1"",
      0
    ),
    1
  ),
  """"
)"),4500.0)</f>
        <v>4500</v>
      </c>
      <c r="T291" s="20" t="str">
        <f t="shared" si="3"/>
        <v/>
      </c>
      <c r="U291" s="20" t="str">
        <f t="shared" si="4"/>
        <v/>
      </c>
      <c r="V291" s="25">
        <v>0.0</v>
      </c>
      <c r="W291" s="26">
        <v>0.0</v>
      </c>
      <c r="X291" s="26">
        <v>0.0</v>
      </c>
      <c r="Y291" s="27"/>
      <c r="Z291" s="26">
        <v>21.0</v>
      </c>
      <c r="AA291" s="26">
        <v>0.0</v>
      </c>
      <c r="AB291" s="26">
        <v>0.0</v>
      </c>
      <c r="AC291" s="27"/>
      <c r="AD291" s="27"/>
      <c r="AE291" s="10" t="s">
        <v>38</v>
      </c>
      <c r="AF291" s="10" t="s">
        <v>44</v>
      </c>
      <c r="AG291" s="27"/>
    </row>
    <row r="292" ht="15.75" customHeight="1">
      <c r="A292" s="31" t="s">
        <v>658</v>
      </c>
      <c r="B292" s="55">
        <v>5500.0</v>
      </c>
      <c r="C292" s="56" t="s">
        <v>383</v>
      </c>
      <c r="D292" s="15" t="s">
        <v>659</v>
      </c>
      <c r="E292" s="47" t="s">
        <v>385</v>
      </c>
      <c r="F292" s="32">
        <v>2.767</v>
      </c>
      <c r="G292" s="40">
        <v>0.0</v>
      </c>
      <c r="H292" s="40">
        <v>0.0</v>
      </c>
      <c r="I292" s="40">
        <v>0.0</v>
      </c>
      <c r="J292" s="19" t="str">
        <f t="shared" si="16"/>
        <v>sin oferta</v>
      </c>
      <c r="K292" s="20" t="str">
        <f t="shared" si="17"/>
        <v>NORMAL / SIN OFERTA</v>
      </c>
      <c r="L292" s="20">
        <v>0.0</v>
      </c>
      <c r="M292" s="20">
        <v>0.0</v>
      </c>
      <c r="N292" s="21">
        <v>0.0</v>
      </c>
      <c r="O292" s="22">
        <v>2.0</v>
      </c>
      <c r="P292" s="23" t="str">
        <f>IFERROR(__xludf.DUMMYFUNCTION("IFERROR(
  INDEX(
    QUERY(
      Historial!A:I,
      ""select I where B = '""&amp;A292&amp;""' order by A desc limit 1"",
      0
    ),
    1
  ),
  """"
)"),"")</f>
        <v/>
      </c>
      <c r="Q292" s="19" t="s">
        <v>57</v>
      </c>
      <c r="R292" s="24">
        <v>46132.0</v>
      </c>
      <c r="S292" s="20">
        <f>IFERROR(__xludf.DUMMYFUNCTION("IFERROR(
  INDEX(
    QUERY(
      Historial!A:G,
      ""select G where B = '""&amp;A292&amp;""' order by A desc limit 1"",
      0
    ),
    1
  ),
  """"
)"),3800.0)</f>
        <v>3800</v>
      </c>
      <c r="T292" s="20" t="str">
        <f t="shared" si="3"/>
        <v/>
      </c>
      <c r="U292" s="20" t="str">
        <f t="shared" si="4"/>
        <v/>
      </c>
      <c r="V292" s="25">
        <v>0.0</v>
      </c>
      <c r="W292" s="26">
        <v>0.0</v>
      </c>
      <c r="X292" s="26">
        <v>0.0</v>
      </c>
      <c r="Y292" s="27"/>
      <c r="Z292" s="26">
        <v>14.0</v>
      </c>
      <c r="AA292" s="26">
        <v>0.0</v>
      </c>
      <c r="AB292" s="26">
        <v>0.0</v>
      </c>
      <c r="AC292" s="27"/>
      <c r="AD292" s="27"/>
      <c r="AE292" s="10" t="s">
        <v>38</v>
      </c>
      <c r="AF292" s="10" t="s">
        <v>44</v>
      </c>
      <c r="AG292" s="27"/>
    </row>
    <row r="293" ht="15.75" customHeight="1">
      <c r="A293" s="34" t="s">
        <v>660</v>
      </c>
      <c r="B293" s="35">
        <v>2500.0</v>
      </c>
      <c r="C293" s="15" t="s">
        <v>87</v>
      </c>
      <c r="D293" s="15" t="s">
        <v>661</v>
      </c>
      <c r="E293" s="15"/>
      <c r="F293" s="44">
        <v>4.0</v>
      </c>
      <c r="G293" s="33">
        <v>0.0</v>
      </c>
      <c r="H293" s="33">
        <v>0.0</v>
      </c>
      <c r="I293" s="29">
        <v>1.0</v>
      </c>
      <c r="J293" s="19" t="str">
        <f t="shared" si="16"/>
        <v>especial</v>
      </c>
      <c r="K293" s="20">
        <f t="shared" si="17"/>
        <v>2250</v>
      </c>
      <c r="L293" s="15"/>
      <c r="M293" s="20"/>
      <c r="N293" s="21">
        <v>0.0</v>
      </c>
      <c r="O293" s="22">
        <v>3.0</v>
      </c>
      <c r="P293" s="23" t="str">
        <f>IFERROR(__xludf.DUMMYFUNCTION("IFERROR(
  INDEX(
    QUERY(
      Historial!A:I,
      ""select I where B = '""&amp;A293&amp;""' order by A desc limit 1"",
      0
    ),
    1
  ),
  """"
)"),"")</f>
        <v/>
      </c>
      <c r="Q293" s="19" t="s">
        <v>43</v>
      </c>
      <c r="R293" s="24">
        <v>46143.0</v>
      </c>
      <c r="S293" s="20" t="str">
        <f>IFERROR(__xludf.DUMMYFUNCTION("IFERROR(
  INDEX(
    QUERY(
      Historial!A:G,
      ""select G where B = '""&amp;A293&amp;""' order by A desc limit 1"",
      0
    ),
    1
  ),
  """"
)"),"")</f>
        <v/>
      </c>
      <c r="T293" s="20" t="str">
        <f t="shared" si="3"/>
        <v/>
      </c>
      <c r="U293" s="20" t="str">
        <f t="shared" si="4"/>
        <v/>
      </c>
      <c r="V293" s="25">
        <v>0.0</v>
      </c>
      <c r="W293" s="26">
        <v>0.0</v>
      </c>
      <c r="X293" s="26">
        <v>0.0</v>
      </c>
      <c r="Y293" s="27"/>
      <c r="Z293" s="26">
        <v>10.0</v>
      </c>
      <c r="AA293" s="26">
        <v>0.0</v>
      </c>
      <c r="AB293" s="26">
        <v>0.0</v>
      </c>
      <c r="AC293" s="27"/>
      <c r="AD293" s="27"/>
      <c r="AE293" s="10" t="s">
        <v>38</v>
      </c>
      <c r="AF293" s="10" t="s">
        <v>44</v>
      </c>
      <c r="AG293" s="27"/>
    </row>
    <row r="294" ht="15.75" customHeight="1">
      <c r="A294" s="34" t="s">
        <v>662</v>
      </c>
      <c r="B294" s="35">
        <v>3000.0</v>
      </c>
      <c r="C294" s="15" t="s">
        <v>87</v>
      </c>
      <c r="D294" s="15" t="s">
        <v>663</v>
      </c>
      <c r="E294" s="15"/>
      <c r="F294" s="41">
        <v>4.0</v>
      </c>
      <c r="G294" s="33">
        <v>0.0</v>
      </c>
      <c r="H294" s="33">
        <v>0.0</v>
      </c>
      <c r="I294" s="29">
        <v>1.0</v>
      </c>
      <c r="J294" s="19" t="str">
        <f t="shared" si="16"/>
        <v>especial</v>
      </c>
      <c r="K294" s="20">
        <f t="shared" si="17"/>
        <v>2700</v>
      </c>
      <c r="L294" s="15"/>
      <c r="M294" s="20"/>
      <c r="N294" s="21">
        <v>0.0</v>
      </c>
      <c r="O294" s="22">
        <v>3.0</v>
      </c>
      <c r="P294" s="23" t="str">
        <f>IFERROR(__xludf.DUMMYFUNCTION("IFERROR(
  INDEX(
    QUERY(
      Historial!A:I,
      ""select I where B = '""&amp;A294&amp;""' order by A desc limit 1"",
      0
    ),
    1
  ),
  """"
)"),"")</f>
        <v/>
      </c>
      <c r="Q294" s="19" t="s">
        <v>51</v>
      </c>
      <c r="R294" s="24">
        <v>46145.0</v>
      </c>
      <c r="S294" s="20" t="str">
        <f>IFERROR(__xludf.DUMMYFUNCTION("IFERROR(
  INDEX(
    QUERY(
      Historial!A:G,
      ""select G where B = '""&amp;A294&amp;""' order by A desc limit 1"",
      0
    ),
    1
  ),
  """"
)"),"")</f>
        <v/>
      </c>
      <c r="T294" s="20" t="str">
        <f t="shared" si="3"/>
        <v/>
      </c>
      <c r="U294" s="20" t="str">
        <f t="shared" si="4"/>
        <v/>
      </c>
      <c r="V294" s="25">
        <v>0.0</v>
      </c>
      <c r="W294" s="26">
        <v>0.0</v>
      </c>
      <c r="X294" s="26">
        <v>0.0</v>
      </c>
      <c r="Y294" s="27"/>
      <c r="Z294" s="26">
        <v>10.0</v>
      </c>
      <c r="AA294" s="26">
        <v>0.0</v>
      </c>
      <c r="AB294" s="26">
        <v>0.0</v>
      </c>
      <c r="AC294" s="27"/>
      <c r="AD294" s="27"/>
      <c r="AE294" s="10" t="s">
        <v>38</v>
      </c>
      <c r="AF294" s="10" t="s">
        <v>44</v>
      </c>
      <c r="AG294" s="27"/>
    </row>
    <row r="295" ht="15.75" customHeight="1">
      <c r="A295" s="34" t="s">
        <v>664</v>
      </c>
      <c r="B295" s="35">
        <v>3500.0</v>
      </c>
      <c r="C295" s="15" t="s">
        <v>87</v>
      </c>
      <c r="D295" s="15" t="s">
        <v>665</v>
      </c>
      <c r="E295" s="15"/>
      <c r="F295" s="41">
        <v>4.0</v>
      </c>
      <c r="G295" s="17">
        <v>10.0</v>
      </c>
      <c r="H295" s="17">
        <v>0.0</v>
      </c>
      <c r="I295" s="18">
        <v>0.0</v>
      </c>
      <c r="J295" s="19" t="str">
        <f t="shared" si="16"/>
        <v>2da50off</v>
      </c>
      <c r="K295" s="20">
        <f t="shared" si="17"/>
        <v>2625</v>
      </c>
      <c r="L295" s="15"/>
      <c r="M295" s="20"/>
      <c r="N295" s="21">
        <v>0.0</v>
      </c>
      <c r="O295" s="22">
        <v>3.0</v>
      </c>
      <c r="P295" s="23" t="str">
        <f>IFERROR(__xludf.DUMMYFUNCTION("IFERROR(
  INDEX(
    QUERY(
      Historial!A:I,
      ""select I where B = '""&amp;A295&amp;""' order by A desc limit 1"",
      0
    ),
    1
  ),
  """"
)"),"")</f>
        <v/>
      </c>
      <c r="Q295" s="19" t="s">
        <v>51</v>
      </c>
      <c r="R295" s="24">
        <v>46152.0</v>
      </c>
      <c r="S295" s="20" t="str">
        <f>IFERROR(__xludf.DUMMYFUNCTION("IFERROR(
  INDEX(
    QUERY(
      Historial!A:G,
      ""select G where B = '""&amp;A295&amp;""' order by A desc limit 1"",
      0
    ),
    1
  ),
  """"
)"),"")</f>
        <v/>
      </c>
      <c r="T295" s="20" t="str">
        <f t="shared" si="3"/>
        <v/>
      </c>
      <c r="U295" s="20" t="str">
        <f t="shared" si="4"/>
        <v/>
      </c>
      <c r="V295" s="25">
        <v>0.0</v>
      </c>
      <c r="W295" s="26">
        <v>0.0</v>
      </c>
      <c r="X295" s="26">
        <v>0.0</v>
      </c>
      <c r="Y295" s="27"/>
      <c r="Z295" s="26">
        <v>10.0</v>
      </c>
      <c r="AA295" s="26">
        <v>0.0</v>
      </c>
      <c r="AB295" s="26">
        <v>0.0</v>
      </c>
      <c r="AC295" s="27"/>
      <c r="AD295" s="27"/>
      <c r="AE295" s="10" t="s">
        <v>38</v>
      </c>
      <c r="AF295" s="10" t="s">
        <v>44</v>
      </c>
      <c r="AG295" s="27"/>
    </row>
    <row r="296" ht="15.75" customHeight="1">
      <c r="A296" s="34" t="s">
        <v>666</v>
      </c>
      <c r="B296" s="35">
        <v>1500.0</v>
      </c>
      <c r="C296" s="15" t="s">
        <v>87</v>
      </c>
      <c r="D296" s="15" t="s">
        <v>667</v>
      </c>
      <c r="E296" s="15" t="s">
        <v>74</v>
      </c>
      <c r="F296" s="36">
        <v>1.0</v>
      </c>
      <c r="G296" s="33">
        <v>0.0</v>
      </c>
      <c r="H296" s="33">
        <v>0.0</v>
      </c>
      <c r="I296" s="29">
        <v>0.0</v>
      </c>
      <c r="J296" s="19" t="str">
        <f t="shared" si="16"/>
        <v>sin oferta</v>
      </c>
      <c r="K296" s="20" t="str">
        <f t="shared" si="17"/>
        <v>NORMAL / SIN OFERTA</v>
      </c>
      <c r="L296" s="15"/>
      <c r="M296" s="20"/>
      <c r="N296" s="21">
        <v>2.0</v>
      </c>
      <c r="O296" s="22">
        <v>2.0</v>
      </c>
      <c r="P296" s="23" t="str">
        <f>IFERROR(__xludf.DUMMYFUNCTION("IFERROR(
  INDEX(
    QUERY(
      Historial!A:I,
      ""select I where B = '""&amp;A296&amp;""' order by A desc limit 1"",
      0
    ),
    1
  ),
  """"
)"),"")</f>
        <v/>
      </c>
      <c r="Q296" s="19" t="s">
        <v>37</v>
      </c>
      <c r="R296" s="24">
        <v>46163.0</v>
      </c>
      <c r="S296" s="20" t="str">
        <f>IFERROR(__xludf.DUMMYFUNCTION("IFERROR(
  INDEX(
    QUERY(
      Historial!A:G,
      ""select G where B = '""&amp;A296&amp;""' order by A desc limit 1"",
      0
    ),
    1
  ),
  """"
)"),"")</f>
        <v/>
      </c>
      <c r="T296" s="20" t="str">
        <f t="shared" si="3"/>
        <v/>
      </c>
      <c r="U296" s="20" t="str">
        <f t="shared" si="4"/>
        <v/>
      </c>
      <c r="V296" s="25">
        <v>1.0</v>
      </c>
      <c r="W296" s="26">
        <v>2.0</v>
      </c>
      <c r="X296" s="26">
        <v>0.112</v>
      </c>
      <c r="Y296" s="26">
        <v>8.928571428571429</v>
      </c>
      <c r="Z296" s="26">
        <v>14.0</v>
      </c>
      <c r="AA296" s="26">
        <v>1.12</v>
      </c>
      <c r="AB296" s="26">
        <v>1.0</v>
      </c>
      <c r="AC296" s="27"/>
      <c r="AD296" s="26">
        <v>8.928571428571429</v>
      </c>
      <c r="AE296" s="10" t="s">
        <v>38</v>
      </c>
      <c r="AF296" s="10" t="s">
        <v>44</v>
      </c>
      <c r="AG296" s="27"/>
    </row>
    <row r="297" ht="15.75" customHeight="1">
      <c r="A297" s="34" t="s">
        <v>668</v>
      </c>
      <c r="B297" s="35">
        <v>1700.0</v>
      </c>
      <c r="C297" s="15" t="s">
        <v>87</v>
      </c>
      <c r="D297" s="15" t="s">
        <v>669</v>
      </c>
      <c r="E297" s="15"/>
      <c r="F297" s="41">
        <v>4.0</v>
      </c>
      <c r="G297" s="33">
        <v>0.0</v>
      </c>
      <c r="H297" s="33">
        <v>0.0</v>
      </c>
      <c r="I297" s="29">
        <v>1.0</v>
      </c>
      <c r="J297" s="19" t="str">
        <f t="array" ref="J297">IF(
  A297="",
  "",
  IF(
    F297=0,
    "sin stock",
    IF(
      NOT(OR(I297=0,I297=1)),
      "ERROR ESPECIAL",
      IF(
        NOT(ISNUMBER(MATCH(G297,{0;1;2;3;4;5;6;10;11;12;13;14},0))),
        "ERROR RELAMPAGO",
        IF(
          OR(H297&gt;70,AND(H297&gt;0,H297&lt;15)),
          "ERROR DESTACADA",
          IF(
            (I297=1)+(H297&gt;0)+(G297&gt;0)&gt;1,
            "ERROR DOBLE OFERTA",
            IF(
              I297=1,
              "especial",
              IF(
                H297&gt;0,
                "destacada",
                IF(
                  G297&gt;0,
                  IF(
                    OR(
                      AND(G297&lt;=6,F297&lt;(G297+1)),
                      AND(G297=10,F297&lt;2),
                      AND(G297&gt;=11,F297&lt;1)
                    ),
                    "REPONER "&amp;
                    IF(G297&lt;=6,G297+1-F297,
                       IF(G297=10,2-F297,
                          1-F297
                       )
                    )&amp;
                    " PARA PROMO",
                    IF(
                      G297&lt;=6,
                      "relampago "&amp;(G297+1)&amp;"x"&amp;G297,
                      IF(
                        G297=10,
                        "2da50off",
                        IF(
                          G297&gt;=11,
                          "relampago "&amp;CHOOSE(G297-10,10,15,20,25)&amp;"%",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especial</v>
      </c>
      <c r="K297" s="20">
        <f t="shared" si="17"/>
        <v>1530</v>
      </c>
      <c r="L297" s="15"/>
      <c r="M297" s="20"/>
      <c r="N297" s="21">
        <v>0.0</v>
      </c>
      <c r="O297" s="22">
        <v>3.0</v>
      </c>
      <c r="P297" s="23" t="str">
        <f>IFERROR(__xludf.DUMMYFUNCTION("IFERROR(
  INDEX(
    QUERY(
      Historial!A:I,
      ""select I where B = '""&amp;A297&amp;""' order by A desc limit 1"",
      0
    ),
    1
  ),
  """"
)"),"")</f>
        <v/>
      </c>
      <c r="Q297" s="19" t="s">
        <v>51</v>
      </c>
      <c r="R297" s="24">
        <v>46173.0</v>
      </c>
      <c r="S297" s="20" t="str">
        <f>IFERROR(__xludf.DUMMYFUNCTION("IFERROR(
  INDEX(
    QUERY(
      Historial!A:G,
      ""select G where B = '""&amp;A297&amp;""' order by A desc limit 1"",
      0
    ),
    1
  ),
  """"
)"),"")</f>
        <v/>
      </c>
      <c r="T297" s="20" t="str">
        <f t="shared" si="3"/>
        <v/>
      </c>
      <c r="U297" s="20" t="str">
        <f t="shared" si="4"/>
        <v/>
      </c>
      <c r="V297" s="25">
        <v>0.0</v>
      </c>
      <c r="W297" s="26">
        <v>0.0</v>
      </c>
      <c r="X297" s="26">
        <v>0.0</v>
      </c>
      <c r="Y297" s="27"/>
      <c r="Z297" s="26">
        <v>21.0</v>
      </c>
      <c r="AA297" s="26">
        <v>0.0</v>
      </c>
      <c r="AB297" s="26">
        <v>0.0</v>
      </c>
      <c r="AC297" s="27"/>
      <c r="AD297" s="27"/>
      <c r="AE297" s="10" t="s">
        <v>38</v>
      </c>
      <c r="AF297" s="10" t="s">
        <v>44</v>
      </c>
      <c r="AG297" s="27"/>
    </row>
    <row r="298" ht="15.75" customHeight="1">
      <c r="A298" s="71" t="s">
        <v>670</v>
      </c>
      <c r="B298" s="38">
        <v>3500.0</v>
      </c>
      <c r="C298" s="37" t="s">
        <v>87</v>
      </c>
      <c r="D298" s="15" t="s">
        <v>671</v>
      </c>
      <c r="E298" s="15" t="s">
        <v>74</v>
      </c>
      <c r="F298" s="44">
        <v>2.0</v>
      </c>
      <c r="G298" s="33">
        <v>0.0</v>
      </c>
      <c r="H298" s="33">
        <v>0.0</v>
      </c>
      <c r="I298" s="29">
        <v>0.0</v>
      </c>
      <c r="J298" s="19" t="str">
        <f t="shared" ref="J298:J329" si="18">IF(
A298="",
"",
IF(
F298=0,
"sin stock",
IF(
NOT(OR(I298=0,I298=1)),
"ERROR ESPECIAL",
IF(
NOT(ISNUMBER(MATCH(G298,{0;1;2;3;4;5;6;10;11;12;13;14},0))),
"ERROR RELAMPAGO",
IF(
OR(H298&gt;70,AND(H298&gt;0,H298&lt;15)),
"ERROR DESTACADA",
IF(
(I298=1)+(H298&gt;0)+(G298&gt;0)&gt;1,
"ERROR DOBLE OFERTA",
IF(
I298=1,
"especial",
IF(
H298&gt;0,
"destacada",
IF(
G298&gt;0,
IF(
OR(
AND(G298&lt;=6,F298&lt;(G298+1)),
AND(G298=10,F298&lt;2),
AND(G298&gt;=11,F298&lt;1)
),
"REPONER "&amp;
IF(G298&lt;=6,G298+1-F298,
IF(G298=10,2-F298,
1-
F298)
)&amp;
" PARA PROMO",
IF(
G298&lt;=6,
"relampago "&amp;(G298+1)&amp;"x"&amp;G298,
IF(
G298=10,
"2da50off",
IF(
G298&gt;=11,
"relampago "&amp;CHOOSE(G298-10,10,15,20,25)&amp;"%",
"relampago"
)
)
)
),
"sin oferta"
)
)
)
)
)
)
)
)
)</f>
        <v>sin oferta</v>
      </c>
      <c r="K298" s="20" t="str">
        <f t="shared" si="17"/>
        <v>NORMAL / SIN OFERTA</v>
      </c>
      <c r="L298" s="15"/>
      <c r="M298" s="20"/>
      <c r="N298" s="21">
        <v>0.0</v>
      </c>
      <c r="O298" s="22">
        <v>2.0</v>
      </c>
      <c r="P298" s="23" t="str">
        <f>IFERROR(__xludf.DUMMYFUNCTION("IFERROR(
  INDEX(
    QUERY(
      Historial!A:I,
      ""select I where B = '""&amp;A298&amp;""' order by A desc limit 1"",
      0
    ),
    1
  ),
  """"
)"),"")</f>
        <v/>
      </c>
      <c r="Q298" s="19" t="s">
        <v>60</v>
      </c>
      <c r="R298" s="24">
        <v>46175.0</v>
      </c>
      <c r="S298" s="20">
        <f>IFERROR(__xludf.DUMMYFUNCTION("IFERROR(
  INDEX(
    QUERY(
      Historial!A:G,
      ""select G where B = '""&amp;A298&amp;""' order by A desc limit 1"",
      0
    ),
    1
  ),
  """"
)"),2300.0)</f>
        <v>2300</v>
      </c>
      <c r="T298" s="20" t="str">
        <f t="shared" si="3"/>
        <v/>
      </c>
      <c r="U298" s="20" t="str">
        <f t="shared" si="4"/>
        <v/>
      </c>
      <c r="V298" s="25">
        <v>0.0</v>
      </c>
      <c r="W298" s="26">
        <v>0.0</v>
      </c>
      <c r="X298" s="26">
        <v>0.0</v>
      </c>
      <c r="Y298" s="27"/>
      <c r="Z298" s="26">
        <v>14.0</v>
      </c>
      <c r="AA298" s="26">
        <v>0.0</v>
      </c>
      <c r="AB298" s="26">
        <v>0.0</v>
      </c>
      <c r="AC298" s="27"/>
      <c r="AD298" s="27"/>
      <c r="AE298" s="10" t="s">
        <v>38</v>
      </c>
      <c r="AF298" s="10" t="s">
        <v>44</v>
      </c>
      <c r="AG298" s="27"/>
    </row>
    <row r="299" ht="15.75" customHeight="1">
      <c r="A299" s="34" t="s">
        <v>672</v>
      </c>
      <c r="B299" s="35">
        <v>600.0</v>
      </c>
      <c r="C299" s="15" t="s">
        <v>87</v>
      </c>
      <c r="D299" s="15" t="s">
        <v>673</v>
      </c>
      <c r="E299" s="15" t="s">
        <v>47</v>
      </c>
      <c r="F299" s="41">
        <v>2.0</v>
      </c>
      <c r="G299" s="15">
        <v>0.0</v>
      </c>
      <c r="H299" s="33">
        <v>0.0</v>
      </c>
      <c r="I299" s="19">
        <v>0.0</v>
      </c>
      <c r="J299" s="19" t="str">
        <f t="shared" si="18"/>
        <v>sin oferta</v>
      </c>
      <c r="K299" s="20" t="str">
        <f t="shared" si="17"/>
        <v>NORMAL / SIN OFERTA</v>
      </c>
      <c r="L299" s="20"/>
      <c r="M299" s="20"/>
      <c r="N299" s="21">
        <v>0.0</v>
      </c>
      <c r="O299" s="22">
        <v>2.0</v>
      </c>
      <c r="P299" s="23" t="str">
        <f>IFERROR(__xludf.DUMMYFUNCTION("IFERROR(
  INDEX(
    QUERY(
      Historial!A:I,
      ""select I where B = '""&amp;A299&amp;""' order by A desc limit 1"",
      0
    ),
    1
  ),
  """"
)"),"")</f>
        <v/>
      </c>
      <c r="Q299" s="19" t="s">
        <v>57</v>
      </c>
      <c r="R299" s="24">
        <v>46188.0</v>
      </c>
      <c r="S299" s="20" t="str">
        <f>IFERROR(__xludf.DUMMYFUNCTION("IFERROR(
  INDEX(
    QUERY(
      Historial!A:G,
      ""select G where B = '""&amp;A299&amp;""' order by A desc limit 1"",
      0
    ),
    1
  ),
  """"
)"),"")</f>
        <v/>
      </c>
      <c r="T299" s="20" t="str">
        <f t="shared" si="3"/>
        <v/>
      </c>
      <c r="U299" s="20" t="str">
        <f t="shared" si="4"/>
        <v/>
      </c>
      <c r="V299" s="25">
        <v>0.0</v>
      </c>
      <c r="W299" s="26">
        <v>0.0</v>
      </c>
      <c r="X299" s="26">
        <v>0.0</v>
      </c>
      <c r="Y299" s="27"/>
      <c r="Z299" s="26">
        <v>14.0</v>
      </c>
      <c r="AA299" s="26">
        <v>0.0</v>
      </c>
      <c r="AB299" s="26">
        <v>0.0</v>
      </c>
      <c r="AC299" s="27"/>
      <c r="AD299" s="27"/>
      <c r="AE299" s="10" t="s">
        <v>38</v>
      </c>
      <c r="AF299" s="10" t="s">
        <v>44</v>
      </c>
      <c r="AG299" s="27"/>
    </row>
    <row r="300" ht="15.75" customHeight="1">
      <c r="A300" s="31" t="s">
        <v>674</v>
      </c>
      <c r="B300" s="20">
        <v>2200.0</v>
      </c>
      <c r="C300" s="20" t="s">
        <v>87</v>
      </c>
      <c r="D300" s="15" t="s">
        <v>675</v>
      </c>
      <c r="E300" s="15"/>
      <c r="F300" s="41">
        <v>2.0</v>
      </c>
      <c r="G300" s="33">
        <v>0.0</v>
      </c>
      <c r="H300" s="33">
        <v>0.0</v>
      </c>
      <c r="I300" s="29">
        <v>1.0</v>
      </c>
      <c r="J300" s="19" t="str">
        <f t="shared" si="18"/>
        <v>especial</v>
      </c>
      <c r="K300" s="20">
        <f t="shared" si="17"/>
        <v>1980</v>
      </c>
      <c r="L300" s="15">
        <v>0.0</v>
      </c>
      <c r="M300" s="20"/>
      <c r="N300" s="21">
        <v>0.0</v>
      </c>
      <c r="O300" s="22">
        <v>2.0</v>
      </c>
      <c r="P300" s="23" t="str">
        <f>IFERROR(__xludf.DUMMYFUNCTION("IFERROR(
  INDEX(
    QUERY(
      Historial!A:I,
      ""select I where B = '""&amp;A300&amp;""' order by A desc limit 1"",
      0
    ),
    1
  ),
  """"
)"),"")</f>
        <v/>
      </c>
      <c r="Q300" s="19" t="s">
        <v>43</v>
      </c>
      <c r="R300" s="24">
        <v>46199.0</v>
      </c>
      <c r="S300" s="20" t="str">
        <f>IFERROR(__xludf.DUMMYFUNCTION("IFERROR(
  INDEX(
    QUERY(
      Historial!A:G,
      ""select G where B = '""&amp;A300&amp;""' order by A desc limit 1"",
      0
    ),
    1
  ),
  """"
)"),"")</f>
        <v/>
      </c>
      <c r="T300" s="20" t="str">
        <f t="shared" si="3"/>
        <v/>
      </c>
      <c r="U300" s="20" t="str">
        <f t="shared" si="4"/>
        <v/>
      </c>
      <c r="V300" s="25">
        <v>0.0</v>
      </c>
      <c r="W300" s="26">
        <v>0.0</v>
      </c>
      <c r="X300" s="26">
        <v>0.0</v>
      </c>
      <c r="Y300" s="27"/>
      <c r="Z300" s="26">
        <v>14.0</v>
      </c>
      <c r="AA300" s="26">
        <v>0.0</v>
      </c>
      <c r="AB300" s="26">
        <v>0.0</v>
      </c>
      <c r="AC300" s="27"/>
      <c r="AD300" s="27"/>
      <c r="AE300" s="10" t="s">
        <v>38</v>
      </c>
      <c r="AF300" s="10" t="s">
        <v>44</v>
      </c>
      <c r="AG300" s="27"/>
    </row>
    <row r="301" ht="15.75" customHeight="1">
      <c r="A301" s="34" t="s">
        <v>676</v>
      </c>
      <c r="B301" s="35">
        <v>2000.0</v>
      </c>
      <c r="C301" s="15" t="s">
        <v>87</v>
      </c>
      <c r="D301" s="15" t="s">
        <v>677</v>
      </c>
      <c r="E301" s="15"/>
      <c r="F301" s="41">
        <v>0.0</v>
      </c>
      <c r="G301" s="33">
        <v>0.0</v>
      </c>
      <c r="H301" s="33">
        <v>0.0</v>
      </c>
      <c r="I301" s="29">
        <v>0.0</v>
      </c>
      <c r="J301" s="19" t="str">
        <f t="shared" si="18"/>
        <v>sin stock</v>
      </c>
      <c r="K301" s="20" t="str">
        <f t="shared" si="17"/>
        <v>SIN STOCK / CARGAR STOCK</v>
      </c>
      <c r="L301" s="15"/>
      <c r="M301" s="20"/>
      <c r="N301" s="21">
        <v>1.0</v>
      </c>
      <c r="O301" s="22">
        <v>2.0</v>
      </c>
      <c r="P301" s="23" t="str">
        <f>IFERROR(__xludf.DUMMYFUNCTION("IFERROR(
  INDEX(
    QUERY(
      Historial!A:I,
      ""select I where B = '""&amp;A301&amp;""' order by A desc limit 1"",
      0
    ),
    1
  ),
  """"
)"),"")</f>
        <v/>
      </c>
      <c r="Q301" s="19" t="s">
        <v>60</v>
      </c>
      <c r="R301" s="24">
        <v>46203.0</v>
      </c>
      <c r="S301" s="20" t="str">
        <f>IFERROR(__xludf.DUMMYFUNCTION("IFERROR(
  INDEX(
    QUERY(
      Historial!A:G,
      ""select G where B = '""&amp;A301&amp;""' order by A desc limit 1"",
      0
    ),
    1
  ),
  """"
)"),"")</f>
        <v/>
      </c>
      <c r="T301" s="20" t="str">
        <f t="shared" si="3"/>
        <v/>
      </c>
      <c r="U301" s="20" t="str">
        <f t="shared" si="4"/>
        <v/>
      </c>
      <c r="V301" s="25">
        <v>0.0</v>
      </c>
      <c r="W301" s="26">
        <v>1.0</v>
      </c>
      <c r="X301" s="26">
        <v>0.013</v>
      </c>
      <c r="Y301" s="26">
        <v>0.0</v>
      </c>
      <c r="Z301" s="26">
        <v>14.0</v>
      </c>
      <c r="AA301" s="26">
        <v>0.13</v>
      </c>
      <c r="AB301" s="26">
        <v>1.0</v>
      </c>
      <c r="AC301" s="27"/>
      <c r="AD301" s="26">
        <v>0.0</v>
      </c>
      <c r="AE301" s="10" t="s">
        <v>38</v>
      </c>
      <c r="AF301" s="10" t="s">
        <v>44</v>
      </c>
      <c r="AG301" s="27"/>
    </row>
    <row r="302" ht="15.75" customHeight="1">
      <c r="A302" s="28" t="s">
        <v>678</v>
      </c>
      <c r="B302" s="18">
        <v>3300.0</v>
      </c>
      <c r="C302" s="19" t="s">
        <v>87</v>
      </c>
      <c r="D302" s="15" t="s">
        <v>679</v>
      </c>
      <c r="E302" s="19" t="s">
        <v>147</v>
      </c>
      <c r="F302" s="72">
        <v>1.0</v>
      </c>
      <c r="G302" s="17">
        <v>11.0</v>
      </c>
      <c r="H302" s="17">
        <v>0.0</v>
      </c>
      <c r="I302" s="18">
        <v>0.0</v>
      </c>
      <c r="J302" s="19" t="str">
        <f t="shared" si="18"/>
        <v>relampago 10%</v>
      </c>
      <c r="K302" s="20" t="str">
        <f t="shared" si="17"/>
        <v>#N/A</v>
      </c>
      <c r="L302" s="15"/>
      <c r="M302" s="20"/>
      <c r="N302" s="21">
        <v>3.0</v>
      </c>
      <c r="O302" s="22">
        <v>3.0</v>
      </c>
      <c r="P302" s="23">
        <f>IFERROR(__xludf.DUMMYFUNCTION("IFERROR(
  INDEX(
    QUERY(
      Historial!A:I,
      ""select I where B = '""&amp;A302&amp;""' order by A desc limit 1"",
      0
    ),
    1
  ),
  """"
)"),46093.0)</f>
        <v>46093</v>
      </c>
      <c r="Q302" s="19" t="s">
        <v>57</v>
      </c>
      <c r="R302" s="24">
        <v>46216.0</v>
      </c>
      <c r="S302" s="20" t="str">
        <f>IFERROR(__xludf.DUMMYFUNCTION("IFERROR(
  INDEX(
    QUERY(
      Historial!A:G,
      ""select G where B = '""&amp;A302&amp;""' order by A desc limit 1"",
      0
    ),
    1
  ),
  """"
)"),"")</f>
        <v/>
      </c>
      <c r="T302" s="20" t="str">
        <f t="shared" si="3"/>
        <v>⚠️ PRONTO</v>
      </c>
      <c r="U302" s="20" t="str">
        <f t="shared" si="4"/>
        <v>1 días</v>
      </c>
      <c r="V302" s="25">
        <v>1.0</v>
      </c>
      <c r="W302" s="26">
        <v>1.0</v>
      </c>
      <c r="X302" s="26">
        <v>0.099</v>
      </c>
      <c r="Y302" s="26">
        <v>10.1010101010101</v>
      </c>
      <c r="Z302" s="26">
        <v>21.0</v>
      </c>
      <c r="AA302" s="26">
        <v>0.6930000000000001</v>
      </c>
      <c r="AB302" s="26">
        <v>2.0</v>
      </c>
      <c r="AC302" s="26">
        <v>1.0</v>
      </c>
      <c r="AD302" s="26">
        <v>10.1010101010101</v>
      </c>
      <c r="AE302" s="10" t="s">
        <v>52</v>
      </c>
      <c r="AF302" s="10" t="s">
        <v>53</v>
      </c>
      <c r="AG302" s="27"/>
    </row>
    <row r="303" ht="15.75" customHeight="1">
      <c r="A303" s="28" t="s">
        <v>680</v>
      </c>
      <c r="B303" s="18">
        <v>3300.0</v>
      </c>
      <c r="C303" s="19" t="s">
        <v>87</v>
      </c>
      <c r="D303" s="15" t="s">
        <v>681</v>
      </c>
      <c r="E303" s="15"/>
      <c r="F303" s="42">
        <v>2.0</v>
      </c>
      <c r="G303" s="33">
        <v>0.0</v>
      </c>
      <c r="H303" s="33">
        <v>0.0</v>
      </c>
      <c r="I303" s="29">
        <v>0.0</v>
      </c>
      <c r="J303" s="19" t="str">
        <f t="shared" si="18"/>
        <v>sin oferta</v>
      </c>
      <c r="K303" s="20" t="str">
        <f t="shared" si="17"/>
        <v>NORMAL / SIN OFERTA</v>
      </c>
      <c r="L303" s="15"/>
      <c r="M303" s="20"/>
      <c r="N303" s="21">
        <v>0.0</v>
      </c>
      <c r="O303" s="22">
        <v>2.0</v>
      </c>
      <c r="P303" s="23" t="str">
        <f>IFERROR(__xludf.DUMMYFUNCTION("IFERROR(
  INDEX(
    QUERY(
      Historial!A:I,
      ""select I where B = '""&amp;A303&amp;""' order by A desc limit 1"",
      0
    ),
    1
  ),
  """"
)"),"")</f>
        <v/>
      </c>
      <c r="Q303" s="19" t="s">
        <v>37</v>
      </c>
      <c r="R303" s="24">
        <v>46219.0</v>
      </c>
      <c r="S303" s="20" t="str">
        <f>IFERROR(__xludf.DUMMYFUNCTION("IFERROR(
  INDEX(
    QUERY(
      Historial!A:G,
      ""select G where B = '""&amp;A303&amp;""' order by A desc limit 1"",
      0
    ),
    1
  ),
  """"
)"),"")</f>
        <v/>
      </c>
      <c r="T303" s="20" t="str">
        <f t="shared" si="3"/>
        <v/>
      </c>
      <c r="U303" s="20" t="str">
        <f t="shared" si="4"/>
        <v/>
      </c>
      <c r="V303" s="25">
        <v>0.0</v>
      </c>
      <c r="W303" s="26">
        <v>0.0</v>
      </c>
      <c r="X303" s="26">
        <v>0.0</v>
      </c>
      <c r="Y303" s="27"/>
      <c r="Z303" s="26">
        <v>21.0</v>
      </c>
      <c r="AA303" s="26">
        <v>0.0</v>
      </c>
      <c r="AB303" s="26">
        <v>0.0</v>
      </c>
      <c r="AC303" s="27"/>
      <c r="AD303" s="27"/>
      <c r="AE303" s="10" t="s">
        <v>38</v>
      </c>
      <c r="AF303" s="10" t="s">
        <v>44</v>
      </c>
      <c r="AG303" s="27"/>
    </row>
    <row r="304" ht="15.75" customHeight="1">
      <c r="A304" s="34" t="s">
        <v>682</v>
      </c>
      <c r="B304" s="35">
        <v>1500.0</v>
      </c>
      <c r="C304" s="15" t="s">
        <v>87</v>
      </c>
      <c r="D304" s="15" t="s">
        <v>683</v>
      </c>
      <c r="E304" s="15" t="s">
        <v>355</v>
      </c>
      <c r="F304" s="41">
        <v>0.0</v>
      </c>
      <c r="G304" s="33">
        <v>0.0</v>
      </c>
      <c r="H304" s="33">
        <v>0.0</v>
      </c>
      <c r="I304" s="29">
        <v>0.0</v>
      </c>
      <c r="J304" s="19" t="str">
        <f t="shared" si="18"/>
        <v>sin stock</v>
      </c>
      <c r="K304" s="20" t="str">
        <f t="shared" si="17"/>
        <v>SIN STOCK / CARGAR STOCK</v>
      </c>
      <c r="L304" s="15"/>
      <c r="M304" s="20"/>
      <c r="N304" s="21">
        <v>1.0</v>
      </c>
      <c r="O304" s="22">
        <v>2.0</v>
      </c>
      <c r="P304" s="23" t="str">
        <f>IFERROR(__xludf.DUMMYFUNCTION("IFERROR(
  INDEX(
    QUERY(
      Historial!A:I,
      ""select I where B = '""&amp;A304&amp;""' order by A desc limit 1"",
      0
    ),
    1
  ),
  """"
)"),"")</f>
        <v/>
      </c>
      <c r="Q304" s="19" t="s">
        <v>51</v>
      </c>
      <c r="R304" s="24">
        <v>46229.0</v>
      </c>
      <c r="S304" s="20">
        <f>IFERROR(__xludf.DUMMYFUNCTION("IFERROR(
  INDEX(
    QUERY(
      Historial!A:G,
      ""select G where B = '""&amp;A304&amp;""' order by A desc limit 1"",
      0
    ),
    1
  ),
  """"
)"),1000.0)</f>
        <v>1000</v>
      </c>
      <c r="T304" s="20" t="str">
        <f t="shared" si="3"/>
        <v/>
      </c>
      <c r="U304" s="20" t="str">
        <f t="shared" si="4"/>
        <v/>
      </c>
      <c r="V304" s="25">
        <v>0.0</v>
      </c>
      <c r="W304" s="26">
        <v>1.0</v>
      </c>
      <c r="X304" s="26">
        <v>0.013</v>
      </c>
      <c r="Y304" s="26">
        <v>0.0</v>
      </c>
      <c r="Z304" s="26">
        <v>14.0</v>
      </c>
      <c r="AA304" s="26">
        <v>0.13</v>
      </c>
      <c r="AB304" s="26">
        <v>1.0</v>
      </c>
      <c r="AC304" s="27"/>
      <c r="AD304" s="26">
        <v>0.0</v>
      </c>
      <c r="AE304" s="10" t="s">
        <v>38</v>
      </c>
      <c r="AF304" s="10" t="s">
        <v>44</v>
      </c>
      <c r="AG304" s="27"/>
    </row>
    <row r="305" ht="15.75" customHeight="1">
      <c r="A305" s="34" t="s">
        <v>684</v>
      </c>
      <c r="B305" s="35">
        <v>3500.0</v>
      </c>
      <c r="C305" s="15" t="s">
        <v>87</v>
      </c>
      <c r="D305" s="15" t="s">
        <v>685</v>
      </c>
      <c r="E305" s="15"/>
      <c r="F305" s="41">
        <v>2.0</v>
      </c>
      <c r="G305" s="17">
        <v>10.0</v>
      </c>
      <c r="H305" s="17">
        <v>0.0</v>
      </c>
      <c r="I305" s="18">
        <v>0.0</v>
      </c>
      <c r="J305" s="19" t="str">
        <f t="shared" si="18"/>
        <v>2da50off</v>
      </c>
      <c r="K305" s="20">
        <f t="shared" si="17"/>
        <v>2625</v>
      </c>
      <c r="L305" s="15"/>
      <c r="M305" s="20"/>
      <c r="N305" s="21">
        <v>0.0</v>
      </c>
      <c r="O305" s="22">
        <v>2.0</v>
      </c>
      <c r="P305" s="23" t="str">
        <f>IFERROR(__xludf.DUMMYFUNCTION("IFERROR(
  INDEX(
    QUERY(
      Historial!A:I,
      ""select I where B = '""&amp;A305&amp;""' order by A desc limit 1"",
      0
    ),
    1
  ),
  """"
)"),"")</f>
        <v/>
      </c>
      <c r="Q305" s="19" t="s">
        <v>57</v>
      </c>
      <c r="R305" s="24">
        <v>46244.0</v>
      </c>
      <c r="S305" s="20">
        <f>IFERROR(__xludf.DUMMYFUNCTION("IFERROR(
  INDEX(
    QUERY(
      Historial!A:G,
      ""select G where B = '""&amp;A305&amp;""' order by A desc limit 1"",
      0
    ),
    1
  ),
  """"
)"),2200.0)</f>
        <v>2200</v>
      </c>
      <c r="T305" s="20" t="str">
        <f t="shared" si="3"/>
        <v/>
      </c>
      <c r="U305" s="20" t="str">
        <f t="shared" si="4"/>
        <v/>
      </c>
      <c r="V305" s="25">
        <v>0.0</v>
      </c>
      <c r="W305" s="26">
        <v>0.0</v>
      </c>
      <c r="X305" s="26">
        <v>0.0</v>
      </c>
      <c r="Y305" s="27"/>
      <c r="Z305" s="26">
        <v>21.0</v>
      </c>
      <c r="AA305" s="26">
        <v>0.0</v>
      </c>
      <c r="AB305" s="26">
        <v>0.0</v>
      </c>
      <c r="AC305" s="27"/>
      <c r="AD305" s="27"/>
      <c r="AE305" s="10" t="s">
        <v>38</v>
      </c>
      <c r="AF305" s="10" t="s">
        <v>44</v>
      </c>
      <c r="AG305" s="27"/>
    </row>
    <row r="306" ht="15.75" customHeight="1">
      <c r="A306" s="34" t="s">
        <v>686</v>
      </c>
      <c r="B306" s="35">
        <v>6500.0</v>
      </c>
      <c r="C306" s="15" t="s">
        <v>87</v>
      </c>
      <c r="D306" s="15" t="s">
        <v>687</v>
      </c>
      <c r="E306" s="15"/>
      <c r="F306" s="41">
        <v>2.0</v>
      </c>
      <c r="G306" s="33">
        <v>0.0</v>
      </c>
      <c r="H306" s="33">
        <v>0.0</v>
      </c>
      <c r="I306" s="29">
        <v>0.0</v>
      </c>
      <c r="J306" s="19" t="str">
        <f t="shared" si="18"/>
        <v>sin oferta</v>
      </c>
      <c r="K306" s="20" t="str">
        <f t="shared" si="17"/>
        <v>NORMAL / SIN OFERTA</v>
      </c>
      <c r="L306" s="15"/>
      <c r="M306" s="20"/>
      <c r="N306" s="21">
        <v>0.0</v>
      </c>
      <c r="O306" s="22">
        <v>2.0</v>
      </c>
      <c r="P306" s="23" t="str">
        <f>IFERROR(__xludf.DUMMYFUNCTION("IFERROR(
  INDEX(
    QUERY(
      Historial!A:I,
      ""select I where B = '""&amp;A306&amp;""' order by A desc limit 1"",
      0
    ),
    1
  ),
  """"
)"),"")</f>
        <v/>
      </c>
      <c r="Q306" s="19" t="s">
        <v>60</v>
      </c>
      <c r="R306" s="24">
        <v>46245.0</v>
      </c>
      <c r="S306" s="20">
        <f>IFERROR(__xludf.DUMMYFUNCTION("IFERROR(
  INDEX(
    QUERY(
      Historial!A:G,
      ""select G where B = '""&amp;A306&amp;""' order by A desc limit 1"",
      0
    ),
    1
  ),
  """"
)"),4200.0)</f>
        <v>4200</v>
      </c>
      <c r="T306" s="20" t="str">
        <f t="shared" si="3"/>
        <v/>
      </c>
      <c r="U306" s="20" t="str">
        <f t="shared" si="4"/>
        <v/>
      </c>
      <c r="V306" s="25">
        <v>0.0</v>
      </c>
      <c r="W306" s="26">
        <v>0.0</v>
      </c>
      <c r="X306" s="26">
        <v>0.0</v>
      </c>
      <c r="Y306" s="27"/>
      <c r="Z306" s="26">
        <v>14.0</v>
      </c>
      <c r="AA306" s="26">
        <v>0.0</v>
      </c>
      <c r="AB306" s="26">
        <v>0.0</v>
      </c>
      <c r="AC306" s="27"/>
      <c r="AD306" s="27"/>
      <c r="AE306" s="10" t="s">
        <v>38</v>
      </c>
      <c r="AF306" s="10" t="s">
        <v>44</v>
      </c>
      <c r="AG306" s="27"/>
    </row>
    <row r="307" ht="15.75" customHeight="1">
      <c r="A307" s="34" t="s">
        <v>688</v>
      </c>
      <c r="B307" s="35">
        <v>2500.0</v>
      </c>
      <c r="C307" s="15" t="s">
        <v>87</v>
      </c>
      <c r="D307" s="15" t="s">
        <v>689</v>
      </c>
      <c r="E307" s="15"/>
      <c r="F307" s="41">
        <v>4.0</v>
      </c>
      <c r="G307" s="17">
        <v>2.0</v>
      </c>
      <c r="H307" s="17">
        <v>0.0</v>
      </c>
      <c r="I307" s="18">
        <v>0.0</v>
      </c>
      <c r="J307" s="19" t="str">
        <f t="shared" si="18"/>
        <v>relampago 3x2</v>
      </c>
      <c r="K307" s="20">
        <f t="shared" si="17"/>
        <v>1666.75</v>
      </c>
      <c r="L307" s="15"/>
      <c r="M307" s="20"/>
      <c r="N307" s="21">
        <v>0.0</v>
      </c>
      <c r="O307" s="22">
        <v>3.0</v>
      </c>
      <c r="P307" s="23" t="str">
        <f>IFERROR(__xludf.DUMMYFUNCTION("IFERROR(
  INDEX(
    QUERY(
      Historial!A:I,
      ""select I where B = '""&amp;A307&amp;""' order by A desc limit 1"",
      0
    ),
    1
  ),
  """"
)"),"")</f>
        <v/>
      </c>
      <c r="Q307" s="19" t="s">
        <v>63</v>
      </c>
      <c r="R307" s="24">
        <v>46246.0</v>
      </c>
      <c r="S307" s="20" t="str">
        <f>IFERROR(__xludf.DUMMYFUNCTION("IFERROR(
  INDEX(
    QUERY(
      Historial!A:G,
      ""select G where B = '""&amp;A307&amp;""' order by A desc limit 1"",
      0
    ),
    1
  ),
  """"
)"),"")</f>
        <v/>
      </c>
      <c r="T307" s="20" t="str">
        <f t="shared" si="3"/>
        <v/>
      </c>
      <c r="U307" s="20" t="str">
        <f t="shared" si="4"/>
        <v/>
      </c>
      <c r="V307" s="25">
        <v>0.0</v>
      </c>
      <c r="W307" s="26">
        <v>0.0</v>
      </c>
      <c r="X307" s="26">
        <v>0.0</v>
      </c>
      <c r="Y307" s="27"/>
      <c r="Z307" s="26">
        <v>10.0</v>
      </c>
      <c r="AA307" s="26">
        <v>0.0</v>
      </c>
      <c r="AB307" s="26">
        <v>0.0</v>
      </c>
      <c r="AC307" s="27"/>
      <c r="AD307" s="27"/>
      <c r="AE307" s="10" t="s">
        <v>38</v>
      </c>
      <c r="AF307" s="10" t="s">
        <v>44</v>
      </c>
      <c r="AG307" s="27"/>
    </row>
    <row r="308" ht="15.75" customHeight="1">
      <c r="A308" s="31" t="s">
        <v>690</v>
      </c>
      <c r="B308" s="20">
        <v>1600.0</v>
      </c>
      <c r="C308" s="20" t="s">
        <v>87</v>
      </c>
      <c r="D308" s="15" t="s">
        <v>691</v>
      </c>
      <c r="E308" s="15"/>
      <c r="F308" s="41">
        <v>0.0</v>
      </c>
      <c r="G308" s="33">
        <v>0.0</v>
      </c>
      <c r="H308" s="33">
        <v>0.0</v>
      </c>
      <c r="I308" s="29">
        <v>0.0</v>
      </c>
      <c r="J308" s="19" t="str">
        <f t="shared" si="18"/>
        <v>sin stock</v>
      </c>
      <c r="K308" s="20" t="str">
        <f t="shared" si="17"/>
        <v>SIN STOCK / CARGAR STOCK</v>
      </c>
      <c r="L308" s="15">
        <v>0.0</v>
      </c>
      <c r="M308" s="20"/>
      <c r="N308" s="21">
        <v>1.0</v>
      </c>
      <c r="O308" s="22">
        <v>2.0</v>
      </c>
      <c r="P308" s="23" t="str">
        <f>IFERROR(__xludf.DUMMYFUNCTION("IFERROR(
  INDEX(
    QUERY(
      Historial!A:I,
      ""select I where B = '""&amp;A308&amp;""' order by A desc limit 1"",
      0
    ),
    1
  ),
  """"
)"),"")</f>
        <v/>
      </c>
      <c r="Q308" s="19" t="s">
        <v>48</v>
      </c>
      <c r="R308" s="24">
        <v>46249.0</v>
      </c>
      <c r="S308" s="20">
        <f>IFERROR(__xludf.DUMMYFUNCTION("IFERROR(
  INDEX(
    QUERY(
      Historial!A:G,
      ""select G where B = '""&amp;A308&amp;""' order by A desc limit 1"",
      0
    ),
    1
  ),
  """"
)"),1200.0)</f>
        <v>1200</v>
      </c>
      <c r="T308" s="20" t="str">
        <f t="shared" si="3"/>
        <v/>
      </c>
      <c r="U308" s="20" t="str">
        <f t="shared" si="4"/>
        <v/>
      </c>
      <c r="V308" s="25">
        <v>0.0</v>
      </c>
      <c r="W308" s="26">
        <v>1.0</v>
      </c>
      <c r="X308" s="26">
        <v>0.013</v>
      </c>
      <c r="Y308" s="26">
        <v>0.0</v>
      </c>
      <c r="Z308" s="26">
        <v>14.0</v>
      </c>
      <c r="AA308" s="26">
        <v>0.13</v>
      </c>
      <c r="AB308" s="26">
        <v>1.0</v>
      </c>
      <c r="AC308" s="27"/>
      <c r="AD308" s="26">
        <v>0.0</v>
      </c>
      <c r="AE308" s="10" t="s">
        <v>38</v>
      </c>
      <c r="AF308" s="10" t="s">
        <v>44</v>
      </c>
      <c r="AG308" s="27"/>
    </row>
    <row r="309" ht="15.75" customHeight="1">
      <c r="A309" s="34" t="s">
        <v>692</v>
      </c>
      <c r="B309" s="35">
        <v>5000.0</v>
      </c>
      <c r="C309" s="15" t="s">
        <v>87</v>
      </c>
      <c r="D309" s="15" t="s">
        <v>693</v>
      </c>
      <c r="E309" s="15"/>
      <c r="F309" s="41">
        <v>4.0</v>
      </c>
      <c r="G309" s="33">
        <v>0.0</v>
      </c>
      <c r="H309" s="33">
        <v>0.0</v>
      </c>
      <c r="I309" s="29">
        <v>0.0</v>
      </c>
      <c r="J309" s="19" t="str">
        <f t="shared" si="18"/>
        <v>sin oferta</v>
      </c>
      <c r="K309" s="20" t="str">
        <f t="shared" si="17"/>
        <v>NORMAL / SIN OFERTA</v>
      </c>
      <c r="L309" s="15"/>
      <c r="M309" s="20"/>
      <c r="N309" s="21">
        <v>0.0</v>
      </c>
      <c r="O309" s="22">
        <v>3.0</v>
      </c>
      <c r="P309" s="23" t="str">
        <f>IFERROR(__xludf.DUMMYFUNCTION("IFERROR(
  INDEX(
    QUERY(
      Historial!A:I,
      ""select I where B = '""&amp;A309&amp;""' order by A desc limit 1"",
      0
    ),
    1
  ),
  """"
)"),"")</f>
        <v/>
      </c>
      <c r="Q309" s="19" t="s">
        <v>57</v>
      </c>
      <c r="R309" s="24">
        <v>46265.0</v>
      </c>
      <c r="S309" s="20" t="str">
        <f>IFERROR(__xludf.DUMMYFUNCTION("IFERROR(
  INDEX(
    QUERY(
      Historial!A:G,
      ""select G where B = '""&amp;A309&amp;""' order by A desc limit 1"",
      0
    ),
    1
  ),
  """"
)"),"")</f>
        <v/>
      </c>
      <c r="T309" s="20" t="str">
        <f t="shared" si="3"/>
        <v/>
      </c>
      <c r="U309" s="20" t="str">
        <f t="shared" si="4"/>
        <v/>
      </c>
      <c r="V309" s="25">
        <v>0.0</v>
      </c>
      <c r="W309" s="26">
        <v>0.0</v>
      </c>
      <c r="X309" s="26">
        <v>0.0</v>
      </c>
      <c r="Y309" s="27"/>
      <c r="Z309" s="26">
        <v>21.0</v>
      </c>
      <c r="AA309" s="26">
        <v>0.0</v>
      </c>
      <c r="AB309" s="26">
        <v>0.0</v>
      </c>
      <c r="AC309" s="27"/>
      <c r="AD309" s="27"/>
      <c r="AE309" s="10" t="s">
        <v>38</v>
      </c>
      <c r="AF309" s="10" t="s">
        <v>44</v>
      </c>
      <c r="AG309" s="27"/>
    </row>
    <row r="310" ht="15.75" customHeight="1">
      <c r="A310" s="58" t="s">
        <v>694</v>
      </c>
      <c r="B310" s="21">
        <v>1800.0</v>
      </c>
      <c r="C310" s="56" t="s">
        <v>87</v>
      </c>
      <c r="D310" s="56" t="s">
        <v>695</v>
      </c>
      <c r="E310" s="56" t="s">
        <v>74</v>
      </c>
      <c r="F310" s="32">
        <v>2.0</v>
      </c>
      <c r="G310" s="33">
        <v>0.0</v>
      </c>
      <c r="H310" s="33">
        <v>0.0</v>
      </c>
      <c r="I310" s="29">
        <v>0.0</v>
      </c>
      <c r="J310" s="19" t="str">
        <f t="shared" si="18"/>
        <v>sin oferta</v>
      </c>
      <c r="K310" s="20" t="str">
        <f t="shared" si="17"/>
        <v>NORMAL / SIN OFERTA</v>
      </c>
      <c r="L310" s="15"/>
      <c r="M310" s="20"/>
      <c r="N310" s="21">
        <v>0.0</v>
      </c>
      <c r="O310" s="22">
        <v>2.0</v>
      </c>
      <c r="P310" s="23">
        <f>IFERROR(__xludf.DUMMYFUNCTION("IFERROR(
  INDEX(
    QUERY(
      Historial!A:I,
      ""select I where B = '""&amp;A310&amp;""' order by A desc limit 1"",
      0
    ),
    1
  ),
  """"
)"),46603.0)</f>
        <v>46603</v>
      </c>
      <c r="Q310" s="19" t="s">
        <v>48</v>
      </c>
      <c r="R310" s="24">
        <v>46284.0</v>
      </c>
      <c r="S310" s="20">
        <f>IFERROR(__xludf.DUMMYFUNCTION("IFERROR(
  INDEX(
    QUERY(
      Historial!A:G,
      ""select G where B = '""&amp;A310&amp;""' order by A desc limit 1"",
      0
    ),
    1
  ),
  """"
)"),1196.0)</f>
        <v>1196</v>
      </c>
      <c r="T310" s="20" t="str">
        <f t="shared" si="3"/>
        <v>✅ OK</v>
      </c>
      <c r="U310" s="20" t="str">
        <f t="shared" si="4"/>
        <v/>
      </c>
      <c r="V310" s="25">
        <v>0.0</v>
      </c>
      <c r="W310" s="26">
        <v>0.0</v>
      </c>
      <c r="X310" s="26">
        <v>0.0</v>
      </c>
      <c r="Y310" s="27"/>
      <c r="Z310" s="26">
        <v>14.0</v>
      </c>
      <c r="AA310" s="26">
        <v>0.0</v>
      </c>
      <c r="AB310" s="26">
        <v>0.0</v>
      </c>
      <c r="AC310" s="26">
        <v>511.0</v>
      </c>
      <c r="AD310" s="27"/>
      <c r="AE310" s="10" t="s">
        <v>38</v>
      </c>
      <c r="AF310" s="10" t="s">
        <v>44</v>
      </c>
      <c r="AG310" s="27"/>
    </row>
    <row r="311" ht="15.75" customHeight="1">
      <c r="A311" s="58" t="s">
        <v>696</v>
      </c>
      <c r="B311" s="21">
        <v>1500.0</v>
      </c>
      <c r="C311" s="56" t="s">
        <v>87</v>
      </c>
      <c r="D311" s="56" t="s">
        <v>697</v>
      </c>
      <c r="E311" s="56" t="s">
        <v>74</v>
      </c>
      <c r="F311" s="32">
        <v>2.0</v>
      </c>
      <c r="G311" s="33">
        <v>0.0</v>
      </c>
      <c r="H311" s="33">
        <v>0.0</v>
      </c>
      <c r="I311" s="29">
        <v>0.0</v>
      </c>
      <c r="J311" s="19" t="str">
        <f t="shared" si="18"/>
        <v>sin oferta</v>
      </c>
      <c r="K311" s="20" t="str">
        <f t="shared" si="17"/>
        <v>NORMAL / SIN OFERTA</v>
      </c>
      <c r="L311" s="15"/>
      <c r="M311" s="20"/>
      <c r="N311" s="21">
        <v>0.0</v>
      </c>
      <c r="O311" s="22">
        <v>2.0</v>
      </c>
      <c r="P311" s="23">
        <f>IFERROR(__xludf.DUMMYFUNCTION("IFERROR(
  INDEX(
    QUERY(
      Historial!A:I,
      ""select I where B = '""&amp;A311&amp;""' order by A desc limit 1"",
      0
    ),
    1
  ),
  """"
)"),46790.0)</f>
        <v>46790</v>
      </c>
      <c r="Q311" s="19" t="s">
        <v>48</v>
      </c>
      <c r="R311" s="24">
        <v>46312.0</v>
      </c>
      <c r="S311" s="20">
        <f>IFERROR(__xludf.DUMMYFUNCTION("IFERROR(
  INDEX(
    QUERY(
      Historial!A:G,
      ""select G where B = '""&amp;A311&amp;""' order by A desc limit 1"",
      0
    ),
    1
  ),
  """"
)"),972.0)</f>
        <v>972</v>
      </c>
      <c r="T311" s="20" t="str">
        <f t="shared" si="3"/>
        <v>✅ OK</v>
      </c>
      <c r="U311" s="20" t="str">
        <f t="shared" si="4"/>
        <v/>
      </c>
      <c r="V311" s="25">
        <v>0.0</v>
      </c>
      <c r="W311" s="26">
        <v>0.0</v>
      </c>
      <c r="X311" s="26">
        <v>0.0</v>
      </c>
      <c r="Y311" s="27"/>
      <c r="Z311" s="26">
        <v>14.0</v>
      </c>
      <c r="AA311" s="26">
        <v>0.0</v>
      </c>
      <c r="AB311" s="26">
        <v>0.0</v>
      </c>
      <c r="AC311" s="26">
        <v>698.0</v>
      </c>
      <c r="AD311" s="27"/>
      <c r="AE311" s="10" t="s">
        <v>38</v>
      </c>
      <c r="AF311" s="10" t="s">
        <v>44</v>
      </c>
      <c r="AG311" s="27"/>
    </row>
    <row r="312" ht="15.75" customHeight="1">
      <c r="A312" s="58" t="s">
        <v>698</v>
      </c>
      <c r="B312" s="21">
        <v>1500.0</v>
      </c>
      <c r="C312" s="56" t="s">
        <v>87</v>
      </c>
      <c r="D312" s="56" t="s">
        <v>699</v>
      </c>
      <c r="E312" s="56" t="s">
        <v>74</v>
      </c>
      <c r="F312" s="32">
        <v>2.0</v>
      </c>
      <c r="G312" s="33">
        <v>0.0</v>
      </c>
      <c r="H312" s="33">
        <v>0.0</v>
      </c>
      <c r="I312" s="29">
        <v>0.0</v>
      </c>
      <c r="J312" s="19" t="str">
        <f t="shared" si="18"/>
        <v>sin oferta</v>
      </c>
      <c r="K312" s="20" t="str">
        <f t="shared" si="17"/>
        <v>NORMAL / SIN OFERTA</v>
      </c>
      <c r="L312" s="15"/>
      <c r="M312" s="20"/>
      <c r="N312" s="21">
        <v>0.0</v>
      </c>
      <c r="O312" s="22">
        <v>2.0</v>
      </c>
      <c r="P312" s="23">
        <f>IFERROR(__xludf.DUMMYFUNCTION("IFERROR(
  INDEX(
    QUERY(
      Historial!A:I,
      ""select I where B = '""&amp;A312&amp;""' order by A desc limit 1"",
      0
    ),
    1
  ),
  """"
)"),46784.0)</f>
        <v>46784</v>
      </c>
      <c r="Q312" s="19" t="s">
        <v>51</v>
      </c>
      <c r="R312" s="24">
        <v>46313.0</v>
      </c>
      <c r="S312" s="20">
        <f>IFERROR(__xludf.DUMMYFUNCTION("IFERROR(
  INDEX(
    QUERY(
      Historial!A:G,
      ""select G where B = '""&amp;A312&amp;""' order by A desc limit 1"",
      0
    ),
    1
  ),
  """"
)"),972.0)</f>
        <v>972</v>
      </c>
      <c r="T312" s="20" t="str">
        <f t="shared" si="3"/>
        <v>✅ OK</v>
      </c>
      <c r="U312" s="20" t="str">
        <f t="shared" si="4"/>
        <v/>
      </c>
      <c r="V312" s="25">
        <v>0.0</v>
      </c>
      <c r="W312" s="26">
        <v>0.0</v>
      </c>
      <c r="X312" s="26">
        <v>0.0</v>
      </c>
      <c r="Y312" s="27"/>
      <c r="Z312" s="26">
        <v>14.0</v>
      </c>
      <c r="AA312" s="26">
        <v>0.0</v>
      </c>
      <c r="AB312" s="26">
        <v>0.0</v>
      </c>
      <c r="AC312" s="26">
        <v>692.0</v>
      </c>
      <c r="AD312" s="27"/>
      <c r="AE312" s="10" t="s">
        <v>38</v>
      </c>
      <c r="AF312" s="10" t="s">
        <v>44</v>
      </c>
      <c r="AG312" s="27"/>
    </row>
    <row r="313" ht="15.75" customHeight="1">
      <c r="A313" s="34" t="s">
        <v>700</v>
      </c>
      <c r="B313" s="35">
        <v>4000.0</v>
      </c>
      <c r="C313" s="15" t="s">
        <v>334</v>
      </c>
      <c r="D313" s="15" t="s">
        <v>701</v>
      </c>
      <c r="E313" s="15"/>
      <c r="F313" s="41">
        <v>4.0</v>
      </c>
      <c r="G313" s="33">
        <v>0.0</v>
      </c>
      <c r="H313" s="33">
        <v>0.0</v>
      </c>
      <c r="I313" s="29">
        <v>0.0</v>
      </c>
      <c r="J313" s="19" t="str">
        <f t="shared" si="18"/>
        <v>sin oferta</v>
      </c>
      <c r="K313" s="20" t="str">
        <f t="shared" si="17"/>
        <v>NORMAL / SIN OFERTA</v>
      </c>
      <c r="L313" s="15"/>
      <c r="M313" s="20"/>
      <c r="N313" s="21">
        <v>0.0</v>
      </c>
      <c r="O313" s="22">
        <v>3.0</v>
      </c>
      <c r="P313" s="23" t="str">
        <f>IFERROR(__xludf.DUMMYFUNCTION("IFERROR(
  INDEX(
    QUERY(
      Historial!A:I,
      ""select I where B = '""&amp;A313&amp;""' order by A desc limit 1"",
      0
    ),
    1
  ),
  """"
)"),"")</f>
        <v/>
      </c>
      <c r="Q313" s="19" t="s">
        <v>57</v>
      </c>
      <c r="R313" s="24">
        <v>46328.0</v>
      </c>
      <c r="S313" s="20" t="str">
        <f>IFERROR(__xludf.DUMMYFUNCTION("IFERROR(
  INDEX(
    QUERY(
      Historial!A:G,
      ""select G where B = '""&amp;A313&amp;""' order by A desc limit 1"",
      0
    ),
    1
  ),
  """"
)"),"")</f>
        <v/>
      </c>
      <c r="T313" s="20" t="str">
        <f t="shared" si="3"/>
        <v/>
      </c>
      <c r="U313" s="20" t="str">
        <f t="shared" si="4"/>
        <v/>
      </c>
      <c r="V313" s="25">
        <v>0.0</v>
      </c>
      <c r="W313" s="26">
        <v>0.0</v>
      </c>
      <c r="X313" s="26">
        <v>0.0</v>
      </c>
      <c r="Y313" s="27"/>
      <c r="Z313" s="26">
        <v>10.0</v>
      </c>
      <c r="AA313" s="26">
        <v>0.0</v>
      </c>
      <c r="AB313" s="26">
        <v>0.0</v>
      </c>
      <c r="AC313" s="27"/>
      <c r="AD313" s="27"/>
      <c r="AE313" s="10" t="s">
        <v>38</v>
      </c>
      <c r="AF313" s="10" t="s">
        <v>44</v>
      </c>
      <c r="AG313" s="27"/>
    </row>
    <row r="314" ht="15.75" customHeight="1">
      <c r="A314" s="34" t="s">
        <v>702</v>
      </c>
      <c r="B314" s="35">
        <v>10000.0</v>
      </c>
      <c r="C314" s="15" t="s">
        <v>703</v>
      </c>
      <c r="D314" s="15" t="s">
        <v>704</v>
      </c>
      <c r="E314" s="15"/>
      <c r="F314" s="41">
        <v>0.0</v>
      </c>
      <c r="G314" s="33">
        <v>0.0</v>
      </c>
      <c r="H314" s="33">
        <v>0.0</v>
      </c>
      <c r="I314" s="29">
        <v>0.0</v>
      </c>
      <c r="J314" s="19" t="str">
        <f t="shared" si="18"/>
        <v>sin stock</v>
      </c>
      <c r="K314" s="20" t="str">
        <f t="shared" si="17"/>
        <v>SIN STOCK / CARGAR STOCK</v>
      </c>
      <c r="L314" s="15"/>
      <c r="M314" s="20"/>
      <c r="N314" s="21">
        <v>1.0</v>
      </c>
      <c r="O314" s="22">
        <v>2.0</v>
      </c>
      <c r="P314" s="23" t="str">
        <f>IFERROR(__xludf.DUMMYFUNCTION("IFERROR(
  INDEX(
    QUERY(
      Historial!A:I,
      ""select I where B = '""&amp;A314&amp;""' order by A desc limit 1"",
      0
    ),
    1
  ),
  """"
)"),"")</f>
        <v/>
      </c>
      <c r="Q314" s="19" t="s">
        <v>43</v>
      </c>
      <c r="R314" s="24">
        <v>46388.0</v>
      </c>
      <c r="S314" s="20" t="str">
        <f>IFERROR(__xludf.DUMMYFUNCTION("IFERROR(
  INDEX(
    QUERY(
      Historial!A:G,
      ""select G where B = '""&amp;A314&amp;""' order by A desc limit 1"",
      0
    ),
    1
  ),
  """"
)"),"")</f>
        <v/>
      </c>
      <c r="T314" s="20" t="str">
        <f t="shared" si="3"/>
        <v/>
      </c>
      <c r="U314" s="20" t="str">
        <f t="shared" si="4"/>
        <v/>
      </c>
      <c r="V314" s="25">
        <v>0.0</v>
      </c>
      <c r="W314" s="26">
        <v>1.0</v>
      </c>
      <c r="X314" s="26">
        <v>0.013</v>
      </c>
      <c r="Y314" s="26">
        <v>0.0</v>
      </c>
      <c r="Z314" s="26">
        <v>14.0</v>
      </c>
      <c r="AA314" s="26">
        <v>0.13</v>
      </c>
      <c r="AB314" s="26">
        <v>1.0</v>
      </c>
      <c r="AC314" s="27"/>
      <c r="AD314" s="26">
        <v>0.0</v>
      </c>
      <c r="AE314" s="10" t="s">
        <v>38</v>
      </c>
      <c r="AF314" s="10" t="s">
        <v>44</v>
      </c>
      <c r="AG314" s="27"/>
    </row>
    <row r="315" ht="15.75" customHeight="1">
      <c r="A315" s="34" t="s">
        <v>705</v>
      </c>
      <c r="B315" s="35">
        <v>2500.0</v>
      </c>
      <c r="C315" s="15" t="s">
        <v>403</v>
      </c>
      <c r="D315" s="15" t="s">
        <v>706</v>
      </c>
      <c r="E315" s="15"/>
      <c r="F315" s="36">
        <v>0.0</v>
      </c>
      <c r="G315" s="33">
        <v>0.0</v>
      </c>
      <c r="H315" s="33">
        <v>0.0</v>
      </c>
      <c r="I315" s="64">
        <v>0.0</v>
      </c>
      <c r="J315" s="19" t="str">
        <f t="shared" si="18"/>
        <v>sin stock</v>
      </c>
      <c r="K315" s="20" t="str">
        <f t="shared" si="17"/>
        <v>SIN STOCK / CARGAR STOCK</v>
      </c>
      <c r="L315" s="15"/>
      <c r="M315" s="20"/>
      <c r="N315" s="21">
        <v>1.0</v>
      </c>
      <c r="O315" s="22">
        <v>2.0</v>
      </c>
      <c r="P315" s="23" t="str">
        <f>IFERROR(__xludf.DUMMYFUNCTION("IFERROR(
  INDEX(
    QUERY(
      Historial!A:I,
      ""select I where B = '""&amp;A315&amp;""' order by A desc limit 1"",
      0
    ),
    1
  ),
  """"
)"),"")</f>
        <v/>
      </c>
      <c r="Q315" s="19" t="s">
        <v>37</v>
      </c>
      <c r="R315" s="24">
        <v>46450.0</v>
      </c>
      <c r="S315" s="20" t="str">
        <f>IFERROR(__xludf.DUMMYFUNCTION("IFERROR(
  INDEX(
    QUERY(
      Historial!A:G,
      ""select G where B = '""&amp;A315&amp;""' order by A desc limit 1"",
      0
    ),
    1
  ),
  """"
)"),"")</f>
        <v/>
      </c>
      <c r="T315" s="20" t="str">
        <f t="shared" si="3"/>
        <v/>
      </c>
      <c r="U315" s="20" t="str">
        <f t="shared" si="4"/>
        <v/>
      </c>
      <c r="V315" s="25">
        <v>0.0</v>
      </c>
      <c r="W315" s="26">
        <v>1.0</v>
      </c>
      <c r="X315" s="26">
        <v>0.013</v>
      </c>
      <c r="Y315" s="26">
        <v>0.0</v>
      </c>
      <c r="Z315" s="26">
        <v>21.0</v>
      </c>
      <c r="AA315" s="26">
        <v>0.091</v>
      </c>
      <c r="AB315" s="26">
        <v>1.0</v>
      </c>
      <c r="AC315" s="27"/>
      <c r="AD315" s="26">
        <v>0.0</v>
      </c>
      <c r="AE315" s="10" t="s">
        <v>38</v>
      </c>
      <c r="AF315" s="10" t="s">
        <v>44</v>
      </c>
      <c r="AG315" s="27"/>
    </row>
    <row r="316" ht="15.75" customHeight="1">
      <c r="A316" s="73" t="s">
        <v>707</v>
      </c>
      <c r="B316" s="74">
        <v>2000.0</v>
      </c>
      <c r="C316" s="15" t="s">
        <v>403</v>
      </c>
      <c r="D316" s="15" t="s">
        <v>708</v>
      </c>
      <c r="E316" s="75" t="s">
        <v>74</v>
      </c>
      <c r="F316" s="76">
        <v>0.0</v>
      </c>
      <c r="G316" s="74">
        <v>0.0</v>
      </c>
      <c r="H316" s="74">
        <v>0.0</v>
      </c>
      <c r="I316" s="74">
        <v>0.0</v>
      </c>
      <c r="J316" s="19" t="str">
        <f t="shared" si="18"/>
        <v>sin stock</v>
      </c>
      <c r="K316" s="20" t="str">
        <f t="shared" si="17"/>
        <v>SIN STOCK / CARGAR STOCK</v>
      </c>
      <c r="L316" s="77">
        <v>0.0</v>
      </c>
      <c r="M316" s="77">
        <v>0.0</v>
      </c>
      <c r="N316" s="21">
        <v>1.0</v>
      </c>
      <c r="O316" s="22">
        <v>2.0</v>
      </c>
      <c r="P316" s="23" t="str">
        <f>IFERROR(__xludf.DUMMYFUNCTION("IFERROR(
  INDEX(
    QUERY(
      Historial!A:I,
      ""select I where B = '""&amp;A316&amp;""' order by A desc limit 1"",
      0
    ),
    1
  ),
  """"
)"),"")</f>
        <v/>
      </c>
      <c r="Q316" s="19" t="s">
        <v>48</v>
      </c>
      <c r="R316" s="24">
        <v>46452.0</v>
      </c>
      <c r="S316" s="20" t="str">
        <f>IFERROR(__xludf.DUMMYFUNCTION("IFERROR(
  INDEX(
    QUERY(
      Historial!A:G,
      ""select G where B = '""&amp;A316&amp;""' order by A desc limit 1"",
      0
    ),
    1
  ),
  """"
)"),"")</f>
        <v/>
      </c>
      <c r="T316" s="20" t="str">
        <f t="shared" si="3"/>
        <v/>
      </c>
      <c r="U316" s="20" t="str">
        <f t="shared" si="4"/>
        <v/>
      </c>
      <c r="V316" s="25">
        <v>0.0</v>
      </c>
      <c r="W316" s="26">
        <v>1.0</v>
      </c>
      <c r="X316" s="26">
        <v>0.013</v>
      </c>
      <c r="Y316" s="26">
        <v>0.0</v>
      </c>
      <c r="Z316" s="26">
        <v>21.0</v>
      </c>
      <c r="AA316" s="26">
        <v>0.091</v>
      </c>
      <c r="AB316" s="26">
        <v>1.0</v>
      </c>
      <c r="AC316" s="27"/>
      <c r="AD316" s="26">
        <v>0.0</v>
      </c>
      <c r="AE316" s="10" t="s">
        <v>38</v>
      </c>
      <c r="AF316" s="10" t="s">
        <v>44</v>
      </c>
      <c r="AG316" s="27"/>
    </row>
    <row r="317" ht="15.75" customHeight="1">
      <c r="A317" s="31" t="s">
        <v>709</v>
      </c>
      <c r="B317" s="35">
        <v>2000.0</v>
      </c>
      <c r="C317" s="15" t="s">
        <v>403</v>
      </c>
      <c r="D317" s="15" t="s">
        <v>710</v>
      </c>
      <c r="E317" s="15" t="s">
        <v>74</v>
      </c>
      <c r="F317" s="39">
        <v>0.0</v>
      </c>
      <c r="G317" s="40">
        <v>0.0</v>
      </c>
      <c r="H317" s="40">
        <v>15.0</v>
      </c>
      <c r="I317" s="40">
        <v>0.0</v>
      </c>
      <c r="J317" s="19" t="str">
        <f t="shared" si="18"/>
        <v>sin stock</v>
      </c>
      <c r="K317" s="20" t="str">
        <f t="shared" si="17"/>
        <v>SIN STOCK / CARGAR STOCK</v>
      </c>
      <c r="L317" s="20">
        <v>0.0</v>
      </c>
      <c r="M317" s="20">
        <v>0.0</v>
      </c>
      <c r="N317" s="21">
        <v>1.0</v>
      </c>
      <c r="O317" s="22">
        <v>2.0</v>
      </c>
      <c r="P317" s="23" t="str">
        <f>IFERROR(__xludf.DUMMYFUNCTION("IFERROR(
  INDEX(
    QUERY(
      Historial!A:I,
      ""select I where B = '""&amp;A317&amp;""' order by A desc limit 1"",
      0
    ),
    1
  ),
  """"
)"),"")</f>
        <v/>
      </c>
      <c r="Q317" s="19" t="s">
        <v>51</v>
      </c>
      <c r="R317" s="24">
        <v>46453.0</v>
      </c>
      <c r="S317" s="20">
        <f>IFERROR(__xludf.DUMMYFUNCTION("IFERROR(
  INDEX(
    QUERY(
      Historial!A:G,
      ""select G where B = '""&amp;A317&amp;""' order by A desc limit 1"",
      0
    ),
    1
  ),
  """"
)"),1200.0)</f>
        <v>1200</v>
      </c>
      <c r="T317" s="20" t="str">
        <f t="shared" si="3"/>
        <v/>
      </c>
      <c r="U317" s="20" t="str">
        <f t="shared" si="4"/>
        <v/>
      </c>
      <c r="V317" s="25">
        <v>0.0</v>
      </c>
      <c r="W317" s="26">
        <v>1.0</v>
      </c>
      <c r="X317" s="26">
        <v>0.013</v>
      </c>
      <c r="Y317" s="26">
        <v>0.0</v>
      </c>
      <c r="Z317" s="26">
        <v>21.0</v>
      </c>
      <c r="AA317" s="26">
        <v>0.091</v>
      </c>
      <c r="AB317" s="26">
        <v>1.0</v>
      </c>
      <c r="AC317" s="27"/>
      <c r="AD317" s="26">
        <v>0.0</v>
      </c>
      <c r="AE317" s="10" t="s">
        <v>38</v>
      </c>
      <c r="AF317" s="10" t="s">
        <v>44</v>
      </c>
      <c r="AG317" s="27"/>
    </row>
    <row r="318" ht="15.75" customHeight="1">
      <c r="A318" s="34" t="s">
        <v>711</v>
      </c>
      <c r="B318" s="35">
        <v>2500.0</v>
      </c>
      <c r="C318" s="15" t="s">
        <v>403</v>
      </c>
      <c r="D318" s="15" t="s">
        <v>712</v>
      </c>
      <c r="E318" s="15" t="s">
        <v>147</v>
      </c>
      <c r="F318" s="36">
        <v>3.0</v>
      </c>
      <c r="G318" s="33">
        <v>0.0</v>
      </c>
      <c r="H318" s="33">
        <v>0.0</v>
      </c>
      <c r="I318" s="29">
        <v>0.0</v>
      </c>
      <c r="J318" s="19" t="str">
        <f t="shared" si="18"/>
        <v>sin oferta</v>
      </c>
      <c r="K318" s="20" t="str">
        <f t="shared" si="17"/>
        <v>NORMAL / SIN OFERTA</v>
      </c>
      <c r="L318" s="15"/>
      <c r="M318" s="20"/>
      <c r="N318" s="21">
        <v>5.0</v>
      </c>
      <c r="O318" s="22">
        <v>3.0</v>
      </c>
      <c r="P318" s="23" t="str">
        <f>IFERROR(__xludf.DUMMYFUNCTION("IFERROR(
  INDEX(
    QUERY(
      Historial!A:I,
      ""select I where B = '""&amp;A318&amp;""' order by A desc limit 1"",
      0
    ),
    1
  ),
  """"
)"),"")</f>
        <v/>
      </c>
      <c r="Q318" s="19" t="s">
        <v>37</v>
      </c>
      <c r="R318" s="24">
        <v>46457.0</v>
      </c>
      <c r="S318" s="20" t="str">
        <f>IFERROR(__xludf.DUMMYFUNCTION("IFERROR(
  INDEX(
    QUERY(
      Historial!A:G,
      ""select G where B = '""&amp;A318&amp;""' order by A desc limit 1"",
      0
    ),
    1
  ),
  """"
)"),"")</f>
        <v/>
      </c>
      <c r="T318" s="20" t="str">
        <f t="shared" si="3"/>
        <v/>
      </c>
      <c r="U318" s="20" t="str">
        <f t="shared" si="4"/>
        <v/>
      </c>
      <c r="V318" s="25">
        <v>2.0</v>
      </c>
      <c r="W318" s="26">
        <v>4.0</v>
      </c>
      <c r="X318" s="26">
        <v>0.225</v>
      </c>
      <c r="Y318" s="26">
        <v>13.333333333333332</v>
      </c>
      <c r="Z318" s="26">
        <v>21.0</v>
      </c>
      <c r="AA318" s="26">
        <v>1.575</v>
      </c>
      <c r="AB318" s="26">
        <v>2.0</v>
      </c>
      <c r="AC318" s="27"/>
      <c r="AD318" s="26">
        <v>13.333333333333332</v>
      </c>
      <c r="AE318" s="10" t="s">
        <v>38</v>
      </c>
      <c r="AF318" s="10" t="s">
        <v>39</v>
      </c>
      <c r="AG318" s="27"/>
    </row>
    <row r="319" ht="15.75" customHeight="1">
      <c r="A319" s="34" t="s">
        <v>713</v>
      </c>
      <c r="B319" s="35">
        <v>3000.0</v>
      </c>
      <c r="C319" s="15" t="s">
        <v>403</v>
      </c>
      <c r="D319" s="15" t="s">
        <v>714</v>
      </c>
      <c r="E319" s="15" t="s">
        <v>74</v>
      </c>
      <c r="F319" s="36">
        <v>1.0</v>
      </c>
      <c r="G319" s="33">
        <v>0.0</v>
      </c>
      <c r="H319" s="33">
        <v>0.0</v>
      </c>
      <c r="I319" s="29">
        <v>1.0</v>
      </c>
      <c r="J319" s="19" t="str">
        <f t="shared" si="18"/>
        <v>especial</v>
      </c>
      <c r="K319" s="20">
        <f t="shared" si="17"/>
        <v>2700</v>
      </c>
      <c r="L319" s="15"/>
      <c r="M319" s="20"/>
      <c r="N319" s="21">
        <v>3.0</v>
      </c>
      <c r="O319" s="22">
        <v>3.0</v>
      </c>
      <c r="P319" s="23" t="str">
        <f>IFERROR(__xludf.DUMMYFUNCTION("IFERROR(
  INDEX(
    QUERY(
      Historial!A:I,
      ""select I where B = '""&amp;A319&amp;""' order by A desc limit 1"",
      0
    ),
    1
  ),
  """"
)"),"")</f>
        <v/>
      </c>
      <c r="Q319" s="19" t="s">
        <v>48</v>
      </c>
      <c r="R319" s="24">
        <v>46459.0</v>
      </c>
      <c r="S319" s="20" t="str">
        <f>IFERROR(__xludf.DUMMYFUNCTION("IFERROR(
  INDEX(
    QUERY(
      Historial!A:G,
      ""select G where B = '""&amp;A319&amp;""' order by A desc limit 1"",
      0
    ),
    1
  ),
  """"
)"),"")</f>
        <v/>
      </c>
      <c r="T319" s="20" t="str">
        <f t="shared" si="3"/>
        <v/>
      </c>
      <c r="U319" s="20" t="str">
        <f t="shared" si="4"/>
        <v/>
      </c>
      <c r="V319" s="25">
        <v>1.0</v>
      </c>
      <c r="W319" s="26">
        <v>4.0</v>
      </c>
      <c r="X319" s="26">
        <v>0.139</v>
      </c>
      <c r="Y319" s="26">
        <v>7.194244604316546</v>
      </c>
      <c r="Z319" s="26">
        <v>21.0</v>
      </c>
      <c r="AA319" s="26">
        <v>0.9730000000000001</v>
      </c>
      <c r="AB319" s="26">
        <v>2.0</v>
      </c>
      <c r="AC319" s="27"/>
      <c r="AD319" s="26">
        <v>7.194244604316546</v>
      </c>
      <c r="AE319" s="10" t="s">
        <v>38</v>
      </c>
      <c r="AF319" s="10" t="s">
        <v>75</v>
      </c>
      <c r="AG319" s="27"/>
    </row>
    <row r="320" ht="15.75" customHeight="1">
      <c r="A320" s="28" t="s">
        <v>715</v>
      </c>
      <c r="B320" s="29">
        <v>1600.0</v>
      </c>
      <c r="C320" s="15" t="s">
        <v>403</v>
      </c>
      <c r="D320" s="15" t="s">
        <v>716</v>
      </c>
      <c r="E320" s="19" t="s">
        <v>47</v>
      </c>
      <c r="F320" s="72">
        <v>2.0</v>
      </c>
      <c r="G320" s="33">
        <v>0.0</v>
      </c>
      <c r="H320" s="33">
        <v>0.0</v>
      </c>
      <c r="I320" s="29">
        <v>1.0</v>
      </c>
      <c r="J320" s="19" t="str">
        <f t="shared" si="18"/>
        <v>especial</v>
      </c>
      <c r="K320" s="20">
        <f t="shared" si="17"/>
        <v>1440</v>
      </c>
      <c r="L320" s="15"/>
      <c r="M320" s="20"/>
      <c r="N320" s="21">
        <v>5.0</v>
      </c>
      <c r="O320" s="22">
        <v>3.0</v>
      </c>
      <c r="P320" s="23" t="str">
        <f>IFERROR(__xludf.DUMMYFUNCTION("IFERROR(
  INDEX(
    QUERY(
      Historial!A:I,
      ""select I where B = '""&amp;A320&amp;""' order by A desc limit 1"",
      0
    ),
    1
  ),
  """"
)"),"")</f>
        <v/>
      </c>
      <c r="Q320" s="19" t="s">
        <v>43</v>
      </c>
      <c r="R320" s="24">
        <v>46465.0</v>
      </c>
      <c r="S320" s="20" t="str">
        <f>IFERROR(__xludf.DUMMYFUNCTION("IFERROR(
  INDEX(
    QUERY(
      Historial!A:G,
      ""select G where B = '""&amp;A320&amp;""' order by A desc limit 1"",
      0
    ),
    1
  ),
  """"
)"),"")</f>
        <v/>
      </c>
      <c r="T320" s="20" t="str">
        <f t="shared" si="3"/>
        <v/>
      </c>
      <c r="U320" s="20" t="str">
        <f t="shared" si="4"/>
        <v/>
      </c>
      <c r="V320" s="25">
        <v>2.0</v>
      </c>
      <c r="W320" s="26">
        <v>3.0</v>
      </c>
      <c r="X320" s="26">
        <v>0.211</v>
      </c>
      <c r="Y320" s="26">
        <v>9.47867298578199</v>
      </c>
      <c r="Z320" s="26">
        <v>21.0</v>
      </c>
      <c r="AA320" s="26">
        <v>1.4769999999999999</v>
      </c>
      <c r="AB320" s="26">
        <v>3.0</v>
      </c>
      <c r="AC320" s="27"/>
      <c r="AD320" s="26">
        <v>9.47867298578199</v>
      </c>
      <c r="AE320" s="10" t="s">
        <v>38</v>
      </c>
      <c r="AF320" s="10" t="s">
        <v>75</v>
      </c>
      <c r="AG320" s="27"/>
    </row>
    <row r="321" ht="15.75" customHeight="1">
      <c r="A321" s="34" t="s">
        <v>717</v>
      </c>
      <c r="B321" s="35">
        <v>3000.0</v>
      </c>
      <c r="C321" s="15" t="s">
        <v>403</v>
      </c>
      <c r="D321" s="15" t="s">
        <v>718</v>
      </c>
      <c r="E321" s="15"/>
      <c r="F321" s="42">
        <v>1.0</v>
      </c>
      <c r="G321" s="33">
        <v>0.0</v>
      </c>
      <c r="H321" s="33">
        <v>0.0</v>
      </c>
      <c r="I321" s="29">
        <v>0.0</v>
      </c>
      <c r="J321" s="19" t="str">
        <f t="shared" si="18"/>
        <v>sin oferta</v>
      </c>
      <c r="K321" s="20" t="str">
        <f t="shared" si="17"/>
        <v>NORMAL / SIN OFERTA</v>
      </c>
      <c r="L321" s="15"/>
      <c r="M321" s="20">
        <v>1.0</v>
      </c>
      <c r="N321" s="21">
        <v>3.0</v>
      </c>
      <c r="O321" s="22">
        <v>2.0</v>
      </c>
      <c r="P321" s="23" t="str">
        <f>IFERROR(__xludf.DUMMYFUNCTION("IFERROR(
  INDEX(
    QUERY(
      Historial!A:I,
      ""select I where B = '""&amp;A321&amp;""' order by A desc limit 1"",
      0
    ),
    1
  ),
  """"
)"),"")</f>
        <v/>
      </c>
      <c r="Q321" s="19" t="s">
        <v>60</v>
      </c>
      <c r="R321" s="24">
        <v>46490.0</v>
      </c>
      <c r="S321" s="20" t="str">
        <f>IFERROR(__xludf.DUMMYFUNCTION("IFERROR(
  INDEX(
    QUERY(
      Historial!A:G,
      ""select G where B = '""&amp;A321&amp;""' order by A desc limit 1"",
      0
    ),
    1
  ),
  """"
)"),"")</f>
        <v/>
      </c>
      <c r="T321" s="20" t="str">
        <f t="shared" si="3"/>
        <v/>
      </c>
      <c r="U321" s="20" t="str">
        <f t="shared" si="4"/>
        <v/>
      </c>
      <c r="V321" s="25">
        <v>1.0</v>
      </c>
      <c r="W321" s="26">
        <v>1.0</v>
      </c>
      <c r="X321" s="26">
        <v>0.099</v>
      </c>
      <c r="Y321" s="26">
        <v>10.1010101010101</v>
      </c>
      <c r="Z321" s="26">
        <v>21.0</v>
      </c>
      <c r="AA321" s="26">
        <v>0.6930000000000001</v>
      </c>
      <c r="AB321" s="26">
        <v>2.0</v>
      </c>
      <c r="AC321" s="27"/>
      <c r="AD321" s="26">
        <v>10.1010101010101</v>
      </c>
      <c r="AE321" s="10" t="s">
        <v>38</v>
      </c>
      <c r="AF321" s="10" t="s">
        <v>75</v>
      </c>
      <c r="AG321" s="27"/>
    </row>
    <row r="322" ht="15.75" customHeight="1">
      <c r="A322" s="34" t="s">
        <v>719</v>
      </c>
      <c r="B322" s="46">
        <v>5800.0</v>
      </c>
      <c r="C322" s="47" t="s">
        <v>458</v>
      </c>
      <c r="D322" s="15" t="s">
        <v>720</v>
      </c>
      <c r="E322" s="47" t="s">
        <v>114</v>
      </c>
      <c r="F322" s="36">
        <v>4.0</v>
      </c>
      <c r="G322" s="33">
        <v>0.0</v>
      </c>
      <c r="H322" s="33">
        <v>0.0</v>
      </c>
      <c r="I322" s="29">
        <v>0.0</v>
      </c>
      <c r="J322" s="19" t="str">
        <f t="shared" si="18"/>
        <v>sin oferta</v>
      </c>
      <c r="K322" s="20" t="str">
        <f t="shared" si="17"/>
        <v>NORMAL / SIN OFERTA</v>
      </c>
      <c r="L322" s="15"/>
      <c r="M322" s="20"/>
      <c r="N322" s="21">
        <v>6.0</v>
      </c>
      <c r="O322" s="22">
        <v>4.0</v>
      </c>
      <c r="P322" s="23" t="str">
        <f>IFERROR(__xludf.DUMMYFUNCTION("IFERROR(
  INDEX(
    QUERY(
      Historial!A:I,
      ""select I where B = '""&amp;A322&amp;""' order by A desc limit 1"",
      0
    ),
    1
  ),
  """"
)"),"")</f>
        <v/>
      </c>
      <c r="Q322" s="19" t="s">
        <v>37</v>
      </c>
      <c r="R322" s="24">
        <v>46499.0</v>
      </c>
      <c r="S322" s="20">
        <f>IFERROR(__xludf.DUMMYFUNCTION("IFERROR(
  INDEX(
    QUERY(
      Historial!A:G,
      ""select G where B = '""&amp;A322&amp;""' order by A desc limit 1"",
      0
    ),
    1
  ),
  """"
)"),3854.0)</f>
        <v>3854</v>
      </c>
      <c r="T322" s="20" t="str">
        <f t="shared" si="3"/>
        <v/>
      </c>
      <c r="U322" s="20" t="str">
        <f t="shared" si="4"/>
        <v/>
      </c>
      <c r="V322" s="25">
        <v>2.0</v>
      </c>
      <c r="W322" s="26">
        <v>7.0</v>
      </c>
      <c r="X322" s="26">
        <v>0.265</v>
      </c>
      <c r="Y322" s="26">
        <v>15.094339622641508</v>
      </c>
      <c r="Z322" s="26">
        <v>21.0</v>
      </c>
      <c r="AA322" s="26">
        <v>1.855</v>
      </c>
      <c r="AB322" s="26">
        <v>2.0</v>
      </c>
      <c r="AC322" s="27"/>
      <c r="AD322" s="26">
        <v>15.094339622641508</v>
      </c>
      <c r="AE322" s="10" t="s">
        <v>38</v>
      </c>
      <c r="AF322" s="10" t="s">
        <v>39</v>
      </c>
      <c r="AG322" s="27"/>
    </row>
    <row r="323" ht="15.75" customHeight="1">
      <c r="A323" s="34" t="s">
        <v>721</v>
      </c>
      <c r="B323" s="35">
        <v>4500.0</v>
      </c>
      <c r="C323" s="15" t="s">
        <v>458</v>
      </c>
      <c r="D323" s="15" t="s">
        <v>722</v>
      </c>
      <c r="E323" s="15" t="s">
        <v>480</v>
      </c>
      <c r="F323" s="36">
        <v>6.0</v>
      </c>
      <c r="G323" s="33">
        <v>0.0</v>
      </c>
      <c r="H323" s="33">
        <v>0.0</v>
      </c>
      <c r="I323" s="29">
        <v>0.0</v>
      </c>
      <c r="J323" s="19" t="str">
        <f t="shared" si="18"/>
        <v>sin oferta</v>
      </c>
      <c r="K323" s="20" t="str">
        <f t="shared" si="17"/>
        <v>NORMAL / SIN OFERTA</v>
      </c>
      <c r="L323" s="15"/>
      <c r="M323" s="20"/>
      <c r="N323" s="21">
        <v>5.0</v>
      </c>
      <c r="O323" s="22">
        <v>5.0</v>
      </c>
      <c r="P323" s="23" t="str">
        <f>IFERROR(__xludf.DUMMYFUNCTION("IFERROR(
  INDEX(
    QUERY(
      Historial!A:I,
      ""select I where B = '""&amp;A323&amp;""' order by A desc limit 1"",
      0
    ),
    1
  ),
  """"
)"),"")</f>
        <v/>
      </c>
      <c r="Q323" s="19" t="s">
        <v>43</v>
      </c>
      <c r="R323" s="24">
        <v>46514.0</v>
      </c>
      <c r="S323" s="20">
        <f>IFERROR(__xludf.DUMMYFUNCTION("IFERROR(
  INDEX(
    QUERY(
      Historial!A:G,
      ""select G where B = '""&amp;A323&amp;""' order by A desc limit 1"",
      0
    ),
    1
  ),
  """"
)"),2500.0)</f>
        <v>2500</v>
      </c>
      <c r="T323" s="20" t="str">
        <f t="shared" si="3"/>
        <v/>
      </c>
      <c r="U323" s="20" t="str">
        <f t="shared" si="4"/>
        <v/>
      </c>
      <c r="V323" s="25">
        <v>2.0</v>
      </c>
      <c r="W323" s="26">
        <v>10.0</v>
      </c>
      <c r="X323" s="26">
        <v>0.305</v>
      </c>
      <c r="Y323" s="26">
        <v>19.672131147540984</v>
      </c>
      <c r="Z323" s="26">
        <v>14.0</v>
      </c>
      <c r="AA323" s="26">
        <v>3.05</v>
      </c>
      <c r="AB323" s="26">
        <v>0.0</v>
      </c>
      <c r="AC323" s="27"/>
      <c r="AD323" s="26">
        <v>19.672131147540984</v>
      </c>
      <c r="AE323" s="10" t="s">
        <v>38</v>
      </c>
      <c r="AF323" s="10" t="s">
        <v>39</v>
      </c>
      <c r="AG323" s="27"/>
    </row>
    <row r="324" ht="15.75" customHeight="1">
      <c r="A324" s="34" t="s">
        <v>723</v>
      </c>
      <c r="B324" s="35">
        <v>2300.0</v>
      </c>
      <c r="C324" s="15" t="s">
        <v>458</v>
      </c>
      <c r="D324" s="15" t="s">
        <v>724</v>
      </c>
      <c r="E324" s="15"/>
      <c r="F324" s="41">
        <v>2.0</v>
      </c>
      <c r="G324" s="33">
        <v>0.0</v>
      </c>
      <c r="H324" s="33">
        <v>0.0</v>
      </c>
      <c r="I324" s="29">
        <v>0.0</v>
      </c>
      <c r="J324" s="19" t="str">
        <f t="shared" si="18"/>
        <v>sin oferta</v>
      </c>
      <c r="K324" s="20" t="str">
        <f t="shared" si="17"/>
        <v>NORMAL / SIN OFERTA</v>
      </c>
      <c r="L324" s="15"/>
      <c r="M324" s="20"/>
      <c r="N324" s="21">
        <v>0.0</v>
      </c>
      <c r="O324" s="22">
        <v>2.0</v>
      </c>
      <c r="P324" s="23" t="str">
        <f>IFERROR(__xludf.DUMMYFUNCTION("IFERROR(
  INDEX(
    QUERY(
      Historial!A:I,
      ""select I where B = '""&amp;A324&amp;""' order by A desc limit 1"",
      0
    ),
    1
  ),
  """"
)"),"")</f>
        <v/>
      </c>
      <c r="Q324" s="19" t="s">
        <v>60</v>
      </c>
      <c r="R324" s="24">
        <v>46525.0</v>
      </c>
      <c r="S324" s="20">
        <f>IFERROR(__xludf.DUMMYFUNCTION("IFERROR(
  INDEX(
    QUERY(
      Historial!A:G,
      ""select G where B = '""&amp;A324&amp;""' order by A desc limit 1"",
      0
    ),
    1
  ),
  """"
)"),4800.0)</f>
        <v>4800</v>
      </c>
      <c r="T324" s="20" t="str">
        <f t="shared" si="3"/>
        <v/>
      </c>
      <c r="U324" s="20" t="str">
        <f t="shared" si="4"/>
        <v/>
      </c>
      <c r="V324" s="25">
        <v>0.0</v>
      </c>
      <c r="W324" s="26">
        <v>0.0</v>
      </c>
      <c r="X324" s="26">
        <v>0.0</v>
      </c>
      <c r="Y324" s="27"/>
      <c r="Z324" s="26">
        <v>14.0</v>
      </c>
      <c r="AA324" s="26">
        <v>0.0</v>
      </c>
      <c r="AB324" s="26">
        <v>0.0</v>
      </c>
      <c r="AC324" s="27"/>
      <c r="AD324" s="27"/>
      <c r="AE324" s="10" t="s">
        <v>38</v>
      </c>
      <c r="AF324" s="10" t="s">
        <v>44</v>
      </c>
      <c r="AG324" s="27"/>
    </row>
    <row r="325" ht="15.75" customHeight="1">
      <c r="A325" s="34" t="s">
        <v>725</v>
      </c>
      <c r="B325" s="35">
        <v>3000.0</v>
      </c>
      <c r="C325" s="15" t="s">
        <v>458</v>
      </c>
      <c r="D325" s="15" t="s">
        <v>726</v>
      </c>
      <c r="E325" s="15"/>
      <c r="F325" s="41">
        <v>0.0</v>
      </c>
      <c r="G325" s="33">
        <v>0.0</v>
      </c>
      <c r="H325" s="33">
        <v>0.0</v>
      </c>
      <c r="I325" s="29">
        <v>0.0</v>
      </c>
      <c r="J325" s="19" t="str">
        <f t="shared" si="18"/>
        <v>sin stock</v>
      </c>
      <c r="K325" s="20" t="str">
        <f t="shared" si="17"/>
        <v>SIN STOCK / CARGAR STOCK</v>
      </c>
      <c r="L325" s="15"/>
      <c r="M325" s="20"/>
      <c r="N325" s="21">
        <v>1.0</v>
      </c>
      <c r="O325" s="22">
        <v>2.0</v>
      </c>
      <c r="P325" s="23" t="str">
        <f>IFERROR(__xludf.DUMMYFUNCTION("IFERROR(
  INDEX(
    QUERY(
      Historial!A:I,
      ""select I where B = '""&amp;A325&amp;""' order by A desc limit 1"",
      0
    ),
    1
  ),
  """"
)"),"")</f>
        <v/>
      </c>
      <c r="Q325" s="19" t="s">
        <v>51</v>
      </c>
      <c r="R325" s="24">
        <v>46537.0</v>
      </c>
      <c r="S325" s="20">
        <f>IFERROR(__xludf.DUMMYFUNCTION("IFERROR(
  INDEX(
    QUERY(
      Historial!A:G,
      ""select G where B = '""&amp;A325&amp;""' order by A desc limit 1"",
      0
    ),
    1
  ),
  """"
)"),2000.0)</f>
        <v>2000</v>
      </c>
      <c r="T325" s="20" t="str">
        <f t="shared" si="3"/>
        <v/>
      </c>
      <c r="U325" s="20" t="str">
        <f t="shared" si="4"/>
        <v/>
      </c>
      <c r="V325" s="25">
        <v>0.0</v>
      </c>
      <c r="W325" s="26">
        <v>1.0</v>
      </c>
      <c r="X325" s="26">
        <v>0.013</v>
      </c>
      <c r="Y325" s="26">
        <v>0.0</v>
      </c>
      <c r="Z325" s="26">
        <v>14.0</v>
      </c>
      <c r="AA325" s="26">
        <v>0.13</v>
      </c>
      <c r="AB325" s="26">
        <v>1.0</v>
      </c>
      <c r="AC325" s="27"/>
      <c r="AD325" s="26">
        <v>0.0</v>
      </c>
      <c r="AE325" s="10" t="s">
        <v>38</v>
      </c>
      <c r="AF325" s="10" t="s">
        <v>44</v>
      </c>
      <c r="AG325" s="27"/>
    </row>
    <row r="326" ht="15.75" customHeight="1">
      <c r="A326" s="34" t="s">
        <v>727</v>
      </c>
      <c r="B326" s="46">
        <v>1500.0</v>
      </c>
      <c r="C326" s="47" t="s">
        <v>297</v>
      </c>
      <c r="D326" s="15" t="s">
        <v>728</v>
      </c>
      <c r="E326" s="47" t="s">
        <v>74</v>
      </c>
      <c r="F326" s="36">
        <v>1.0</v>
      </c>
      <c r="G326" s="33">
        <v>0.0</v>
      </c>
      <c r="H326" s="33">
        <v>0.0</v>
      </c>
      <c r="I326" s="29">
        <v>0.0</v>
      </c>
      <c r="J326" s="19" t="str">
        <f t="shared" si="18"/>
        <v>sin oferta</v>
      </c>
      <c r="K326" s="20" t="str">
        <f t="shared" si="17"/>
        <v>NORMAL / SIN OFERTA</v>
      </c>
      <c r="L326" s="15"/>
      <c r="M326" s="20"/>
      <c r="N326" s="21">
        <v>3.0</v>
      </c>
      <c r="O326" s="22">
        <v>2.0</v>
      </c>
      <c r="P326" s="23">
        <f>IFERROR(__xludf.DUMMYFUNCTION("IFERROR(
  INDEX(
    QUERY(
      Historial!A:I,
      ""select I where B = '""&amp;A326&amp;""' order by A desc limit 1"",
      0
    ),
    1
  ),
  """"
)"),46205.0)</f>
        <v>46205</v>
      </c>
      <c r="Q326" s="19" t="s">
        <v>37</v>
      </c>
      <c r="R326" s="24">
        <v>46555.0</v>
      </c>
      <c r="S326" s="20">
        <f>IFERROR(__xludf.DUMMYFUNCTION("IFERROR(
  INDEX(
    QUERY(
      Historial!A:G,
      ""select G where B = '""&amp;A326&amp;""' order by A desc limit 1"",
      0
    ),
    1
  ),
  """"
)"),930.0)</f>
        <v>930</v>
      </c>
      <c r="T326" s="20" t="str">
        <f t="shared" si="3"/>
        <v>✅ OK</v>
      </c>
      <c r="U326" s="20" t="str">
        <f t="shared" si="4"/>
        <v/>
      </c>
      <c r="V326" s="25">
        <v>1.0</v>
      </c>
      <c r="W326" s="26">
        <v>1.0</v>
      </c>
      <c r="X326" s="26">
        <v>0.099</v>
      </c>
      <c r="Y326" s="26">
        <v>10.1010101010101</v>
      </c>
      <c r="Z326" s="26">
        <v>21.0</v>
      </c>
      <c r="AA326" s="26">
        <v>0.6930000000000001</v>
      </c>
      <c r="AB326" s="26">
        <v>2.0</v>
      </c>
      <c r="AC326" s="26">
        <v>113.0</v>
      </c>
      <c r="AD326" s="26">
        <v>10.1010101010101</v>
      </c>
      <c r="AE326" s="10" t="s">
        <v>38</v>
      </c>
      <c r="AF326" s="10" t="s">
        <v>75</v>
      </c>
      <c r="AG326" s="27"/>
    </row>
    <row r="327" ht="15.75" customHeight="1">
      <c r="A327" s="34" t="s">
        <v>729</v>
      </c>
      <c r="B327" s="35">
        <v>3000.0</v>
      </c>
      <c r="C327" s="15" t="s">
        <v>297</v>
      </c>
      <c r="D327" s="15" t="s">
        <v>730</v>
      </c>
      <c r="E327" s="15"/>
      <c r="F327" s="41">
        <v>4.0</v>
      </c>
      <c r="G327" s="33">
        <v>0.0</v>
      </c>
      <c r="H327" s="33">
        <v>0.0</v>
      </c>
      <c r="I327" s="29">
        <v>0.0</v>
      </c>
      <c r="J327" s="19" t="str">
        <f t="shared" si="18"/>
        <v>sin oferta</v>
      </c>
      <c r="K327" s="20" t="str">
        <f t="shared" si="17"/>
        <v>NORMAL / SIN OFERTA</v>
      </c>
      <c r="L327" s="15"/>
      <c r="M327" s="20"/>
      <c r="N327" s="21">
        <v>0.0</v>
      </c>
      <c r="O327" s="22">
        <v>3.0</v>
      </c>
      <c r="P327" s="23" t="str">
        <f>IFERROR(__xludf.DUMMYFUNCTION("IFERROR(
  INDEX(
    QUERY(
      Historial!A:I,
      ""select I where B = '""&amp;A327&amp;""' order by A desc limit 1"",
      0
    ),
    1
  ),
  """"
)"),"")</f>
        <v/>
      </c>
      <c r="Q327" s="19" t="s">
        <v>43</v>
      </c>
      <c r="R327" s="24">
        <v>46556.0</v>
      </c>
      <c r="S327" s="20" t="str">
        <f>IFERROR(__xludf.DUMMYFUNCTION("IFERROR(
  INDEX(
    QUERY(
      Historial!A:G,
      ""select G where B = '""&amp;A327&amp;""' order by A desc limit 1"",
      0
    ),
    1
  ),
  """"
)"),"")</f>
        <v/>
      </c>
      <c r="T327" s="20" t="str">
        <f t="shared" si="3"/>
        <v/>
      </c>
      <c r="U327" s="20" t="str">
        <f t="shared" si="4"/>
        <v/>
      </c>
      <c r="V327" s="25">
        <v>0.0</v>
      </c>
      <c r="W327" s="26">
        <v>0.0</v>
      </c>
      <c r="X327" s="26">
        <v>0.0</v>
      </c>
      <c r="Y327" s="27"/>
      <c r="Z327" s="26">
        <v>21.0</v>
      </c>
      <c r="AA327" s="26">
        <v>0.0</v>
      </c>
      <c r="AB327" s="26">
        <v>0.0</v>
      </c>
      <c r="AC327" s="27"/>
      <c r="AD327" s="27"/>
      <c r="AE327" s="10" t="s">
        <v>38</v>
      </c>
      <c r="AF327" s="10" t="s">
        <v>44</v>
      </c>
      <c r="AG327" s="27"/>
    </row>
    <row r="328" ht="15.75" customHeight="1">
      <c r="A328" s="31" t="s">
        <v>731</v>
      </c>
      <c r="B328" s="40">
        <v>3000.0</v>
      </c>
      <c r="C328" s="20" t="s">
        <v>297</v>
      </c>
      <c r="D328" s="15" t="s">
        <v>732</v>
      </c>
      <c r="E328" s="20"/>
      <c r="F328" s="39">
        <v>0.0</v>
      </c>
      <c r="G328" s="40">
        <v>0.0</v>
      </c>
      <c r="H328" s="40">
        <v>0.0</v>
      </c>
      <c r="I328" s="40">
        <v>0.0</v>
      </c>
      <c r="J328" s="19" t="str">
        <f t="shared" si="18"/>
        <v>sin stock</v>
      </c>
      <c r="K328" s="20" t="str">
        <f t="shared" si="17"/>
        <v>SIN STOCK / CARGAR STOCK</v>
      </c>
      <c r="L328" s="20">
        <v>0.0</v>
      </c>
      <c r="M328" s="20">
        <v>0.0</v>
      </c>
      <c r="N328" s="21">
        <v>1.0</v>
      </c>
      <c r="O328" s="22">
        <v>2.0</v>
      </c>
      <c r="P328" s="23" t="str">
        <f>IFERROR(__xludf.DUMMYFUNCTION("IFERROR(
  INDEX(
    QUERY(
      Historial!A:I,
      ""select I where B = '""&amp;A328&amp;""' order by A desc limit 1"",
      0
    ),
    1
  ),
  """"
)"),"")</f>
        <v/>
      </c>
      <c r="Q328" s="19" t="s">
        <v>51</v>
      </c>
      <c r="R328" s="24">
        <v>46579.0</v>
      </c>
      <c r="S328" s="20" t="str">
        <f>IFERROR(__xludf.DUMMYFUNCTION("IFERROR(
  INDEX(
    QUERY(
      Historial!A:G,
      ""select G where B = '""&amp;A328&amp;""' order by A desc limit 1"",
      0
    ),
    1
  ),
  """"
)"),"")</f>
        <v/>
      </c>
      <c r="T328" s="20" t="str">
        <f t="shared" si="3"/>
        <v/>
      </c>
      <c r="U328" s="20" t="str">
        <f t="shared" si="4"/>
        <v/>
      </c>
      <c r="V328" s="25">
        <v>0.0</v>
      </c>
      <c r="W328" s="26">
        <v>1.0</v>
      </c>
      <c r="X328" s="26">
        <v>0.013</v>
      </c>
      <c r="Y328" s="26">
        <v>0.0</v>
      </c>
      <c r="Z328" s="26">
        <v>14.0</v>
      </c>
      <c r="AA328" s="26">
        <v>0.13</v>
      </c>
      <c r="AB328" s="26">
        <v>1.0</v>
      </c>
      <c r="AC328" s="27"/>
      <c r="AD328" s="26">
        <v>0.0</v>
      </c>
      <c r="AE328" s="10" t="s">
        <v>38</v>
      </c>
      <c r="AF328" s="10" t="s">
        <v>44</v>
      </c>
      <c r="AG328" s="27"/>
    </row>
    <row r="329" ht="15.75" customHeight="1">
      <c r="A329" s="34" t="s">
        <v>733</v>
      </c>
      <c r="B329" s="46">
        <v>5000.0</v>
      </c>
      <c r="C329" s="47" t="s">
        <v>297</v>
      </c>
      <c r="D329" s="15" t="s">
        <v>734</v>
      </c>
      <c r="E329" s="47" t="s">
        <v>147</v>
      </c>
      <c r="F329" s="42">
        <v>2.0</v>
      </c>
      <c r="G329" s="33">
        <v>0.0</v>
      </c>
      <c r="H329" s="33">
        <v>0.0</v>
      </c>
      <c r="I329" s="29">
        <v>0.0</v>
      </c>
      <c r="J329" s="19" t="str">
        <f t="shared" si="18"/>
        <v>sin oferta</v>
      </c>
      <c r="K329" s="20" t="str">
        <f t="shared" si="17"/>
        <v>NORMAL / SIN OFERTA</v>
      </c>
      <c r="L329" s="15"/>
      <c r="M329" s="20"/>
      <c r="N329" s="21">
        <v>0.0</v>
      </c>
      <c r="O329" s="22">
        <v>2.0</v>
      </c>
      <c r="P329" s="23">
        <f>IFERROR(__xludf.DUMMYFUNCTION("IFERROR(
  INDEX(
    QUERY(
      Historial!A:I,
      ""select I where B = '""&amp;A329&amp;""' order by A desc limit 1"",
      0
    ),
    1
  ),
  """"
)"),46175.0)</f>
        <v>46175</v>
      </c>
      <c r="Q329" s="19" t="s">
        <v>37</v>
      </c>
      <c r="R329" s="24">
        <v>46583.0</v>
      </c>
      <c r="S329" s="20">
        <f>IFERROR(__xludf.DUMMYFUNCTION("IFERROR(
  INDEX(
    QUERY(
      Historial!A:G,
      ""select G where B = '""&amp;A329&amp;""' order by A desc limit 1"",
      0
    ),
    1
  ),
  """"
)"),2250.0)</f>
        <v>2250</v>
      </c>
      <c r="T329" s="20" t="str">
        <f t="shared" si="3"/>
        <v>✅ OK</v>
      </c>
      <c r="U329" s="20" t="str">
        <f t="shared" si="4"/>
        <v/>
      </c>
      <c r="V329" s="25">
        <v>0.0</v>
      </c>
      <c r="W329" s="26">
        <v>0.0</v>
      </c>
      <c r="X329" s="26">
        <v>0.0</v>
      </c>
      <c r="Y329" s="27"/>
      <c r="Z329" s="26">
        <v>21.0</v>
      </c>
      <c r="AA329" s="26">
        <v>0.0</v>
      </c>
      <c r="AB329" s="26">
        <v>0.0</v>
      </c>
      <c r="AC329" s="26">
        <v>83.0</v>
      </c>
      <c r="AD329" s="27"/>
      <c r="AE329" s="10" t="s">
        <v>38</v>
      </c>
      <c r="AF329" s="10" t="s">
        <v>44</v>
      </c>
      <c r="AG329" s="27"/>
    </row>
    <row r="330" ht="15.75" customHeight="1">
      <c r="A330" s="31" t="s">
        <v>735</v>
      </c>
      <c r="B330" s="40">
        <v>5000.0</v>
      </c>
      <c r="C330" s="20" t="s">
        <v>577</v>
      </c>
      <c r="D330" s="15" t="s">
        <v>736</v>
      </c>
      <c r="E330" s="20" t="s">
        <v>147</v>
      </c>
      <c r="F330" s="39">
        <v>4.0</v>
      </c>
      <c r="G330" s="40">
        <v>0.0</v>
      </c>
      <c r="H330" s="20">
        <v>0.0</v>
      </c>
      <c r="I330" s="20">
        <v>0.0</v>
      </c>
      <c r="J330" s="40">
        <v>0.0</v>
      </c>
      <c r="K330" s="20" t="str">
        <f t="shared" si="17"/>
        <v>NORMAL / SIN OFERTA</v>
      </c>
      <c r="L330" s="20">
        <v>0.0</v>
      </c>
      <c r="M330" s="20">
        <v>0.0</v>
      </c>
      <c r="N330" s="21">
        <v>0.0</v>
      </c>
      <c r="O330" s="22">
        <v>3.0</v>
      </c>
      <c r="P330" s="23" t="str">
        <f>IFERROR(__xludf.DUMMYFUNCTION("IFERROR(
  INDEX(
    QUERY(
      Historial!A:I,
      ""select I where B = '""&amp;A330&amp;""' order by A desc limit 1"",
      0
    ),
    1
  ),
  """"
)"),"")</f>
        <v/>
      </c>
      <c r="Q330" s="19" t="s">
        <v>48</v>
      </c>
      <c r="R330" s="24">
        <v>46592.0</v>
      </c>
      <c r="S330" s="20" t="str">
        <f>IFERROR(__xludf.DUMMYFUNCTION("IFERROR(
  INDEX(
    QUERY(
      Historial!A:G,
      ""select G where B = '""&amp;A330&amp;""' order by A desc limit 1"",
      0
    ),
    1
  ),
  """"
)"),"")</f>
        <v/>
      </c>
      <c r="T330" s="20" t="str">
        <f t="shared" si="3"/>
        <v/>
      </c>
      <c r="U330" s="20" t="str">
        <f t="shared" si="4"/>
        <v/>
      </c>
      <c r="V330" s="25">
        <v>0.0</v>
      </c>
      <c r="W330" s="26">
        <v>0.0</v>
      </c>
      <c r="X330" s="26">
        <v>0.0</v>
      </c>
      <c r="Y330" s="27"/>
      <c r="Z330" s="26">
        <v>10.0</v>
      </c>
      <c r="AA330" s="26">
        <v>0.0</v>
      </c>
      <c r="AB330" s="26">
        <v>0.0</v>
      </c>
      <c r="AC330" s="27"/>
      <c r="AD330" s="27"/>
      <c r="AE330" s="10" t="s">
        <v>38</v>
      </c>
      <c r="AF330" s="10" t="s">
        <v>44</v>
      </c>
      <c r="AG330" s="27"/>
    </row>
    <row r="331" ht="15.75" customHeight="1">
      <c r="A331" s="34" t="s">
        <v>737</v>
      </c>
      <c r="B331" s="35">
        <v>3200.0</v>
      </c>
      <c r="C331" s="15" t="s">
        <v>577</v>
      </c>
      <c r="D331" s="15" t="s">
        <v>738</v>
      </c>
      <c r="E331" s="15"/>
      <c r="F331" s="41">
        <v>0.0</v>
      </c>
      <c r="G331" s="15">
        <v>0.0</v>
      </c>
      <c r="H331" s="33">
        <v>0.0</v>
      </c>
      <c r="I331" s="19">
        <v>0.0</v>
      </c>
      <c r="J331" s="19" t="str">
        <f t="shared" ref="J331:J333" si="19">IF(
A331="",
"",
IF(
F331=0,
"sin stock",
IF(
NOT(OR(I331=0,I331=1)),
"ERROR ESPECIAL",
IF(
NOT(ISNUMBER(MATCH(G331,{0;1;2;3;4;5;6;10;11;12;13;14},0))),
"ERROR RELAMPAGO",
IF(
OR(H331&gt;70,AND(H331&gt;0,H331&lt;15)),
"ERROR DESTACADA",
IF(
(I331=1)+(H331&gt;0)+(G331&gt;0)&gt;1,
"ERROR DOBLE OFERTA",
IF(
I331=1,
"especial",
IF(
H331&gt;0,
"destacada",
IF(
G331&gt;0,
IF(
OR(
AND(G331&lt;=6,F331&lt;(G331+1)),
AND(G331=10,F331&lt;2),
AND(G331&gt;=11,F331&lt;1)
),
"REPONER "&amp;
IF(G331&lt;=6,G331+1-F331,
IF(G331=10,2-F331,
1-
F331)
)&amp;
" PARA PROMO",
IF(
G331&lt;=6,
"relampago "&amp;(G331+1)&amp;"x"&amp;G331,
IF(
G331=10,
"2da50off",
IF(
G331&gt;=11,
"relampago "&amp;CHOOSE(G331-10,10,15,20,25)&amp;"%",
"relampago"
)
)
)
),
"sin oferta"
)
)
)
)
)
)
)
)
)</f>
        <v>sin stock</v>
      </c>
      <c r="K331" s="20" t="str">
        <f t="shared" si="17"/>
        <v>SIN STOCK / CARGAR STOCK</v>
      </c>
      <c r="L331" s="20"/>
      <c r="M331" s="20"/>
      <c r="N331" s="21">
        <v>1.0</v>
      </c>
      <c r="O331" s="22">
        <v>2.0</v>
      </c>
      <c r="P331" s="23" t="str">
        <f>IFERROR(__xludf.DUMMYFUNCTION("IFERROR(
  INDEX(
    QUERY(
      Historial!A:I,
      ""select I where B = '""&amp;A331&amp;""' order by A desc limit 1"",
      0
    ),
    1
  ),
  """"
)"),"")</f>
        <v/>
      </c>
      <c r="Q331" s="19" t="s">
        <v>37</v>
      </c>
      <c r="R331" s="24">
        <v>46597.0</v>
      </c>
      <c r="S331" s="20" t="str">
        <f>IFERROR(__xludf.DUMMYFUNCTION("IFERROR(
  INDEX(
    QUERY(
      Historial!A:G,
      ""select G where B = '""&amp;A331&amp;""' order by A desc limit 1"",
      0
    ),
    1
  ),
  """"
)"),"")</f>
        <v/>
      </c>
      <c r="T331" s="20" t="str">
        <f t="shared" si="3"/>
        <v/>
      </c>
      <c r="U331" s="20" t="str">
        <f t="shared" si="4"/>
        <v/>
      </c>
      <c r="V331" s="25">
        <v>0.0</v>
      </c>
      <c r="W331" s="26">
        <v>1.0</v>
      </c>
      <c r="X331" s="26">
        <v>0.013</v>
      </c>
      <c r="Y331" s="26">
        <v>0.0</v>
      </c>
      <c r="Z331" s="26">
        <v>14.0</v>
      </c>
      <c r="AA331" s="26">
        <v>0.13</v>
      </c>
      <c r="AB331" s="26">
        <v>1.0</v>
      </c>
      <c r="AC331" s="27"/>
      <c r="AD331" s="26">
        <v>0.0</v>
      </c>
      <c r="AE331" s="10" t="s">
        <v>38</v>
      </c>
      <c r="AF331" s="10" t="s">
        <v>44</v>
      </c>
      <c r="AG331" s="27"/>
    </row>
    <row r="332" ht="15.75" customHeight="1">
      <c r="A332" s="34" t="s">
        <v>739</v>
      </c>
      <c r="B332" s="35">
        <v>3000.0</v>
      </c>
      <c r="C332" s="15" t="s">
        <v>577</v>
      </c>
      <c r="D332" s="15" t="s">
        <v>740</v>
      </c>
      <c r="E332" s="15"/>
      <c r="F332" s="41">
        <v>4.0</v>
      </c>
      <c r="G332" s="33">
        <v>0.0</v>
      </c>
      <c r="H332" s="33">
        <v>0.0</v>
      </c>
      <c r="I332" s="29">
        <v>0.0</v>
      </c>
      <c r="J332" s="19" t="str">
        <f t="shared" si="19"/>
        <v>sin oferta</v>
      </c>
      <c r="K332" s="20" t="str">
        <f t="shared" si="17"/>
        <v>NORMAL / SIN OFERTA</v>
      </c>
      <c r="L332" s="15"/>
      <c r="M332" s="20"/>
      <c r="N332" s="21">
        <v>0.0</v>
      </c>
      <c r="O332" s="22">
        <v>3.0</v>
      </c>
      <c r="P332" s="23" t="str">
        <f>IFERROR(__xludf.DUMMYFUNCTION("IFERROR(
  INDEX(
    QUERY(
      Historial!A:I,
      ""select I where B = '""&amp;A332&amp;""' order by A desc limit 1"",
      0
    ),
    1
  ),
  """"
)"),"")</f>
        <v/>
      </c>
      <c r="Q332" s="19" t="s">
        <v>48</v>
      </c>
      <c r="R332" s="24">
        <v>46599.0</v>
      </c>
      <c r="S332" s="20" t="str">
        <f>IFERROR(__xludf.DUMMYFUNCTION("IFERROR(
  INDEX(
    QUERY(
      Historial!A:G,
      ""select G where B = '""&amp;A332&amp;""' order by A desc limit 1"",
      0
    ),
    1
  ),
  """"
)"),"")</f>
        <v/>
      </c>
      <c r="T332" s="20" t="str">
        <f t="shared" si="3"/>
        <v/>
      </c>
      <c r="U332" s="20" t="str">
        <f t="shared" si="4"/>
        <v/>
      </c>
      <c r="V332" s="25">
        <v>0.0</v>
      </c>
      <c r="W332" s="26">
        <v>0.0</v>
      </c>
      <c r="X332" s="26">
        <v>0.0</v>
      </c>
      <c r="Y332" s="27"/>
      <c r="Z332" s="26">
        <v>21.0</v>
      </c>
      <c r="AA332" s="26">
        <v>0.0</v>
      </c>
      <c r="AB332" s="26">
        <v>0.0</v>
      </c>
      <c r="AC332" s="27"/>
      <c r="AD332" s="27"/>
      <c r="AE332" s="10" t="s">
        <v>38</v>
      </c>
      <c r="AF332" s="10" t="s">
        <v>44</v>
      </c>
      <c r="AG332" s="27"/>
    </row>
    <row r="333" ht="15.75" customHeight="1">
      <c r="A333" s="34" t="s">
        <v>741</v>
      </c>
      <c r="B333" s="35">
        <v>3000.0</v>
      </c>
      <c r="C333" s="15" t="s">
        <v>577</v>
      </c>
      <c r="D333" s="15" t="s">
        <v>742</v>
      </c>
      <c r="E333" s="15"/>
      <c r="F333" s="41">
        <v>4.0</v>
      </c>
      <c r="G333" s="33">
        <v>0.0</v>
      </c>
      <c r="H333" s="33">
        <v>0.0</v>
      </c>
      <c r="I333" s="29">
        <v>0.0</v>
      </c>
      <c r="J333" s="19" t="str">
        <f t="shared" si="19"/>
        <v>sin oferta</v>
      </c>
      <c r="K333" s="20" t="str">
        <f t="shared" si="17"/>
        <v>NORMAL / SIN OFERTA</v>
      </c>
      <c r="L333" s="15"/>
      <c r="M333" s="20"/>
      <c r="N333" s="21">
        <v>0.0</v>
      </c>
      <c r="O333" s="22">
        <v>3.0</v>
      </c>
      <c r="P333" s="23" t="str">
        <f>IFERROR(__xludf.DUMMYFUNCTION("IFERROR(
  INDEX(
    QUERY(
      Historial!A:I,
      ""select I where B = '""&amp;A333&amp;""' order by A desc limit 1"",
      0
    ),
    1
  ),
  """"
)"),"")</f>
        <v/>
      </c>
      <c r="Q333" s="19" t="s">
        <v>51</v>
      </c>
      <c r="R333" s="24">
        <v>46600.0</v>
      </c>
      <c r="S333" s="20" t="str">
        <f>IFERROR(__xludf.DUMMYFUNCTION("IFERROR(
  INDEX(
    QUERY(
      Historial!A:G,
      ""select G where B = '""&amp;A333&amp;""' order by A desc limit 1"",
      0
    ),
    1
  ),
  """"
)"),"")</f>
        <v/>
      </c>
      <c r="T333" s="20" t="str">
        <f t="shared" si="3"/>
        <v/>
      </c>
      <c r="U333" s="20" t="str">
        <f t="shared" si="4"/>
        <v/>
      </c>
      <c r="V333" s="25">
        <v>0.0</v>
      </c>
      <c r="W333" s="26">
        <v>0.0</v>
      </c>
      <c r="X333" s="26">
        <v>0.0</v>
      </c>
      <c r="Y333" s="27"/>
      <c r="Z333" s="26">
        <v>10.0</v>
      </c>
      <c r="AA333" s="26">
        <v>0.0</v>
      </c>
      <c r="AB333" s="26">
        <v>0.0</v>
      </c>
      <c r="AC333" s="27"/>
      <c r="AD333" s="27"/>
      <c r="AE333" s="10" t="s">
        <v>38</v>
      </c>
      <c r="AF333" s="10" t="s">
        <v>44</v>
      </c>
      <c r="AG333" s="27"/>
    </row>
    <row r="334" ht="15.75" customHeight="1">
      <c r="A334" s="31" t="s">
        <v>743</v>
      </c>
      <c r="B334" s="40">
        <v>3000.0</v>
      </c>
      <c r="C334" s="20" t="s">
        <v>582</v>
      </c>
      <c r="D334" s="15" t="s">
        <v>744</v>
      </c>
      <c r="E334" s="20" t="s">
        <v>147</v>
      </c>
      <c r="F334" s="39">
        <v>0.0</v>
      </c>
      <c r="G334" s="40">
        <v>0.0</v>
      </c>
      <c r="H334" s="20">
        <v>0.0</v>
      </c>
      <c r="I334" s="20">
        <v>0.0</v>
      </c>
      <c r="J334" s="40">
        <v>0.0</v>
      </c>
      <c r="K334" s="20" t="str">
        <f t="shared" si="17"/>
        <v>SIN STOCK / CARGAR STOCK</v>
      </c>
      <c r="L334" s="20">
        <v>0.0</v>
      </c>
      <c r="M334" s="20">
        <v>0.0</v>
      </c>
      <c r="N334" s="21">
        <v>1.0</v>
      </c>
      <c r="O334" s="22">
        <v>2.0</v>
      </c>
      <c r="P334" s="23" t="str">
        <f>IFERROR(__xludf.DUMMYFUNCTION("IFERROR(
  INDEX(
    QUERY(
      Historial!A:I,
      ""select I where B = '""&amp;A334&amp;""' order by A desc limit 1"",
      0
    ),
    1
  ),
  """"
)"),"")</f>
        <v/>
      </c>
      <c r="Q334" s="19" t="s">
        <v>37</v>
      </c>
      <c r="R334" s="24">
        <v>46618.0</v>
      </c>
      <c r="S334" s="20" t="str">
        <f>IFERROR(__xludf.DUMMYFUNCTION("IFERROR(
  INDEX(
    QUERY(
      Historial!A:G,
      ""select G where B = '""&amp;A334&amp;""' order by A desc limit 1"",
      0
    ),
    1
  ),
  """"
)"),"")</f>
        <v/>
      </c>
      <c r="T334" s="20" t="str">
        <f t="shared" si="3"/>
        <v/>
      </c>
      <c r="U334" s="20" t="str">
        <f t="shared" si="4"/>
        <v/>
      </c>
      <c r="V334" s="25">
        <v>0.0</v>
      </c>
      <c r="W334" s="26">
        <v>1.0</v>
      </c>
      <c r="X334" s="26">
        <v>0.013</v>
      </c>
      <c r="Y334" s="26">
        <v>0.0</v>
      </c>
      <c r="Z334" s="26">
        <v>14.0</v>
      </c>
      <c r="AA334" s="26">
        <v>0.13</v>
      </c>
      <c r="AB334" s="26">
        <v>1.0</v>
      </c>
      <c r="AC334" s="27"/>
      <c r="AD334" s="26">
        <v>0.0</v>
      </c>
      <c r="AE334" s="10" t="s">
        <v>38</v>
      </c>
      <c r="AF334" s="10" t="s">
        <v>44</v>
      </c>
      <c r="AG334" s="27"/>
    </row>
    <row r="335" ht="15.75" customHeight="1">
      <c r="A335" s="34" t="s">
        <v>745</v>
      </c>
      <c r="B335" s="35">
        <v>3000.0</v>
      </c>
      <c r="C335" s="15" t="s">
        <v>582</v>
      </c>
      <c r="D335" s="15" t="s">
        <v>746</v>
      </c>
      <c r="E335" s="15"/>
      <c r="F335" s="41">
        <v>2.0</v>
      </c>
      <c r="G335" s="33">
        <v>0.0</v>
      </c>
      <c r="H335" s="33">
        <v>0.0</v>
      </c>
      <c r="I335" s="29">
        <v>0.0</v>
      </c>
      <c r="J335" s="19" t="str">
        <f t="shared" ref="J335:J343" si="20">IF(
A335="",
"",
IF(
F335=0,
"sin stock",
IF(
NOT(OR(I335=0,I335=1)),
"ERROR ESPECIAL",
IF(
NOT(ISNUMBER(MATCH(G335,{0;1;2;3;4;5;6;10;11;12;13;14},0))),
"ERROR RELAMPAGO",
IF(
OR(H335&gt;70,AND(H335&gt;0,H335&lt;15)),
"ERROR DESTACADA",
IF(
(I335=1)+(H335&gt;0)+(G335&gt;0)&gt;1,
"ERROR DOBLE OFERTA",
IF(
I335=1,
"especial",
IF(
H335&gt;0,
"destacada",
IF(
G335&gt;0,
IF(
OR(
AND(G335&lt;=6,F335&lt;(G335+1)),
AND(G335=10,F335&lt;2),
AND(G335&gt;=11,F335&lt;1)
),
"REPONER "&amp;
IF(G335&lt;=6,G335+1-F335,
IF(G335=10,2-F335,
1-
F335)
)&amp;
" PARA PROMO",
IF(
G335&lt;=6,
"relampago "&amp;(G335+1)&amp;"x"&amp;G335,
IF(
G335=10,
"2da50off",
IF(
G335&gt;=11,
"relampago "&amp;CHOOSE(G335-10,10,15,20,25)&amp;"%",
"relampago"
)
)
)
),
"sin oferta"
)
)
)
)
)
)
)
)
)</f>
        <v>sin oferta</v>
      </c>
      <c r="K335" s="20" t="str">
        <f t="shared" si="17"/>
        <v>NORMAL / SIN OFERTA</v>
      </c>
      <c r="L335" s="15"/>
      <c r="M335" s="20"/>
      <c r="N335" s="21">
        <v>0.0</v>
      </c>
      <c r="O335" s="22">
        <v>2.0</v>
      </c>
      <c r="P335" s="23" t="str">
        <f>IFERROR(__xludf.DUMMYFUNCTION("IFERROR(
  INDEX(
    QUERY(
      Historial!A:I,
      ""select I where B = '""&amp;A335&amp;""' order by A desc limit 1"",
      0
    ),
    1
  ),
  """"
)"),"")</f>
        <v/>
      </c>
      <c r="Q335" s="19" t="s">
        <v>51</v>
      </c>
      <c r="R335" s="24">
        <v>46621.0</v>
      </c>
      <c r="S335" s="20">
        <f>IFERROR(__xludf.DUMMYFUNCTION("IFERROR(
  INDEX(
    QUERY(
      Historial!A:G,
      ""select G where B = '""&amp;A335&amp;""' order by A desc limit 1"",
      0
    ),
    1
  ),
  """"
)"),4000.0)</f>
        <v>4000</v>
      </c>
      <c r="T335" s="20" t="str">
        <f t="shared" si="3"/>
        <v/>
      </c>
      <c r="U335" s="20" t="str">
        <f t="shared" si="4"/>
        <v/>
      </c>
      <c r="V335" s="25">
        <v>0.0</v>
      </c>
      <c r="W335" s="26">
        <v>0.0</v>
      </c>
      <c r="X335" s="26">
        <v>0.0</v>
      </c>
      <c r="Y335" s="27"/>
      <c r="Z335" s="26">
        <v>21.0</v>
      </c>
      <c r="AA335" s="26">
        <v>0.0</v>
      </c>
      <c r="AB335" s="26">
        <v>0.0</v>
      </c>
      <c r="AC335" s="27"/>
      <c r="AD335" s="27"/>
      <c r="AE335" s="10" t="s">
        <v>38</v>
      </c>
      <c r="AF335" s="10" t="s">
        <v>44</v>
      </c>
      <c r="AG335" s="27"/>
    </row>
    <row r="336" ht="15.75" customHeight="1">
      <c r="A336" s="34" t="s">
        <v>747</v>
      </c>
      <c r="B336" s="35">
        <v>6000.0</v>
      </c>
      <c r="C336" s="15" t="s">
        <v>582</v>
      </c>
      <c r="D336" s="15" t="s">
        <v>748</v>
      </c>
      <c r="E336" s="15"/>
      <c r="F336" s="41">
        <v>0.0</v>
      </c>
      <c r="G336" s="33">
        <v>0.0</v>
      </c>
      <c r="H336" s="33">
        <v>0.0</v>
      </c>
      <c r="I336" s="29">
        <v>0.0</v>
      </c>
      <c r="J336" s="19" t="str">
        <f t="shared" si="20"/>
        <v>sin stock</v>
      </c>
      <c r="K336" s="20" t="str">
        <f t="shared" si="17"/>
        <v>SIN STOCK / CARGAR STOCK</v>
      </c>
      <c r="L336" s="15"/>
      <c r="M336" s="20"/>
      <c r="N336" s="21">
        <v>1.0</v>
      </c>
      <c r="O336" s="22">
        <v>2.0</v>
      </c>
      <c r="P336" s="23" t="str">
        <f>IFERROR(__xludf.DUMMYFUNCTION("IFERROR(
  INDEX(
    QUERY(
      Historial!A:I,
      ""select I where B = '""&amp;A336&amp;""' order by A desc limit 1"",
      0
    ),
    1
  ),
  """"
)"),"")</f>
        <v/>
      </c>
      <c r="Q336" s="19" t="s">
        <v>57</v>
      </c>
      <c r="R336" s="24">
        <v>46622.0</v>
      </c>
      <c r="S336" s="20" t="str">
        <f>IFERROR(__xludf.DUMMYFUNCTION("IFERROR(
  INDEX(
    QUERY(
      Historial!A:G,
      ""select G where B = '""&amp;A336&amp;""' order by A desc limit 1"",
      0
    ),
    1
  ),
  """"
)"),"")</f>
        <v/>
      </c>
      <c r="T336" s="20" t="str">
        <f t="shared" si="3"/>
        <v/>
      </c>
      <c r="U336" s="20" t="str">
        <f t="shared" si="4"/>
        <v/>
      </c>
      <c r="V336" s="25">
        <v>0.0</v>
      </c>
      <c r="W336" s="26">
        <v>1.0</v>
      </c>
      <c r="X336" s="26">
        <v>0.013</v>
      </c>
      <c r="Y336" s="26">
        <v>0.0</v>
      </c>
      <c r="Z336" s="26">
        <v>14.0</v>
      </c>
      <c r="AA336" s="26">
        <v>0.13</v>
      </c>
      <c r="AB336" s="26">
        <v>1.0</v>
      </c>
      <c r="AC336" s="27"/>
      <c r="AD336" s="26">
        <v>0.0</v>
      </c>
      <c r="AE336" s="10" t="s">
        <v>38</v>
      </c>
      <c r="AF336" s="10" t="s">
        <v>44</v>
      </c>
      <c r="AG336" s="27"/>
    </row>
    <row r="337" ht="15.75" customHeight="1">
      <c r="A337" s="34" t="s">
        <v>749</v>
      </c>
      <c r="B337" s="35">
        <v>4000.0</v>
      </c>
      <c r="C337" s="15" t="s">
        <v>605</v>
      </c>
      <c r="D337" s="15" t="s">
        <v>750</v>
      </c>
      <c r="E337" s="15"/>
      <c r="F337" s="41">
        <v>0.0</v>
      </c>
      <c r="G337" s="33">
        <v>0.0</v>
      </c>
      <c r="H337" s="33">
        <v>0.0</v>
      </c>
      <c r="I337" s="29">
        <v>0.0</v>
      </c>
      <c r="J337" s="19" t="str">
        <f t="shared" si="20"/>
        <v>sin stock</v>
      </c>
      <c r="K337" s="20" t="str">
        <f t="shared" si="17"/>
        <v>SIN STOCK / CARGAR STOCK</v>
      </c>
      <c r="L337" s="15"/>
      <c r="M337" s="20"/>
      <c r="N337" s="21">
        <v>1.0</v>
      </c>
      <c r="O337" s="22">
        <v>2.0</v>
      </c>
      <c r="P337" s="23" t="str">
        <f>IFERROR(__xludf.DUMMYFUNCTION("IFERROR(
  INDEX(
    QUERY(
      Historial!A:I,
      ""select I where B = '""&amp;A337&amp;""' order by A desc limit 1"",
      0
    ),
    1
  ),
  """"
)"),"")</f>
        <v/>
      </c>
      <c r="Q337" s="19" t="s">
        <v>60</v>
      </c>
      <c r="R337" s="24">
        <v>46644.0</v>
      </c>
      <c r="S337" s="20" t="str">
        <f>IFERROR(__xludf.DUMMYFUNCTION("IFERROR(
  INDEX(
    QUERY(
      Historial!A:G,
      ""select G where B = '""&amp;A337&amp;""' order by A desc limit 1"",
      0
    ),
    1
  ),
  """"
)"),"")</f>
        <v/>
      </c>
      <c r="T337" s="20" t="str">
        <f t="shared" si="3"/>
        <v/>
      </c>
      <c r="U337" s="20" t="str">
        <f t="shared" si="4"/>
        <v/>
      </c>
      <c r="V337" s="25">
        <v>0.0</v>
      </c>
      <c r="W337" s="26">
        <v>1.0</v>
      </c>
      <c r="X337" s="26">
        <v>0.013</v>
      </c>
      <c r="Y337" s="26">
        <v>0.0</v>
      </c>
      <c r="Z337" s="26">
        <v>21.0</v>
      </c>
      <c r="AA337" s="26">
        <v>0.091</v>
      </c>
      <c r="AB337" s="26">
        <v>1.0</v>
      </c>
      <c r="AC337" s="27"/>
      <c r="AD337" s="26">
        <v>0.0</v>
      </c>
      <c r="AE337" s="10" t="s">
        <v>38</v>
      </c>
      <c r="AF337" s="10" t="s">
        <v>44</v>
      </c>
      <c r="AG337" s="27"/>
    </row>
    <row r="338" ht="15.75" customHeight="1">
      <c r="A338" s="31" t="s">
        <v>751</v>
      </c>
      <c r="B338" s="20">
        <v>2500.0</v>
      </c>
      <c r="C338" s="20" t="s">
        <v>605</v>
      </c>
      <c r="D338" s="15" t="s">
        <v>752</v>
      </c>
      <c r="E338" s="15" t="s">
        <v>147</v>
      </c>
      <c r="F338" s="41">
        <v>2.0</v>
      </c>
      <c r="G338" s="33">
        <v>0.0</v>
      </c>
      <c r="H338" s="33">
        <v>0.0</v>
      </c>
      <c r="I338" s="29">
        <v>0.0</v>
      </c>
      <c r="J338" s="19" t="str">
        <f t="shared" si="20"/>
        <v>sin oferta</v>
      </c>
      <c r="K338" s="20" t="str">
        <f t="shared" si="17"/>
        <v>NORMAL / SIN OFERTA</v>
      </c>
      <c r="L338" s="15">
        <v>0.0</v>
      </c>
      <c r="M338" s="20"/>
      <c r="N338" s="21">
        <v>0.0</v>
      </c>
      <c r="O338" s="22">
        <v>2.0</v>
      </c>
      <c r="P338" s="23" t="str">
        <f>IFERROR(__xludf.DUMMYFUNCTION("IFERROR(
  INDEX(
    QUERY(
      Historial!A:I,
      ""select I where B = '""&amp;A338&amp;""' order by A desc limit 1"",
      0
    ),
    1
  ),
  """"
)"),"")</f>
        <v/>
      </c>
      <c r="Q338" s="19" t="s">
        <v>37</v>
      </c>
      <c r="R338" s="24">
        <v>46646.0</v>
      </c>
      <c r="S338" s="20">
        <f>IFERROR(__xludf.DUMMYFUNCTION("IFERROR(
  INDEX(
    QUERY(
      Historial!A:G,
      ""select G where B = '""&amp;A338&amp;""' order by A desc limit 1"",
      0
    ),
    1
  ),
  """"
)"),1250.0)</f>
        <v>1250</v>
      </c>
      <c r="T338" s="20" t="str">
        <f t="shared" si="3"/>
        <v/>
      </c>
      <c r="U338" s="20" t="str">
        <f t="shared" si="4"/>
        <v/>
      </c>
      <c r="V338" s="25">
        <v>0.0</v>
      </c>
      <c r="W338" s="26">
        <v>0.0</v>
      </c>
      <c r="X338" s="26">
        <v>0.0</v>
      </c>
      <c r="Y338" s="27"/>
      <c r="Z338" s="26">
        <v>21.0</v>
      </c>
      <c r="AA338" s="26">
        <v>0.0</v>
      </c>
      <c r="AB338" s="26">
        <v>0.0</v>
      </c>
      <c r="AC338" s="27"/>
      <c r="AD338" s="27"/>
      <c r="AE338" s="10" t="s">
        <v>38</v>
      </c>
      <c r="AF338" s="10" t="s">
        <v>44</v>
      </c>
      <c r="AG338" s="27"/>
    </row>
    <row r="339" ht="15.75" customHeight="1">
      <c r="A339" s="34" t="s">
        <v>753</v>
      </c>
      <c r="B339" s="35">
        <v>6000.0</v>
      </c>
      <c r="C339" s="15" t="s">
        <v>638</v>
      </c>
      <c r="D339" s="15" t="s">
        <v>754</v>
      </c>
      <c r="E339" s="15"/>
      <c r="F339" s="41">
        <v>0.0</v>
      </c>
      <c r="G339" s="15">
        <v>0.0</v>
      </c>
      <c r="H339" s="33">
        <v>0.0</v>
      </c>
      <c r="I339" s="19">
        <v>0.0</v>
      </c>
      <c r="J339" s="19" t="str">
        <f t="shared" si="20"/>
        <v>sin stock</v>
      </c>
      <c r="K339" s="20" t="str">
        <f t="shared" si="17"/>
        <v>SIN STOCK / CARGAR STOCK</v>
      </c>
      <c r="L339" s="20"/>
      <c r="M339" s="20"/>
      <c r="N339" s="21">
        <v>1.0</v>
      </c>
      <c r="O339" s="22">
        <v>2.0</v>
      </c>
      <c r="P339" s="23" t="str">
        <f>IFERROR(__xludf.DUMMYFUNCTION("IFERROR(
  INDEX(
    QUERY(
      Historial!A:I,
      ""select I where B = '""&amp;A339&amp;""' order by A desc limit 1"",
      0
    ),
    1
  ),
  """"
)"),"")</f>
        <v/>
      </c>
      <c r="Q339" s="19" t="s">
        <v>60</v>
      </c>
      <c r="R339" s="24">
        <v>46672.0</v>
      </c>
      <c r="S339" s="20">
        <f>IFERROR(__xludf.DUMMYFUNCTION("IFERROR(
  INDEX(
    QUERY(
      Historial!A:G,
      ""select G where B = '""&amp;A339&amp;""' order by A desc limit 1"",
      0
    ),
    1
  ),
  """"
)"),4000.0)</f>
        <v>4000</v>
      </c>
      <c r="T339" s="20" t="str">
        <f t="shared" si="3"/>
        <v/>
      </c>
      <c r="U339" s="20" t="str">
        <f t="shared" si="4"/>
        <v/>
      </c>
      <c r="V339" s="25">
        <v>0.0</v>
      </c>
      <c r="W339" s="26">
        <v>1.0</v>
      </c>
      <c r="X339" s="26">
        <v>0.013</v>
      </c>
      <c r="Y339" s="26">
        <v>0.0</v>
      </c>
      <c r="Z339" s="26">
        <v>14.0</v>
      </c>
      <c r="AA339" s="26">
        <v>0.13</v>
      </c>
      <c r="AB339" s="26">
        <v>1.0</v>
      </c>
      <c r="AC339" s="27"/>
      <c r="AD339" s="26">
        <v>0.0</v>
      </c>
      <c r="AE339" s="10" t="s">
        <v>38</v>
      </c>
      <c r="AF339" s="10" t="s">
        <v>44</v>
      </c>
      <c r="AG339" s="27"/>
    </row>
    <row r="340" ht="15.75" customHeight="1">
      <c r="A340" s="31" t="s">
        <v>755</v>
      </c>
      <c r="B340" s="20">
        <v>2500.0</v>
      </c>
      <c r="C340" s="20" t="s">
        <v>35</v>
      </c>
      <c r="D340" s="15" t="s">
        <v>756</v>
      </c>
      <c r="E340" s="20" t="s">
        <v>47</v>
      </c>
      <c r="F340" s="39">
        <v>3.0</v>
      </c>
      <c r="G340" s="33">
        <v>0.0</v>
      </c>
      <c r="H340" s="33">
        <v>0.0</v>
      </c>
      <c r="I340" s="29">
        <v>0.0</v>
      </c>
      <c r="J340" s="19" t="str">
        <f t="shared" si="20"/>
        <v>sin oferta</v>
      </c>
      <c r="K340" s="20" t="str">
        <f t="shared" si="17"/>
        <v>NORMAL / SIN OFERTA</v>
      </c>
      <c r="L340" s="15">
        <v>0.0</v>
      </c>
      <c r="M340" s="20"/>
      <c r="N340" s="21">
        <v>0.0</v>
      </c>
      <c r="O340" s="22">
        <v>3.0</v>
      </c>
      <c r="P340" s="23" t="str">
        <f>IFERROR(__xludf.DUMMYFUNCTION("IFERROR(
  INDEX(
    QUERY(
      Historial!A:I,
      ""select I where B = '""&amp;A340&amp;""' order by A desc limit 1"",
      0
    ),
    1
  ),
  """"
)"),"")</f>
        <v/>
      </c>
      <c r="Q340" s="19" t="s">
        <v>57</v>
      </c>
      <c r="R340" s="24">
        <v>46097.0</v>
      </c>
      <c r="S340" s="20" t="str">
        <f>IFERROR(__xludf.DUMMYFUNCTION("IFERROR(
  INDEX(
    QUERY(
      Historial!A:G,
      ""select G where B = '""&amp;A340&amp;""' order by A desc limit 1"",
      0
    ),
    1
  ),
  """"
)"),"")</f>
        <v/>
      </c>
      <c r="T340" s="20" t="str">
        <f t="shared" si="3"/>
        <v/>
      </c>
      <c r="U340" s="20" t="str">
        <f t="shared" si="4"/>
        <v/>
      </c>
      <c r="V340" s="25">
        <v>0.0</v>
      </c>
      <c r="W340" s="26">
        <v>0.0</v>
      </c>
      <c r="X340" s="26">
        <v>0.0</v>
      </c>
      <c r="Y340" s="27"/>
      <c r="Z340" s="26">
        <v>21.0</v>
      </c>
      <c r="AA340" s="26">
        <v>0.0</v>
      </c>
      <c r="AB340" s="26">
        <v>0.0</v>
      </c>
      <c r="AC340" s="27"/>
      <c r="AD340" s="27"/>
      <c r="AE340" s="10" t="s">
        <v>38</v>
      </c>
      <c r="AF340" s="10" t="s">
        <v>44</v>
      </c>
      <c r="AG340" s="27"/>
    </row>
    <row r="341" ht="15.75" customHeight="1">
      <c r="A341" s="31" t="s">
        <v>757</v>
      </c>
      <c r="B341" s="20">
        <v>7500.0</v>
      </c>
      <c r="C341" s="20" t="s">
        <v>87</v>
      </c>
      <c r="D341" s="15" t="s">
        <v>758</v>
      </c>
      <c r="E341" s="20" t="s">
        <v>759</v>
      </c>
      <c r="F341" s="39">
        <v>1.0</v>
      </c>
      <c r="G341" s="40">
        <v>0.0</v>
      </c>
      <c r="H341" s="40">
        <v>15.0</v>
      </c>
      <c r="I341" s="40">
        <v>0.0</v>
      </c>
      <c r="J341" s="19" t="str">
        <f t="shared" si="20"/>
        <v>destacada</v>
      </c>
      <c r="K341" s="20">
        <f t="shared" si="17"/>
        <v>6375</v>
      </c>
      <c r="L341" s="20">
        <v>0.0</v>
      </c>
      <c r="M341" s="20">
        <v>0.0</v>
      </c>
      <c r="N341" s="21">
        <v>0.0</v>
      </c>
      <c r="O341" s="22">
        <v>2.0</v>
      </c>
      <c r="P341" s="23" t="str">
        <f>IFERROR(__xludf.DUMMYFUNCTION("IFERROR(
  INDEX(
    QUERY(
      Historial!A:I,
      ""select I where B = '""&amp;A341&amp;""' order by A desc limit 1"",
      0
    ),
    1
  ),
  """"
)"),"")</f>
        <v/>
      </c>
      <c r="Q341" s="19" t="s">
        <v>57</v>
      </c>
      <c r="R341" s="24">
        <v>46111.0</v>
      </c>
      <c r="S341" s="20" t="str">
        <f>IFERROR(__xludf.DUMMYFUNCTION("IFERROR(
  INDEX(
    QUERY(
      Historial!A:G,
      ""select G where B = '""&amp;A341&amp;""' order by A desc limit 1"",
      0
    ),
    1
  ),
  """"
)"),"")</f>
        <v/>
      </c>
      <c r="T341" s="20" t="str">
        <f t="shared" si="3"/>
        <v/>
      </c>
      <c r="U341" s="20" t="str">
        <f t="shared" si="4"/>
        <v/>
      </c>
      <c r="V341" s="25">
        <v>0.0</v>
      </c>
      <c r="W341" s="26">
        <v>0.0</v>
      </c>
      <c r="X341" s="26">
        <v>0.0</v>
      </c>
      <c r="Y341" s="27"/>
      <c r="Z341" s="26">
        <v>14.0</v>
      </c>
      <c r="AA341" s="26">
        <v>0.0</v>
      </c>
      <c r="AB341" s="26">
        <v>0.0</v>
      </c>
      <c r="AC341" s="27"/>
      <c r="AD341" s="27"/>
      <c r="AE341" s="10" t="s">
        <v>38</v>
      </c>
      <c r="AF341" s="10" t="s">
        <v>44</v>
      </c>
      <c r="AG341" s="27"/>
    </row>
    <row r="342" ht="15.75" customHeight="1">
      <c r="A342" s="34" t="s">
        <v>760</v>
      </c>
      <c r="B342" s="35">
        <v>6599.0</v>
      </c>
      <c r="C342" s="15" t="s">
        <v>87</v>
      </c>
      <c r="D342" s="15" t="s">
        <v>761</v>
      </c>
      <c r="E342" s="15"/>
      <c r="F342" s="41">
        <v>3.0</v>
      </c>
      <c r="G342" s="33">
        <v>0.0</v>
      </c>
      <c r="H342" s="33">
        <v>0.0</v>
      </c>
      <c r="I342" s="29">
        <v>1.0</v>
      </c>
      <c r="J342" s="19" t="str">
        <f t="shared" si="20"/>
        <v>especial</v>
      </c>
      <c r="K342" s="20">
        <f t="shared" si="17"/>
        <v>5939.1</v>
      </c>
      <c r="L342" s="15"/>
      <c r="M342" s="19"/>
      <c r="N342" s="21">
        <v>0.0</v>
      </c>
      <c r="O342" s="22">
        <v>3.0</v>
      </c>
      <c r="P342" s="23" t="str">
        <f>IFERROR(__xludf.DUMMYFUNCTION("IFERROR(
  INDEX(
    QUERY(
      Historial!A:I,
      ""select I where B = '""&amp;A342&amp;""' order by A desc limit 1"",
      0
    ),
    1
  ),
  """"
)"),"")</f>
        <v/>
      </c>
      <c r="Q342" s="19" t="s">
        <v>63</v>
      </c>
      <c r="R342" s="24">
        <v>46113.0</v>
      </c>
      <c r="S342" s="20" t="str">
        <f>IFERROR(__xludf.DUMMYFUNCTION("IFERROR(
  INDEX(
    QUERY(
      Historial!A:G,
      ""select G where B = '""&amp;A342&amp;""' order by A desc limit 1"",
      0
    ),
    1
  ),
  """"
)"),"")</f>
        <v/>
      </c>
      <c r="T342" s="20" t="str">
        <f t="shared" si="3"/>
        <v/>
      </c>
      <c r="U342" s="20" t="str">
        <f t="shared" si="4"/>
        <v/>
      </c>
      <c r="V342" s="25">
        <v>0.0</v>
      </c>
      <c r="W342" s="26">
        <v>0.0</v>
      </c>
      <c r="X342" s="26">
        <v>0.0</v>
      </c>
      <c r="Y342" s="27"/>
      <c r="Z342" s="26">
        <v>10.0</v>
      </c>
      <c r="AA342" s="26">
        <v>0.0</v>
      </c>
      <c r="AB342" s="26">
        <v>0.0</v>
      </c>
      <c r="AC342" s="27"/>
      <c r="AD342" s="27"/>
      <c r="AE342" s="10" t="s">
        <v>38</v>
      </c>
      <c r="AF342" s="10" t="s">
        <v>44</v>
      </c>
      <c r="AG342" s="27"/>
    </row>
    <row r="343" ht="15.75" customHeight="1">
      <c r="A343" s="34" t="s">
        <v>762</v>
      </c>
      <c r="B343" s="35">
        <v>3500.0</v>
      </c>
      <c r="C343" s="15" t="s">
        <v>87</v>
      </c>
      <c r="D343" s="15" t="s">
        <v>763</v>
      </c>
      <c r="E343" s="15"/>
      <c r="F343" s="41">
        <v>3.0</v>
      </c>
      <c r="G343" s="33">
        <v>0.0</v>
      </c>
      <c r="H343" s="33">
        <v>0.0</v>
      </c>
      <c r="I343" s="29">
        <v>0.0</v>
      </c>
      <c r="J343" s="19" t="str">
        <f t="shared" si="20"/>
        <v>sin oferta</v>
      </c>
      <c r="K343" s="20" t="str">
        <f t="shared" si="17"/>
        <v>NORMAL / SIN OFERTA</v>
      </c>
      <c r="L343" s="15"/>
      <c r="M343" s="19"/>
      <c r="N343" s="21">
        <v>0.0</v>
      </c>
      <c r="O343" s="22">
        <v>3.0</v>
      </c>
      <c r="P343" s="23" t="str">
        <f>IFERROR(__xludf.DUMMYFUNCTION("IFERROR(
  INDEX(
    QUERY(
      Historial!A:I,
      ""select I where B = '""&amp;A343&amp;""' order by A desc limit 1"",
      0
    ),
    1
  ),
  """"
)"),"")</f>
        <v/>
      </c>
      <c r="Q343" s="19" t="s">
        <v>37</v>
      </c>
      <c r="R343" s="24">
        <v>46114.0</v>
      </c>
      <c r="S343" s="20" t="str">
        <f>IFERROR(__xludf.DUMMYFUNCTION("IFERROR(
  INDEX(
    QUERY(
      Historial!A:G,
      ""select G where B = '""&amp;A343&amp;""' order by A desc limit 1"",
      0
    ),
    1
  ),
  """"
)"),"")</f>
        <v/>
      </c>
      <c r="T343" s="20" t="str">
        <f t="shared" si="3"/>
        <v/>
      </c>
      <c r="U343" s="20" t="str">
        <f t="shared" si="4"/>
        <v/>
      </c>
      <c r="V343" s="25">
        <v>0.0</v>
      </c>
      <c r="W343" s="26">
        <v>0.0</v>
      </c>
      <c r="X343" s="26">
        <v>0.0</v>
      </c>
      <c r="Y343" s="27"/>
      <c r="Z343" s="26">
        <v>10.0</v>
      </c>
      <c r="AA343" s="26">
        <v>0.0</v>
      </c>
      <c r="AB343" s="26">
        <v>0.0</v>
      </c>
      <c r="AC343" s="27"/>
      <c r="AD343" s="27"/>
      <c r="AE343" s="10" t="s">
        <v>38</v>
      </c>
      <c r="AF343" s="10" t="s">
        <v>44</v>
      </c>
      <c r="AG343" s="27"/>
    </row>
    <row r="344" ht="15.75" customHeight="1">
      <c r="A344" s="34" t="s">
        <v>764</v>
      </c>
      <c r="B344" s="35">
        <v>3000.0</v>
      </c>
      <c r="C344" s="15" t="s">
        <v>87</v>
      </c>
      <c r="D344" s="15" t="s">
        <v>765</v>
      </c>
      <c r="E344" s="15"/>
      <c r="F344" s="41">
        <v>3.0</v>
      </c>
      <c r="G344" s="33">
        <v>0.0</v>
      </c>
      <c r="H344" s="33">
        <v>0.0</v>
      </c>
      <c r="I344" s="29">
        <v>0.0</v>
      </c>
      <c r="J344" s="19" t="str">
        <f t="array" ref="J344">IF(
  A344="",
  "",
  IF(
    F344=0,
    "sin stock",
    IF(
      NOT(OR(I344=0,I344=1)),
      "ERROR ESPECIAL",
      IF(
        NOT(ISNUMBER(MATCH(G344,{0;1;2;3;4;5;6;10;11;12;13;14},0))),
        "ERROR RELAMPAGO",
        IF(
          OR(H344&gt;70,AND(H344&gt;0,H344&lt;15)),
          "ERROR DESTACADA",
          IF(
            (I344=1)+(H344&gt;0)+(G344&gt;0)&gt;1,
            "ERROR DOBLE OFERTA",
            IF(
              I344=1,
              "especial",
              IF(
                H344&gt;0,
                "destacada",
                IF(
                  G344&gt;0,
                  IF(
                    OR(
                      AND(G344&lt;=6,F344&lt;(G344+1)),
                      AND(G344=10,F344&lt;2),
                      AND(G344&gt;=11,F344&lt;1)
                    ),
                    "REPONER "&amp;
                    IF(G344&lt;=6,G344+1-F344,
                       IF(G344=10,2-F344,
                          1-F344
                       )
                    )&amp;
                    " PARA PROMO",
                    IF(
                      G344&lt;=6,
                      "relampago "&amp;(G344+1)&amp;"x"&amp;G344,
                      IF(
                        G344=10,
                        "2da50off",
                        IF(
                          G344&gt;=11,
                          "relampago "&amp;CHOOSE(G344-10,10,15,20,25)&amp;"%",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sin oferta</v>
      </c>
      <c r="K344" s="20" t="str">
        <f t="shared" si="17"/>
        <v>NORMAL / SIN OFERTA</v>
      </c>
      <c r="L344" s="15"/>
      <c r="M344" s="19"/>
      <c r="N344" s="21">
        <v>0.0</v>
      </c>
      <c r="O344" s="22">
        <v>3.0</v>
      </c>
      <c r="P344" s="23" t="str">
        <f>IFERROR(__xludf.DUMMYFUNCTION("IFERROR(
  INDEX(
    QUERY(
      Historial!A:I,
      ""select I where B = '""&amp;A344&amp;""' order by A desc limit 1"",
      0
    ),
    1
  ),
  """"
)"),"")</f>
        <v/>
      </c>
      <c r="Q344" s="19" t="s">
        <v>43</v>
      </c>
      <c r="R344" s="24">
        <v>46115.0</v>
      </c>
      <c r="S344" s="20" t="str">
        <f>IFERROR(__xludf.DUMMYFUNCTION("IFERROR(
  INDEX(
    QUERY(
      Historial!A:G,
      ""select G where B = '""&amp;A344&amp;""' order by A desc limit 1"",
      0
    ),
    1
  ),
  """"
)"),"")</f>
        <v/>
      </c>
      <c r="T344" s="20" t="str">
        <f t="shared" si="3"/>
        <v/>
      </c>
      <c r="U344" s="20" t="str">
        <f t="shared" si="4"/>
        <v/>
      </c>
      <c r="V344" s="25">
        <v>0.0</v>
      </c>
      <c r="W344" s="26">
        <v>0.0</v>
      </c>
      <c r="X344" s="26">
        <v>0.0</v>
      </c>
      <c r="Y344" s="27"/>
      <c r="Z344" s="26">
        <v>10.0</v>
      </c>
      <c r="AA344" s="26">
        <v>0.0</v>
      </c>
      <c r="AB344" s="26">
        <v>0.0</v>
      </c>
      <c r="AC344" s="27"/>
      <c r="AD344" s="27"/>
      <c r="AE344" s="10" t="s">
        <v>38</v>
      </c>
      <c r="AF344" s="10" t="s">
        <v>44</v>
      </c>
      <c r="AG344" s="27"/>
    </row>
    <row r="345" ht="15.75" customHeight="1">
      <c r="A345" s="34" t="s">
        <v>766</v>
      </c>
      <c r="B345" s="35">
        <v>4000.0</v>
      </c>
      <c r="C345" s="15" t="s">
        <v>87</v>
      </c>
      <c r="D345" s="15" t="s">
        <v>767</v>
      </c>
      <c r="E345" s="15" t="s">
        <v>47</v>
      </c>
      <c r="F345" s="41">
        <v>3.0</v>
      </c>
      <c r="G345" s="17">
        <v>10.0</v>
      </c>
      <c r="H345" s="17">
        <v>0.0</v>
      </c>
      <c r="I345" s="18">
        <v>0.0</v>
      </c>
      <c r="J345" s="19" t="str">
        <f t="shared" ref="J345:J409" si="21">IF(
A345="",
"",
IF(
F345=0,
"sin stock",
IF(
NOT(OR(I345=0,I345=1)),
"ERROR ESPECIAL",
IF(
NOT(ISNUMBER(MATCH(G345,{0;1;2;3;4;5;6;10;11;12;13;14},0))),
"ERROR RELAMPAGO",
IF(
OR(H345&gt;70,AND(H345&gt;0,H345&lt;15)),
"ERROR DESTACADA",
IF(
(I345=1)+(H345&gt;0)+(G345&gt;0)&gt;1,
"ERROR DOBLE OFERTA",
IF(
I345=1,
"especial",
IF(
H345&gt;0,
"destacada",
IF(
G345&gt;0,
IF(
OR(
AND(G345&lt;=6,F345&lt;(G345+1)),
AND(G345=10,F345&lt;2),
AND(G345&gt;=11,F345&lt;1)
),
"REPONER "&amp;
IF(G345&lt;=6,G345+1-F345,
IF(G345=10,2-F345,
1-
F345)
)&amp;
" PARA PROMO",
IF(
G345&lt;=6,
"relampago "&amp;(G345+1)&amp;"x"&amp;G345,
IF(
G345=10,
"2da50off",
IF(
G345&gt;=11,
"relampago "&amp;CHOOSE(G345-10,10,15,20,25)&amp;"%",
"relampago"
)
)
)
),
"sin oferta"
)
)
)
)
)
)
)
)
)</f>
        <v>2da50off</v>
      </c>
      <c r="K345" s="20">
        <f t="shared" si="17"/>
        <v>3000</v>
      </c>
      <c r="L345" s="15"/>
      <c r="M345" s="20"/>
      <c r="N345" s="21">
        <v>0.0</v>
      </c>
      <c r="O345" s="22">
        <v>3.0</v>
      </c>
      <c r="P345" s="23">
        <f>IFERROR(__xludf.DUMMYFUNCTION("IFERROR(
  INDEX(
    QUERY(
      Historial!A:I,
      ""select I where B = '""&amp;A345&amp;""' order by A desc limit 1"",
      0
    ),
    1
  ),
  """"
)"),46382.0)</f>
        <v>46382</v>
      </c>
      <c r="Q345" s="19" t="s">
        <v>51</v>
      </c>
      <c r="R345" s="24">
        <v>46117.0</v>
      </c>
      <c r="S345" s="20">
        <f>IFERROR(__xludf.DUMMYFUNCTION("IFERROR(
  INDEX(
    QUERY(
      Historial!A:G,
      ""select G where B = '""&amp;A345&amp;""' order by A desc limit 1"",
      0
    ),
    1
  ),
  """"
)"),2500.0)</f>
        <v>2500</v>
      </c>
      <c r="T345" s="20" t="str">
        <f t="shared" si="3"/>
        <v>✅ OK</v>
      </c>
      <c r="U345" s="20" t="str">
        <f t="shared" si="4"/>
        <v/>
      </c>
      <c r="V345" s="25">
        <v>0.0</v>
      </c>
      <c r="W345" s="26">
        <v>0.0</v>
      </c>
      <c r="X345" s="26">
        <v>0.0</v>
      </c>
      <c r="Y345" s="27"/>
      <c r="Z345" s="26">
        <v>10.0</v>
      </c>
      <c r="AA345" s="26">
        <v>0.0</v>
      </c>
      <c r="AB345" s="26">
        <v>0.0</v>
      </c>
      <c r="AC345" s="26">
        <v>290.0</v>
      </c>
      <c r="AD345" s="27"/>
      <c r="AE345" s="10" t="s">
        <v>38</v>
      </c>
      <c r="AF345" s="10" t="s">
        <v>44</v>
      </c>
      <c r="AG345" s="27"/>
    </row>
    <row r="346" ht="15.75" customHeight="1">
      <c r="A346" s="34" t="s">
        <v>768</v>
      </c>
      <c r="B346" s="35">
        <v>2000.0</v>
      </c>
      <c r="C346" s="15" t="s">
        <v>87</v>
      </c>
      <c r="D346" s="15" t="s">
        <v>769</v>
      </c>
      <c r="E346" s="15"/>
      <c r="F346" s="41">
        <v>3.0</v>
      </c>
      <c r="G346" s="33">
        <v>0.0</v>
      </c>
      <c r="H346" s="33">
        <v>0.0</v>
      </c>
      <c r="I346" s="29">
        <v>0.0</v>
      </c>
      <c r="J346" s="19" t="str">
        <f t="shared" si="21"/>
        <v>sin oferta</v>
      </c>
      <c r="K346" s="20" t="str">
        <f t="shared" si="17"/>
        <v>NORMAL / SIN OFERTA</v>
      </c>
      <c r="L346" s="15"/>
      <c r="M346" s="19"/>
      <c r="N346" s="21">
        <v>0.0</v>
      </c>
      <c r="O346" s="22">
        <v>3.0</v>
      </c>
      <c r="P346" s="23" t="str">
        <f>IFERROR(__xludf.DUMMYFUNCTION("IFERROR(
  INDEX(
    QUERY(
      Historial!A:I,
      ""select I where B = '""&amp;A346&amp;""' order by A desc limit 1"",
      0
    ),
    1
  ),
  """"
)"),"")</f>
        <v/>
      </c>
      <c r="Q346" s="19" t="s">
        <v>48</v>
      </c>
      <c r="R346" s="24">
        <v>46123.0</v>
      </c>
      <c r="S346" s="20" t="str">
        <f>IFERROR(__xludf.DUMMYFUNCTION("IFERROR(
  INDEX(
    QUERY(
      Historial!A:G,
      ""select G where B = '""&amp;A346&amp;""' order by A desc limit 1"",
      0
    ),
    1
  ),
  """"
)"),"")</f>
        <v/>
      </c>
      <c r="T346" s="20" t="str">
        <f t="shared" si="3"/>
        <v/>
      </c>
      <c r="U346" s="20" t="str">
        <f t="shared" si="4"/>
        <v/>
      </c>
      <c r="V346" s="25">
        <v>0.0</v>
      </c>
      <c r="W346" s="26">
        <v>0.0</v>
      </c>
      <c r="X346" s="26">
        <v>0.0</v>
      </c>
      <c r="Y346" s="27"/>
      <c r="Z346" s="26">
        <v>10.0</v>
      </c>
      <c r="AA346" s="26">
        <v>0.0</v>
      </c>
      <c r="AB346" s="26">
        <v>0.0</v>
      </c>
      <c r="AC346" s="27"/>
      <c r="AD346" s="27"/>
      <c r="AE346" s="10" t="s">
        <v>38</v>
      </c>
      <c r="AF346" s="10" t="s">
        <v>44</v>
      </c>
      <c r="AG346" s="27"/>
    </row>
    <row r="347" ht="15.75" customHeight="1">
      <c r="A347" s="34" t="s">
        <v>770</v>
      </c>
      <c r="B347" s="35">
        <v>5000.0</v>
      </c>
      <c r="C347" s="15" t="s">
        <v>87</v>
      </c>
      <c r="D347" s="15" t="s">
        <v>771</v>
      </c>
      <c r="E347" s="15"/>
      <c r="F347" s="41">
        <v>1.0</v>
      </c>
      <c r="G347" s="33">
        <v>0.0</v>
      </c>
      <c r="H347" s="33">
        <v>0.0</v>
      </c>
      <c r="I347" s="29">
        <v>0.0</v>
      </c>
      <c r="J347" s="19" t="str">
        <f t="shared" si="21"/>
        <v>sin oferta</v>
      </c>
      <c r="K347" s="20" t="str">
        <f t="shared" si="17"/>
        <v>NORMAL / SIN OFERTA</v>
      </c>
      <c r="L347" s="15"/>
      <c r="M347" s="20"/>
      <c r="N347" s="21">
        <v>0.0</v>
      </c>
      <c r="O347" s="22">
        <v>2.0</v>
      </c>
      <c r="P347" s="23" t="str">
        <f>IFERROR(__xludf.DUMMYFUNCTION("IFERROR(
  INDEX(
    QUERY(
      Historial!A:I,
      ""select I where B = '""&amp;A347&amp;""' order by A desc limit 1"",
      0
    ),
    1
  ),
  """"
)"),"")</f>
        <v/>
      </c>
      <c r="Q347" s="19" t="s">
        <v>43</v>
      </c>
      <c r="R347" s="24">
        <v>46136.0</v>
      </c>
      <c r="S347" s="20" t="str">
        <f>IFERROR(__xludf.DUMMYFUNCTION("IFERROR(
  INDEX(
    QUERY(
      Historial!A:G,
      ""select G where B = '""&amp;A347&amp;""' order by A desc limit 1"",
      0
    ),
    1
  ),
  """"
)"),"")</f>
        <v/>
      </c>
      <c r="T347" s="20" t="str">
        <f t="shared" si="3"/>
        <v/>
      </c>
      <c r="U347" s="20" t="str">
        <f t="shared" si="4"/>
        <v/>
      </c>
      <c r="V347" s="25">
        <v>0.0</v>
      </c>
      <c r="W347" s="26">
        <v>0.0</v>
      </c>
      <c r="X347" s="26">
        <v>0.0</v>
      </c>
      <c r="Y347" s="27"/>
      <c r="Z347" s="26">
        <v>14.0</v>
      </c>
      <c r="AA347" s="26">
        <v>0.0</v>
      </c>
      <c r="AB347" s="26">
        <v>0.0</v>
      </c>
      <c r="AC347" s="27"/>
      <c r="AD347" s="27"/>
      <c r="AE347" s="10" t="s">
        <v>38</v>
      </c>
      <c r="AF347" s="10" t="s">
        <v>44</v>
      </c>
      <c r="AG347" s="27"/>
    </row>
    <row r="348" ht="15.75" customHeight="1">
      <c r="A348" s="34" t="s">
        <v>772</v>
      </c>
      <c r="B348" s="35">
        <v>5000.0</v>
      </c>
      <c r="C348" s="15" t="s">
        <v>87</v>
      </c>
      <c r="D348" s="15" t="s">
        <v>773</v>
      </c>
      <c r="E348" s="15"/>
      <c r="F348" s="41">
        <v>3.0</v>
      </c>
      <c r="G348" s="33">
        <v>0.0</v>
      </c>
      <c r="H348" s="33">
        <v>0.0</v>
      </c>
      <c r="I348" s="29">
        <v>0.0</v>
      </c>
      <c r="J348" s="19" t="str">
        <f t="shared" si="21"/>
        <v>sin oferta</v>
      </c>
      <c r="K348" s="20" t="str">
        <f t="shared" si="17"/>
        <v>NORMAL / SIN OFERTA</v>
      </c>
      <c r="L348" s="15"/>
      <c r="M348" s="20"/>
      <c r="N348" s="21">
        <v>0.0</v>
      </c>
      <c r="O348" s="22">
        <v>3.0</v>
      </c>
      <c r="P348" s="23" t="str">
        <f>IFERROR(__xludf.DUMMYFUNCTION("IFERROR(
  INDEX(
    QUERY(
      Historial!A:I,
      ""select I where B = '""&amp;A348&amp;""' order by A desc limit 1"",
      0
    ),
    1
  ),
  """"
)"),"")</f>
        <v/>
      </c>
      <c r="Q348" s="19" t="s">
        <v>48</v>
      </c>
      <c r="R348" s="24">
        <v>46137.0</v>
      </c>
      <c r="S348" s="20" t="str">
        <f>IFERROR(__xludf.DUMMYFUNCTION("IFERROR(
  INDEX(
    QUERY(
      Historial!A:G,
      ""select G where B = '""&amp;A348&amp;""' order by A desc limit 1"",
      0
    ),
    1
  ),
  """"
)"),"")</f>
        <v/>
      </c>
      <c r="T348" s="20" t="str">
        <f t="shared" si="3"/>
        <v/>
      </c>
      <c r="U348" s="20" t="str">
        <f t="shared" si="4"/>
        <v/>
      </c>
      <c r="V348" s="25">
        <v>0.0</v>
      </c>
      <c r="W348" s="26">
        <v>0.0</v>
      </c>
      <c r="X348" s="26">
        <v>0.0</v>
      </c>
      <c r="Y348" s="27"/>
      <c r="Z348" s="26">
        <v>10.0</v>
      </c>
      <c r="AA348" s="26">
        <v>0.0</v>
      </c>
      <c r="AB348" s="26">
        <v>0.0</v>
      </c>
      <c r="AC348" s="27"/>
      <c r="AD348" s="27"/>
      <c r="AE348" s="10" t="s">
        <v>38</v>
      </c>
      <c r="AF348" s="10" t="s">
        <v>44</v>
      </c>
      <c r="AG348" s="27"/>
    </row>
    <row r="349" ht="15.75" customHeight="1">
      <c r="A349" s="31" t="s">
        <v>774</v>
      </c>
      <c r="B349" s="20">
        <v>3000.0</v>
      </c>
      <c r="C349" s="20" t="s">
        <v>87</v>
      </c>
      <c r="D349" s="15" t="s">
        <v>775</v>
      </c>
      <c r="E349" s="15" t="s">
        <v>74</v>
      </c>
      <c r="F349" s="39">
        <v>1.0</v>
      </c>
      <c r="G349" s="40">
        <v>0.0</v>
      </c>
      <c r="H349" s="40">
        <v>0.0</v>
      </c>
      <c r="I349" s="40">
        <v>0.0</v>
      </c>
      <c r="J349" s="19" t="str">
        <f t="shared" si="21"/>
        <v>sin oferta</v>
      </c>
      <c r="K349" s="20" t="str">
        <f t="shared" si="17"/>
        <v>NORMAL / SIN OFERTA</v>
      </c>
      <c r="L349" s="20">
        <v>0.0</v>
      </c>
      <c r="M349" s="20">
        <v>0.0</v>
      </c>
      <c r="N349" s="21">
        <v>0.0</v>
      </c>
      <c r="O349" s="22">
        <v>2.0</v>
      </c>
      <c r="P349" s="23">
        <f>IFERROR(__xludf.DUMMYFUNCTION("IFERROR(
  INDEX(
    QUERY(
      Historial!A:I,
      ""select I where B = '""&amp;A349&amp;""' order by A desc limit 1"",
      0
    ),
    1
  ),
  """"
)"),46266.0)</f>
        <v>46266</v>
      </c>
      <c r="Q349" s="19" t="s">
        <v>51</v>
      </c>
      <c r="R349" s="24">
        <v>46138.0</v>
      </c>
      <c r="S349" s="20">
        <f>IFERROR(__xludf.DUMMYFUNCTION("IFERROR(
  INDEX(
    QUERY(
      Historial!A:G,
      ""select G where B = '""&amp;A349&amp;""' order by A desc limit 1"",
      0
    ),
    1
  ),
  """"
)"),1500.0)</f>
        <v>1500</v>
      </c>
      <c r="T349" s="20" t="str">
        <f t="shared" si="3"/>
        <v>✅ OK</v>
      </c>
      <c r="U349" s="20" t="str">
        <f t="shared" si="4"/>
        <v/>
      </c>
      <c r="V349" s="25">
        <v>0.0</v>
      </c>
      <c r="W349" s="26">
        <v>0.0</v>
      </c>
      <c r="X349" s="26">
        <v>0.0</v>
      </c>
      <c r="Y349" s="27"/>
      <c r="Z349" s="26">
        <v>14.0</v>
      </c>
      <c r="AA349" s="26">
        <v>0.0</v>
      </c>
      <c r="AB349" s="26">
        <v>0.0</v>
      </c>
      <c r="AC349" s="26">
        <v>174.0</v>
      </c>
      <c r="AD349" s="27"/>
      <c r="AE349" s="10" t="s">
        <v>38</v>
      </c>
      <c r="AF349" s="10" t="s">
        <v>44</v>
      </c>
      <c r="AG349" s="27"/>
    </row>
    <row r="350" ht="15.75" customHeight="1">
      <c r="A350" s="34" t="s">
        <v>776</v>
      </c>
      <c r="B350" s="35">
        <v>1500.0</v>
      </c>
      <c r="C350" s="15" t="s">
        <v>87</v>
      </c>
      <c r="D350" s="15" t="s">
        <v>777</v>
      </c>
      <c r="E350" s="15"/>
      <c r="F350" s="41">
        <v>3.0</v>
      </c>
      <c r="G350" s="33">
        <v>0.0</v>
      </c>
      <c r="H350" s="33">
        <v>0.0</v>
      </c>
      <c r="I350" s="29">
        <v>1.0</v>
      </c>
      <c r="J350" s="19" t="str">
        <f t="shared" si="21"/>
        <v>especial</v>
      </c>
      <c r="K350" s="20">
        <f t="shared" si="17"/>
        <v>1350</v>
      </c>
      <c r="L350" s="15"/>
      <c r="M350" s="20"/>
      <c r="N350" s="21">
        <v>0.0</v>
      </c>
      <c r="O350" s="22">
        <v>3.0</v>
      </c>
      <c r="P350" s="23" t="str">
        <f>IFERROR(__xludf.DUMMYFUNCTION("IFERROR(
  INDEX(
    QUERY(
      Historial!A:I,
      ""select I where B = '""&amp;A350&amp;""' order by A desc limit 1"",
      0
    ),
    1
  ),
  """"
)"),"")</f>
        <v/>
      </c>
      <c r="Q350" s="19" t="s">
        <v>60</v>
      </c>
      <c r="R350" s="24">
        <v>46140.0</v>
      </c>
      <c r="S350" s="20" t="str">
        <f>IFERROR(__xludf.DUMMYFUNCTION("IFERROR(
  INDEX(
    QUERY(
      Historial!A:G,
      ""select G where B = '""&amp;A350&amp;""' order by A desc limit 1"",
      0
    ),
    1
  ),
  """"
)"),"")</f>
        <v/>
      </c>
      <c r="T350" s="20" t="str">
        <f t="shared" si="3"/>
        <v/>
      </c>
      <c r="U350" s="20" t="str">
        <f t="shared" si="4"/>
        <v/>
      </c>
      <c r="V350" s="25">
        <v>0.0</v>
      </c>
      <c r="W350" s="26">
        <v>0.0</v>
      </c>
      <c r="X350" s="26">
        <v>0.0</v>
      </c>
      <c r="Y350" s="27"/>
      <c r="Z350" s="26">
        <v>10.0</v>
      </c>
      <c r="AA350" s="26">
        <v>0.0</v>
      </c>
      <c r="AB350" s="26">
        <v>0.0</v>
      </c>
      <c r="AC350" s="27"/>
      <c r="AD350" s="27"/>
      <c r="AE350" s="10" t="s">
        <v>38</v>
      </c>
      <c r="AF350" s="10" t="s">
        <v>44</v>
      </c>
      <c r="AG350" s="27"/>
    </row>
    <row r="351" ht="15.75" customHeight="1">
      <c r="A351" s="34" t="s">
        <v>778</v>
      </c>
      <c r="B351" s="35">
        <v>3000.0</v>
      </c>
      <c r="C351" s="15" t="s">
        <v>87</v>
      </c>
      <c r="D351" s="15" t="s">
        <v>779</v>
      </c>
      <c r="E351" s="15"/>
      <c r="F351" s="41">
        <v>1.0</v>
      </c>
      <c r="G351" s="33">
        <v>0.0</v>
      </c>
      <c r="H351" s="33">
        <v>0.0</v>
      </c>
      <c r="I351" s="29">
        <v>0.0</v>
      </c>
      <c r="J351" s="19" t="str">
        <f t="shared" si="21"/>
        <v>sin oferta</v>
      </c>
      <c r="K351" s="20" t="str">
        <f t="shared" si="17"/>
        <v>NORMAL / SIN OFERTA</v>
      </c>
      <c r="L351" s="15"/>
      <c r="M351" s="20"/>
      <c r="N351" s="21">
        <v>0.0</v>
      </c>
      <c r="O351" s="22">
        <v>2.0</v>
      </c>
      <c r="P351" s="23" t="str">
        <f>IFERROR(__xludf.DUMMYFUNCTION("IFERROR(
  INDEX(
    QUERY(
      Historial!A:I,
      ""select I where B = '""&amp;A351&amp;""' order by A desc limit 1"",
      0
    ),
    1
  ),
  """"
)"),"")</f>
        <v/>
      </c>
      <c r="Q351" s="19" t="s">
        <v>57</v>
      </c>
      <c r="R351" s="24">
        <v>46160.0</v>
      </c>
      <c r="S351" s="20" t="str">
        <f>IFERROR(__xludf.DUMMYFUNCTION("IFERROR(
  INDEX(
    QUERY(
      Historial!A:G,
      ""select G where B = '""&amp;A351&amp;""' order by A desc limit 1"",
      0
    ),
    1
  ),
  """"
)"),"")</f>
        <v/>
      </c>
      <c r="T351" s="20" t="str">
        <f t="shared" si="3"/>
        <v/>
      </c>
      <c r="U351" s="20" t="str">
        <f t="shared" si="4"/>
        <v/>
      </c>
      <c r="V351" s="25">
        <v>0.0</v>
      </c>
      <c r="W351" s="26">
        <v>0.0</v>
      </c>
      <c r="X351" s="26">
        <v>0.0</v>
      </c>
      <c r="Y351" s="27"/>
      <c r="Z351" s="26">
        <v>14.0</v>
      </c>
      <c r="AA351" s="26">
        <v>0.0</v>
      </c>
      <c r="AB351" s="26">
        <v>0.0</v>
      </c>
      <c r="AC351" s="27"/>
      <c r="AD351" s="27"/>
      <c r="AE351" s="10" t="s">
        <v>38</v>
      </c>
      <c r="AF351" s="10" t="s">
        <v>44</v>
      </c>
      <c r="AG351" s="27"/>
    </row>
    <row r="352" ht="15.75" customHeight="1">
      <c r="A352" s="34" t="s">
        <v>780</v>
      </c>
      <c r="B352" s="35">
        <v>2000.0</v>
      </c>
      <c r="C352" s="15" t="s">
        <v>87</v>
      </c>
      <c r="D352" s="15" t="s">
        <v>781</v>
      </c>
      <c r="E352" s="15"/>
      <c r="F352" s="41">
        <v>3.0</v>
      </c>
      <c r="G352" s="33">
        <v>0.0</v>
      </c>
      <c r="H352" s="33">
        <v>0.0</v>
      </c>
      <c r="I352" s="29">
        <v>0.0</v>
      </c>
      <c r="J352" s="19" t="str">
        <f t="shared" si="21"/>
        <v>sin oferta</v>
      </c>
      <c r="K352" s="20" t="str">
        <f t="shared" si="17"/>
        <v>NORMAL / SIN OFERTA</v>
      </c>
      <c r="L352" s="15"/>
      <c r="M352" s="20"/>
      <c r="N352" s="21">
        <v>0.0</v>
      </c>
      <c r="O352" s="22">
        <v>3.0</v>
      </c>
      <c r="P352" s="23" t="str">
        <f>IFERROR(__xludf.DUMMYFUNCTION("IFERROR(
  INDEX(
    QUERY(
      Historial!A:I,
      ""select I where B = '""&amp;A352&amp;""' order by A desc limit 1"",
      0
    ),
    1
  ),
  """"
)"),"")</f>
        <v/>
      </c>
      <c r="Q352" s="19" t="s">
        <v>43</v>
      </c>
      <c r="R352" s="24">
        <v>46164.0</v>
      </c>
      <c r="S352" s="20" t="str">
        <f>IFERROR(__xludf.DUMMYFUNCTION("IFERROR(
  INDEX(
    QUERY(
      Historial!A:G,
      ""select G where B = '""&amp;A352&amp;""' order by A desc limit 1"",
      0
    ),
    1
  ),
  """"
)"),"")</f>
        <v/>
      </c>
      <c r="T352" s="20" t="str">
        <f t="shared" si="3"/>
        <v/>
      </c>
      <c r="U352" s="20" t="str">
        <f t="shared" si="4"/>
        <v/>
      </c>
      <c r="V352" s="25">
        <v>0.0</v>
      </c>
      <c r="W352" s="26">
        <v>0.0</v>
      </c>
      <c r="X352" s="26">
        <v>0.0</v>
      </c>
      <c r="Y352" s="27"/>
      <c r="Z352" s="26">
        <v>10.0</v>
      </c>
      <c r="AA352" s="26">
        <v>0.0</v>
      </c>
      <c r="AB352" s="26">
        <v>0.0</v>
      </c>
      <c r="AC352" s="27"/>
      <c r="AD352" s="27"/>
      <c r="AE352" s="10" t="s">
        <v>38</v>
      </c>
      <c r="AF352" s="10" t="s">
        <v>44</v>
      </c>
      <c r="AG352" s="27"/>
    </row>
    <row r="353" ht="15.75" customHeight="1">
      <c r="A353" s="34" t="s">
        <v>782</v>
      </c>
      <c r="B353" s="35">
        <v>2500.0</v>
      </c>
      <c r="C353" s="15" t="s">
        <v>87</v>
      </c>
      <c r="D353" s="15" t="s">
        <v>783</v>
      </c>
      <c r="E353" s="15"/>
      <c r="F353" s="41">
        <v>3.0</v>
      </c>
      <c r="G353" s="33">
        <v>0.0</v>
      </c>
      <c r="H353" s="33">
        <v>0.0</v>
      </c>
      <c r="I353" s="29">
        <v>0.0</v>
      </c>
      <c r="J353" s="19" t="str">
        <f t="shared" si="21"/>
        <v>sin oferta</v>
      </c>
      <c r="K353" s="20" t="str">
        <f t="shared" si="17"/>
        <v>NORMAL / SIN OFERTA</v>
      </c>
      <c r="L353" s="15"/>
      <c r="M353" s="20"/>
      <c r="N353" s="21">
        <v>0.0</v>
      </c>
      <c r="O353" s="22">
        <v>3.0</v>
      </c>
      <c r="P353" s="23" t="str">
        <f>IFERROR(__xludf.DUMMYFUNCTION("IFERROR(
  INDEX(
    QUERY(
      Historial!A:I,
      ""select I where B = '""&amp;A353&amp;""' order by A desc limit 1"",
      0
    ),
    1
  ),
  """"
)"),"")</f>
        <v/>
      </c>
      <c r="Q353" s="19" t="s">
        <v>37</v>
      </c>
      <c r="R353" s="24">
        <v>46170.0</v>
      </c>
      <c r="S353" s="20" t="str">
        <f>IFERROR(__xludf.DUMMYFUNCTION("IFERROR(
  INDEX(
    QUERY(
      Historial!A:G,
      ""select G where B = '""&amp;A353&amp;""' order by A desc limit 1"",
      0
    ),
    1
  ),
  """"
)"),"")</f>
        <v/>
      </c>
      <c r="T353" s="20" t="str">
        <f t="shared" si="3"/>
        <v/>
      </c>
      <c r="U353" s="20" t="str">
        <f t="shared" si="4"/>
        <v/>
      </c>
      <c r="V353" s="25">
        <v>0.0</v>
      </c>
      <c r="W353" s="26">
        <v>0.0</v>
      </c>
      <c r="X353" s="26">
        <v>0.0</v>
      </c>
      <c r="Y353" s="27"/>
      <c r="Z353" s="26">
        <v>10.0</v>
      </c>
      <c r="AA353" s="26">
        <v>0.0</v>
      </c>
      <c r="AB353" s="26">
        <v>0.0</v>
      </c>
      <c r="AC353" s="27"/>
      <c r="AD353" s="27"/>
      <c r="AE353" s="10" t="s">
        <v>38</v>
      </c>
      <c r="AF353" s="10" t="s">
        <v>44</v>
      </c>
      <c r="AG353" s="27"/>
    </row>
    <row r="354" ht="15.75" customHeight="1">
      <c r="A354" s="34" t="s">
        <v>784</v>
      </c>
      <c r="B354" s="35">
        <v>2200.0</v>
      </c>
      <c r="C354" s="15" t="s">
        <v>87</v>
      </c>
      <c r="D354" s="15" t="s">
        <v>785</v>
      </c>
      <c r="E354" s="15"/>
      <c r="F354" s="41">
        <v>3.0</v>
      </c>
      <c r="G354" s="33">
        <v>0.0</v>
      </c>
      <c r="H354" s="33">
        <v>0.0</v>
      </c>
      <c r="I354" s="29">
        <v>1.0</v>
      </c>
      <c r="J354" s="19" t="str">
        <f t="shared" si="21"/>
        <v>especial</v>
      </c>
      <c r="K354" s="20">
        <f t="shared" si="17"/>
        <v>1980</v>
      </c>
      <c r="L354" s="15"/>
      <c r="M354" s="20"/>
      <c r="N354" s="21">
        <v>0.0</v>
      </c>
      <c r="O354" s="22">
        <v>3.0</v>
      </c>
      <c r="P354" s="23" t="str">
        <f>IFERROR(__xludf.DUMMYFUNCTION("IFERROR(
  INDEX(
    QUERY(
      Historial!A:I,
      ""select I where B = '""&amp;A354&amp;""' order by A desc limit 1"",
      0
    ),
    1
  ),
  """"
)"),"")</f>
        <v/>
      </c>
      <c r="Q354" s="19" t="s">
        <v>37</v>
      </c>
      <c r="R354" s="24">
        <v>46198.0</v>
      </c>
      <c r="S354" s="20" t="str">
        <f>IFERROR(__xludf.DUMMYFUNCTION("IFERROR(
  INDEX(
    QUERY(
      Historial!A:G,
      ""select G where B = '""&amp;A354&amp;""' order by A desc limit 1"",
      0
    ),
    1
  ),
  """"
)"),"")</f>
        <v/>
      </c>
      <c r="T354" s="20" t="str">
        <f t="shared" si="3"/>
        <v/>
      </c>
      <c r="U354" s="20" t="str">
        <f t="shared" si="4"/>
        <v/>
      </c>
      <c r="V354" s="25">
        <v>0.0</v>
      </c>
      <c r="W354" s="26">
        <v>0.0</v>
      </c>
      <c r="X354" s="26">
        <v>0.0</v>
      </c>
      <c r="Y354" s="27"/>
      <c r="Z354" s="26">
        <v>10.0</v>
      </c>
      <c r="AA354" s="26">
        <v>0.0</v>
      </c>
      <c r="AB354" s="26">
        <v>0.0</v>
      </c>
      <c r="AC354" s="27"/>
      <c r="AD354" s="27"/>
      <c r="AE354" s="10" t="s">
        <v>38</v>
      </c>
      <c r="AF354" s="10" t="s">
        <v>44</v>
      </c>
      <c r="AG354" s="27"/>
    </row>
    <row r="355" ht="15.75" customHeight="1">
      <c r="A355" s="34" t="s">
        <v>786</v>
      </c>
      <c r="B355" s="35">
        <v>7000.0</v>
      </c>
      <c r="C355" s="15" t="s">
        <v>87</v>
      </c>
      <c r="D355" s="15" t="s">
        <v>787</v>
      </c>
      <c r="E355" s="15"/>
      <c r="F355" s="41">
        <v>1.0</v>
      </c>
      <c r="G355" s="33">
        <v>0.0</v>
      </c>
      <c r="H355" s="33">
        <v>20.0</v>
      </c>
      <c r="I355" s="29">
        <v>0.0</v>
      </c>
      <c r="J355" s="19" t="str">
        <f t="shared" si="21"/>
        <v>destacada</v>
      </c>
      <c r="K355" s="20">
        <f t="shared" si="17"/>
        <v>5600</v>
      </c>
      <c r="L355" s="15"/>
      <c r="M355" s="20"/>
      <c r="N355" s="21">
        <v>0.0</v>
      </c>
      <c r="O355" s="22">
        <v>2.0</v>
      </c>
      <c r="P355" s="23" t="str">
        <f>IFERROR(__xludf.DUMMYFUNCTION("IFERROR(
  INDEX(
    QUERY(
      Historial!A:I,
      ""select I where B = '""&amp;A355&amp;""' order by A desc limit 1"",
      0
    ),
    1
  ),
  """"
)"),"")</f>
        <v/>
      </c>
      <c r="Q355" s="19" t="s">
        <v>43</v>
      </c>
      <c r="R355" s="24">
        <v>46213.0</v>
      </c>
      <c r="S355" s="20">
        <f>IFERROR(__xludf.DUMMYFUNCTION("IFERROR(
  INDEX(
    QUERY(
      Historial!A:G,
      ""select G where B = '""&amp;A355&amp;""' order by A desc limit 1"",
      0
    ),
    1
  ),
  """"
)"),4000.0)</f>
        <v>4000</v>
      </c>
      <c r="T355" s="20" t="str">
        <f t="shared" si="3"/>
        <v/>
      </c>
      <c r="U355" s="20" t="str">
        <f t="shared" si="4"/>
        <v/>
      </c>
      <c r="V355" s="25">
        <v>0.0</v>
      </c>
      <c r="W355" s="26">
        <v>0.0</v>
      </c>
      <c r="X355" s="26">
        <v>0.0</v>
      </c>
      <c r="Y355" s="27"/>
      <c r="Z355" s="26">
        <v>14.0</v>
      </c>
      <c r="AA355" s="26">
        <v>0.0</v>
      </c>
      <c r="AB355" s="26">
        <v>0.0</v>
      </c>
      <c r="AC355" s="27"/>
      <c r="AD355" s="27"/>
      <c r="AE355" s="10" t="s">
        <v>38</v>
      </c>
      <c r="AF355" s="10" t="s">
        <v>44</v>
      </c>
      <c r="AG355" s="27"/>
    </row>
    <row r="356" ht="15.75" customHeight="1">
      <c r="A356" s="34" t="s">
        <v>788</v>
      </c>
      <c r="B356" s="46">
        <v>4000.0</v>
      </c>
      <c r="C356" s="47" t="s">
        <v>87</v>
      </c>
      <c r="D356" s="15" t="s">
        <v>789</v>
      </c>
      <c r="E356" s="47" t="s">
        <v>790</v>
      </c>
      <c r="F356" s="42">
        <v>1.0</v>
      </c>
      <c r="G356" s="33">
        <v>0.0</v>
      </c>
      <c r="H356" s="33">
        <v>0.0</v>
      </c>
      <c r="I356" s="29">
        <v>0.0</v>
      </c>
      <c r="J356" s="19" t="str">
        <f t="shared" si="21"/>
        <v>sin oferta</v>
      </c>
      <c r="K356" s="20" t="str">
        <f t="shared" si="17"/>
        <v>NORMAL / SIN OFERTA</v>
      </c>
      <c r="L356" s="15"/>
      <c r="M356" s="20"/>
      <c r="N356" s="21">
        <v>0.0</v>
      </c>
      <c r="O356" s="22">
        <v>2.0</v>
      </c>
      <c r="P356" s="23" t="str">
        <f>IFERROR(__xludf.DUMMYFUNCTION("IFERROR(
  INDEX(
    QUERY(
      Historial!A:I,
      ""select I where B = '""&amp;A356&amp;""' order by A desc limit 1"",
      0
    ),
    1
  ),
  """"
)"),"")</f>
        <v/>
      </c>
      <c r="Q356" s="19" t="s">
        <v>51</v>
      </c>
      <c r="R356" s="24">
        <v>46222.0</v>
      </c>
      <c r="S356" s="20">
        <f>IFERROR(__xludf.DUMMYFUNCTION("IFERROR(
  INDEX(
    QUERY(
      Historial!A:G,
      ""select G where B = '""&amp;A356&amp;""' order by A desc limit 1"",
      0
    ),
    1
  ),
  """"
)"),2700.0)</f>
        <v>2700</v>
      </c>
      <c r="T356" s="20" t="str">
        <f t="shared" si="3"/>
        <v/>
      </c>
      <c r="U356" s="20" t="str">
        <f t="shared" si="4"/>
        <v/>
      </c>
      <c r="V356" s="25">
        <v>0.0</v>
      </c>
      <c r="W356" s="26">
        <v>0.0</v>
      </c>
      <c r="X356" s="26">
        <v>0.0</v>
      </c>
      <c r="Y356" s="27"/>
      <c r="Z356" s="26">
        <v>14.0</v>
      </c>
      <c r="AA356" s="26">
        <v>0.0</v>
      </c>
      <c r="AB356" s="26">
        <v>0.0</v>
      </c>
      <c r="AC356" s="27"/>
      <c r="AD356" s="27"/>
      <c r="AE356" s="10" t="s">
        <v>38</v>
      </c>
      <c r="AF356" s="10" t="s">
        <v>44</v>
      </c>
      <c r="AG356" s="27"/>
    </row>
    <row r="357" ht="15.75" customHeight="1">
      <c r="A357" s="34" t="s">
        <v>791</v>
      </c>
      <c r="B357" s="35">
        <v>1500.0</v>
      </c>
      <c r="C357" s="15" t="s">
        <v>87</v>
      </c>
      <c r="D357" s="15" t="s">
        <v>792</v>
      </c>
      <c r="E357" s="15"/>
      <c r="F357" s="41">
        <v>3.0</v>
      </c>
      <c r="G357" s="33">
        <v>0.0</v>
      </c>
      <c r="H357" s="33">
        <v>0.0</v>
      </c>
      <c r="I357" s="29">
        <v>1.0</v>
      </c>
      <c r="J357" s="19" t="str">
        <f t="shared" si="21"/>
        <v>especial</v>
      </c>
      <c r="K357" s="20">
        <f t="shared" si="17"/>
        <v>1350</v>
      </c>
      <c r="L357" s="15"/>
      <c r="M357" s="20"/>
      <c r="N357" s="21">
        <v>0.0</v>
      </c>
      <c r="O357" s="22">
        <v>3.0</v>
      </c>
      <c r="P357" s="23" t="str">
        <f>IFERROR(__xludf.DUMMYFUNCTION("IFERROR(
  INDEX(
    QUERY(
      Historial!A:I,
      ""select I where B = '""&amp;A357&amp;""' order by A desc limit 1"",
      0
    ),
    1
  ),
  """"
)"),"")</f>
        <v/>
      </c>
      <c r="Q357" s="19" t="s">
        <v>37</v>
      </c>
      <c r="R357" s="24">
        <v>46226.0</v>
      </c>
      <c r="S357" s="20" t="str">
        <f>IFERROR(__xludf.DUMMYFUNCTION("IFERROR(
  INDEX(
    QUERY(
      Historial!A:G,
      ""select G where B = '""&amp;A357&amp;""' order by A desc limit 1"",
      0
    ),
    1
  ),
  """"
)"),"")</f>
        <v/>
      </c>
      <c r="T357" s="20" t="str">
        <f t="shared" si="3"/>
        <v/>
      </c>
      <c r="U357" s="20" t="str">
        <f t="shared" si="4"/>
        <v/>
      </c>
      <c r="V357" s="25">
        <v>0.0</v>
      </c>
      <c r="W357" s="26">
        <v>0.0</v>
      </c>
      <c r="X357" s="26">
        <v>0.0</v>
      </c>
      <c r="Y357" s="27"/>
      <c r="Z357" s="26">
        <v>10.0</v>
      </c>
      <c r="AA357" s="26">
        <v>0.0</v>
      </c>
      <c r="AB357" s="26">
        <v>0.0</v>
      </c>
      <c r="AC357" s="27"/>
      <c r="AD357" s="27"/>
      <c r="AE357" s="10" t="s">
        <v>38</v>
      </c>
      <c r="AF357" s="10" t="s">
        <v>44</v>
      </c>
      <c r="AG357" s="27"/>
    </row>
    <row r="358" ht="15.75" customHeight="1">
      <c r="A358" s="34" t="s">
        <v>793</v>
      </c>
      <c r="B358" s="35">
        <v>2000.0</v>
      </c>
      <c r="C358" s="15" t="s">
        <v>87</v>
      </c>
      <c r="D358" s="15" t="s">
        <v>794</v>
      </c>
      <c r="E358" s="15"/>
      <c r="F358" s="41">
        <v>3.0</v>
      </c>
      <c r="G358" s="33">
        <v>0.0</v>
      </c>
      <c r="H358" s="33">
        <v>0.0</v>
      </c>
      <c r="I358" s="29">
        <v>0.0</v>
      </c>
      <c r="J358" s="19" t="str">
        <f t="shared" si="21"/>
        <v>sin oferta</v>
      </c>
      <c r="K358" s="20" t="str">
        <f t="shared" si="17"/>
        <v>NORMAL / SIN OFERTA</v>
      </c>
      <c r="L358" s="15"/>
      <c r="M358" s="20"/>
      <c r="N358" s="21">
        <v>0.0</v>
      </c>
      <c r="O358" s="22">
        <v>3.0</v>
      </c>
      <c r="P358" s="23" t="str">
        <f>IFERROR(__xludf.DUMMYFUNCTION("IFERROR(
  INDEX(
    QUERY(
      Historial!A:I,
      ""select I where B = '""&amp;A358&amp;""' order by A desc limit 1"",
      0
    ),
    1
  ),
  """"
)"),"")</f>
        <v/>
      </c>
      <c r="Q358" s="19" t="s">
        <v>37</v>
      </c>
      <c r="R358" s="24">
        <v>46233.0</v>
      </c>
      <c r="S358" s="20" t="str">
        <f>IFERROR(__xludf.DUMMYFUNCTION("IFERROR(
  INDEX(
    QUERY(
      Historial!A:G,
      ""select G where B = '""&amp;A358&amp;""' order by A desc limit 1"",
      0
    ),
    1
  ),
  """"
)"),"")</f>
        <v/>
      </c>
      <c r="T358" s="20" t="str">
        <f t="shared" si="3"/>
        <v/>
      </c>
      <c r="U358" s="20" t="str">
        <f t="shared" si="4"/>
        <v/>
      </c>
      <c r="V358" s="25">
        <v>0.0</v>
      </c>
      <c r="W358" s="26">
        <v>0.0</v>
      </c>
      <c r="X358" s="26">
        <v>0.0</v>
      </c>
      <c r="Y358" s="27"/>
      <c r="Z358" s="26">
        <v>10.0</v>
      </c>
      <c r="AA358" s="26">
        <v>0.0</v>
      </c>
      <c r="AB358" s="26">
        <v>0.0</v>
      </c>
      <c r="AC358" s="27"/>
      <c r="AD358" s="27"/>
      <c r="AE358" s="10" t="s">
        <v>38</v>
      </c>
      <c r="AF358" s="10" t="s">
        <v>44</v>
      </c>
      <c r="AG358" s="27"/>
    </row>
    <row r="359" ht="15.75" customHeight="1">
      <c r="A359" s="34" t="s">
        <v>795</v>
      </c>
      <c r="B359" s="35">
        <v>2000.0</v>
      </c>
      <c r="C359" s="15" t="s">
        <v>87</v>
      </c>
      <c r="D359" s="15" t="s">
        <v>796</v>
      </c>
      <c r="E359" s="15"/>
      <c r="F359" s="41">
        <v>3.0</v>
      </c>
      <c r="G359" s="33">
        <v>0.0</v>
      </c>
      <c r="H359" s="33">
        <v>0.0</v>
      </c>
      <c r="I359" s="29">
        <v>0.0</v>
      </c>
      <c r="J359" s="19" t="str">
        <f t="shared" si="21"/>
        <v>sin oferta</v>
      </c>
      <c r="K359" s="20" t="str">
        <f t="shared" si="17"/>
        <v>NORMAL / SIN OFERTA</v>
      </c>
      <c r="L359" s="15"/>
      <c r="M359" s="20"/>
      <c r="N359" s="21">
        <v>0.0</v>
      </c>
      <c r="O359" s="22">
        <v>3.0</v>
      </c>
      <c r="P359" s="23" t="str">
        <f>IFERROR(__xludf.DUMMYFUNCTION("IFERROR(
  INDEX(
    QUERY(
      Historial!A:I,
      ""select I where B = '""&amp;A359&amp;""' order by A desc limit 1"",
      0
    ),
    1
  ),
  """"
)"),"")</f>
        <v/>
      </c>
      <c r="Q359" s="19" t="s">
        <v>43</v>
      </c>
      <c r="R359" s="24">
        <v>46234.0</v>
      </c>
      <c r="S359" s="20" t="str">
        <f>IFERROR(__xludf.DUMMYFUNCTION("IFERROR(
  INDEX(
    QUERY(
      Historial!A:G,
      ""select G where B = '""&amp;A359&amp;""' order by A desc limit 1"",
      0
    ),
    1
  ),
  """"
)"),"")</f>
        <v/>
      </c>
      <c r="T359" s="20" t="str">
        <f t="shared" si="3"/>
        <v/>
      </c>
      <c r="U359" s="20" t="str">
        <f t="shared" si="4"/>
        <v/>
      </c>
      <c r="V359" s="25">
        <v>0.0</v>
      </c>
      <c r="W359" s="26">
        <v>0.0</v>
      </c>
      <c r="X359" s="26">
        <v>0.0</v>
      </c>
      <c r="Y359" s="27"/>
      <c r="Z359" s="26">
        <v>10.0</v>
      </c>
      <c r="AA359" s="26">
        <v>0.0</v>
      </c>
      <c r="AB359" s="26">
        <v>0.0</v>
      </c>
      <c r="AC359" s="27"/>
      <c r="AD359" s="27"/>
      <c r="AE359" s="10" t="s">
        <v>38</v>
      </c>
      <c r="AF359" s="10" t="s">
        <v>44</v>
      </c>
      <c r="AG359" s="27"/>
    </row>
    <row r="360" ht="15.75" customHeight="1">
      <c r="A360" s="34" t="s">
        <v>797</v>
      </c>
      <c r="B360" s="35">
        <v>6500.0</v>
      </c>
      <c r="C360" s="15" t="s">
        <v>87</v>
      </c>
      <c r="D360" s="15" t="s">
        <v>798</v>
      </c>
      <c r="E360" s="15"/>
      <c r="F360" s="36">
        <v>1.0</v>
      </c>
      <c r="G360" s="33">
        <v>0.0</v>
      </c>
      <c r="H360" s="33">
        <v>20.0</v>
      </c>
      <c r="I360" s="29">
        <v>0.0</v>
      </c>
      <c r="J360" s="19" t="str">
        <f t="shared" si="21"/>
        <v>destacada</v>
      </c>
      <c r="K360" s="20">
        <f t="shared" si="17"/>
        <v>5200</v>
      </c>
      <c r="L360" s="15"/>
      <c r="M360" s="20"/>
      <c r="N360" s="21">
        <v>3.0</v>
      </c>
      <c r="O360" s="22">
        <v>2.0</v>
      </c>
      <c r="P360" s="23" t="str">
        <f>IFERROR(__xludf.DUMMYFUNCTION("IFERROR(
  INDEX(
    QUERY(
      Historial!A:I,
      ""select I where B = '""&amp;A360&amp;""' order by A desc limit 1"",
      0
    ),
    1
  ),
  """"
)"),"")</f>
        <v/>
      </c>
      <c r="Q360" s="19" t="s">
        <v>51</v>
      </c>
      <c r="R360" s="24">
        <v>46243.0</v>
      </c>
      <c r="S360" s="20" t="str">
        <f>IFERROR(__xludf.DUMMYFUNCTION("IFERROR(
  INDEX(
    QUERY(
      Historial!A:G,
      ""select G where B = '""&amp;A360&amp;""' order by A desc limit 1"",
      0
    ),
    1
  ),
  """"
)"),"")</f>
        <v/>
      </c>
      <c r="T360" s="20" t="str">
        <f t="shared" si="3"/>
        <v/>
      </c>
      <c r="U360" s="20" t="str">
        <f t="shared" si="4"/>
        <v/>
      </c>
      <c r="V360" s="25">
        <v>2.0</v>
      </c>
      <c r="W360" s="26">
        <v>2.0</v>
      </c>
      <c r="X360" s="26">
        <v>0.198</v>
      </c>
      <c r="Y360" s="26">
        <v>5.05050505050505</v>
      </c>
      <c r="Z360" s="26">
        <v>14.0</v>
      </c>
      <c r="AA360" s="26">
        <v>1.98</v>
      </c>
      <c r="AB360" s="26">
        <v>2.0</v>
      </c>
      <c r="AC360" s="27"/>
      <c r="AD360" s="26">
        <v>5.05050505050505</v>
      </c>
      <c r="AE360" s="10" t="s">
        <v>38</v>
      </c>
      <c r="AF360" s="10" t="s">
        <v>44</v>
      </c>
      <c r="AG360" s="27"/>
    </row>
    <row r="361" ht="15.75" customHeight="1">
      <c r="A361" s="34" t="s">
        <v>799</v>
      </c>
      <c r="B361" s="35">
        <v>1700.0</v>
      </c>
      <c r="C361" s="15" t="s">
        <v>87</v>
      </c>
      <c r="D361" s="15" t="s">
        <v>800</v>
      </c>
      <c r="E361" s="15"/>
      <c r="F361" s="41">
        <v>3.0</v>
      </c>
      <c r="G361" s="33">
        <v>0.0</v>
      </c>
      <c r="H361" s="33">
        <v>0.0</v>
      </c>
      <c r="I361" s="29">
        <v>0.0</v>
      </c>
      <c r="J361" s="19" t="str">
        <f t="shared" si="21"/>
        <v>sin oferta</v>
      </c>
      <c r="K361" s="20" t="str">
        <f t="shared" si="17"/>
        <v>NORMAL / SIN OFERTA</v>
      </c>
      <c r="L361" s="15"/>
      <c r="M361" s="20"/>
      <c r="N361" s="21">
        <v>0.0</v>
      </c>
      <c r="O361" s="22">
        <v>3.0</v>
      </c>
      <c r="P361" s="23" t="str">
        <f>IFERROR(__xludf.DUMMYFUNCTION("IFERROR(
  INDEX(
    QUERY(
      Historial!A:I,
      ""select I where B = '""&amp;A361&amp;""' order by A desc limit 1"",
      0
    ),
    1
  ),
  """"
)"),"")</f>
        <v/>
      </c>
      <c r="Q361" s="19" t="s">
        <v>51</v>
      </c>
      <c r="R361" s="24">
        <v>46250.0</v>
      </c>
      <c r="S361" s="20" t="str">
        <f>IFERROR(__xludf.DUMMYFUNCTION("IFERROR(
  INDEX(
    QUERY(
      Historial!A:G,
      ""select G where B = '""&amp;A361&amp;""' order by A desc limit 1"",
      0
    ),
    1
  ),
  """"
)"),"")</f>
        <v/>
      </c>
      <c r="T361" s="20" t="str">
        <f t="shared" si="3"/>
        <v/>
      </c>
      <c r="U361" s="20" t="str">
        <f t="shared" si="4"/>
        <v/>
      </c>
      <c r="V361" s="25">
        <v>0.0</v>
      </c>
      <c r="W361" s="26">
        <v>0.0</v>
      </c>
      <c r="X361" s="26">
        <v>0.0</v>
      </c>
      <c r="Y361" s="27"/>
      <c r="Z361" s="26">
        <v>21.0</v>
      </c>
      <c r="AA361" s="26">
        <v>0.0</v>
      </c>
      <c r="AB361" s="26">
        <v>0.0</v>
      </c>
      <c r="AC361" s="27"/>
      <c r="AD361" s="27"/>
      <c r="AE361" s="10" t="s">
        <v>38</v>
      </c>
      <c r="AF361" s="10" t="s">
        <v>44</v>
      </c>
      <c r="AG361" s="27"/>
    </row>
    <row r="362" ht="15.75" customHeight="1">
      <c r="A362" s="34" t="s">
        <v>801</v>
      </c>
      <c r="B362" s="35">
        <v>2700.0</v>
      </c>
      <c r="C362" s="15" t="s">
        <v>87</v>
      </c>
      <c r="D362" s="15" t="s">
        <v>802</v>
      </c>
      <c r="E362" s="15"/>
      <c r="F362" s="41">
        <v>3.0</v>
      </c>
      <c r="G362" s="33">
        <v>0.0</v>
      </c>
      <c r="H362" s="33">
        <v>0.0</v>
      </c>
      <c r="I362" s="29">
        <v>0.0</v>
      </c>
      <c r="J362" s="19" t="str">
        <f t="shared" si="21"/>
        <v>sin oferta</v>
      </c>
      <c r="K362" s="20" t="str">
        <f t="shared" si="17"/>
        <v>NORMAL / SIN OFERTA</v>
      </c>
      <c r="L362" s="15"/>
      <c r="M362" s="20"/>
      <c r="N362" s="21">
        <v>0.0</v>
      </c>
      <c r="O362" s="22">
        <v>3.0</v>
      </c>
      <c r="P362" s="23" t="str">
        <f>IFERROR(__xludf.DUMMYFUNCTION("IFERROR(
  INDEX(
    QUERY(
      Historial!A:I,
      ""select I where B = '""&amp;A362&amp;""' order by A desc limit 1"",
      0
    ),
    1
  ),
  """"
)"),"")</f>
        <v/>
      </c>
      <c r="Q362" s="19" t="s">
        <v>57</v>
      </c>
      <c r="R362" s="24">
        <v>46251.0</v>
      </c>
      <c r="S362" s="20" t="str">
        <f>IFERROR(__xludf.DUMMYFUNCTION("IFERROR(
  INDEX(
    QUERY(
      Historial!A:G,
      ""select G where B = '""&amp;A362&amp;""' order by A desc limit 1"",
      0
    ),
    1
  ),
  """"
)"),"")</f>
        <v/>
      </c>
      <c r="T362" s="20" t="str">
        <f t="shared" si="3"/>
        <v/>
      </c>
      <c r="U362" s="20" t="str">
        <f t="shared" si="4"/>
        <v/>
      </c>
      <c r="V362" s="25">
        <v>0.0</v>
      </c>
      <c r="W362" s="26">
        <v>0.0</v>
      </c>
      <c r="X362" s="26">
        <v>0.0</v>
      </c>
      <c r="Y362" s="27"/>
      <c r="Z362" s="26">
        <v>10.0</v>
      </c>
      <c r="AA362" s="26">
        <v>0.0</v>
      </c>
      <c r="AB362" s="26">
        <v>0.0</v>
      </c>
      <c r="AC362" s="27"/>
      <c r="AD362" s="27"/>
      <c r="AE362" s="10" t="s">
        <v>38</v>
      </c>
      <c r="AF362" s="10" t="s">
        <v>44</v>
      </c>
      <c r="AG362" s="27"/>
    </row>
    <row r="363" ht="15.75" customHeight="1">
      <c r="A363" s="34" t="s">
        <v>803</v>
      </c>
      <c r="B363" s="35">
        <v>1800.0</v>
      </c>
      <c r="C363" s="15" t="s">
        <v>87</v>
      </c>
      <c r="D363" s="15" t="s">
        <v>804</v>
      </c>
      <c r="E363" s="15"/>
      <c r="F363" s="41">
        <v>3.0</v>
      </c>
      <c r="G363" s="33">
        <v>0.0</v>
      </c>
      <c r="H363" s="33">
        <v>0.0</v>
      </c>
      <c r="I363" s="29">
        <v>0.0</v>
      </c>
      <c r="J363" s="19" t="str">
        <f t="shared" si="21"/>
        <v>sin oferta</v>
      </c>
      <c r="K363" s="20" t="str">
        <f t="shared" si="17"/>
        <v>NORMAL / SIN OFERTA</v>
      </c>
      <c r="L363" s="15"/>
      <c r="M363" s="20"/>
      <c r="N363" s="21">
        <v>0.0</v>
      </c>
      <c r="O363" s="22">
        <v>3.0</v>
      </c>
      <c r="P363" s="23" t="str">
        <f>IFERROR(__xludf.DUMMYFUNCTION("IFERROR(
  INDEX(
    QUERY(
      Historial!A:I,
      ""select I where B = '""&amp;A363&amp;""' order by A desc limit 1"",
      0
    ),
    1
  ),
  """"
)"),"")</f>
        <v/>
      </c>
      <c r="Q363" s="19" t="s">
        <v>37</v>
      </c>
      <c r="R363" s="24">
        <v>46254.0</v>
      </c>
      <c r="S363" s="20" t="str">
        <f>IFERROR(__xludf.DUMMYFUNCTION("IFERROR(
  INDEX(
    QUERY(
      Historial!A:G,
      ""select G where B = '""&amp;A363&amp;""' order by A desc limit 1"",
      0
    ),
    1
  ),
  """"
)"),"")</f>
        <v/>
      </c>
      <c r="T363" s="20" t="str">
        <f t="shared" si="3"/>
        <v/>
      </c>
      <c r="U363" s="20" t="str">
        <f t="shared" si="4"/>
        <v/>
      </c>
      <c r="V363" s="25">
        <v>0.0</v>
      </c>
      <c r="W363" s="26">
        <v>0.0</v>
      </c>
      <c r="X363" s="26">
        <v>0.0</v>
      </c>
      <c r="Y363" s="27"/>
      <c r="Z363" s="26">
        <v>10.0</v>
      </c>
      <c r="AA363" s="26">
        <v>0.0</v>
      </c>
      <c r="AB363" s="26">
        <v>0.0</v>
      </c>
      <c r="AC363" s="27"/>
      <c r="AD363" s="27"/>
      <c r="AE363" s="10" t="s">
        <v>38</v>
      </c>
      <c r="AF363" s="10" t="s">
        <v>44</v>
      </c>
      <c r="AG363" s="27"/>
    </row>
    <row r="364" ht="15.75" customHeight="1">
      <c r="A364" s="34" t="s">
        <v>805</v>
      </c>
      <c r="B364" s="35">
        <v>3000.0</v>
      </c>
      <c r="C364" s="15" t="s">
        <v>87</v>
      </c>
      <c r="D364" s="15" t="s">
        <v>806</v>
      </c>
      <c r="E364" s="15"/>
      <c r="F364" s="36">
        <v>0.0</v>
      </c>
      <c r="G364" s="33">
        <v>0.0</v>
      </c>
      <c r="H364" s="33">
        <v>0.0</v>
      </c>
      <c r="I364" s="29">
        <v>0.0</v>
      </c>
      <c r="J364" s="19" t="str">
        <f t="shared" si="21"/>
        <v>sin stock</v>
      </c>
      <c r="K364" s="20" t="str">
        <f t="shared" si="17"/>
        <v>SIN STOCK / CARGAR STOCK</v>
      </c>
      <c r="L364" s="15"/>
      <c r="M364" s="20"/>
      <c r="N364" s="21">
        <v>2.0</v>
      </c>
      <c r="O364" s="22">
        <v>2.0</v>
      </c>
      <c r="P364" s="23" t="str">
        <f>IFERROR(__xludf.DUMMYFUNCTION("IFERROR(
  INDEX(
    QUERY(
      Historial!A:I,
      ""select I where B = '""&amp;A364&amp;""' order by A desc limit 1"",
      0
    ),
    1
  ),
  """"
)"),"")</f>
        <v/>
      </c>
      <c r="Q364" s="19" t="s">
        <v>48</v>
      </c>
      <c r="R364" s="24">
        <v>46263.0</v>
      </c>
      <c r="S364" s="20" t="str">
        <f>IFERROR(__xludf.DUMMYFUNCTION("IFERROR(
  INDEX(
    QUERY(
      Historial!A:G,
      ""select G where B = '""&amp;A364&amp;""' order by A desc limit 1"",
      0
    ),
    1
  ),
  """"
)"),"")</f>
        <v/>
      </c>
      <c r="T364" s="20" t="str">
        <f t="shared" si="3"/>
        <v/>
      </c>
      <c r="U364" s="20" t="str">
        <f t="shared" si="4"/>
        <v/>
      </c>
      <c r="V364" s="25">
        <v>1.0</v>
      </c>
      <c r="W364" s="26">
        <v>1.0</v>
      </c>
      <c r="X364" s="26">
        <v>0.099</v>
      </c>
      <c r="Y364" s="26">
        <v>0.0</v>
      </c>
      <c r="Z364" s="26">
        <v>14.0</v>
      </c>
      <c r="AA364" s="26">
        <v>0.99</v>
      </c>
      <c r="AB364" s="26">
        <v>2.0</v>
      </c>
      <c r="AC364" s="27"/>
      <c r="AD364" s="26">
        <v>0.0</v>
      </c>
      <c r="AE364" s="10" t="s">
        <v>38</v>
      </c>
      <c r="AF364" s="10" t="s">
        <v>44</v>
      </c>
      <c r="AG364" s="27"/>
    </row>
    <row r="365" ht="15.75" customHeight="1">
      <c r="A365" s="34" t="s">
        <v>807</v>
      </c>
      <c r="B365" s="35">
        <v>2000.0</v>
      </c>
      <c r="C365" s="15" t="s">
        <v>87</v>
      </c>
      <c r="D365" s="15" t="s">
        <v>808</v>
      </c>
      <c r="E365" s="15"/>
      <c r="F365" s="41">
        <v>3.0</v>
      </c>
      <c r="G365" s="33">
        <v>0.0</v>
      </c>
      <c r="H365" s="33">
        <v>0.0</v>
      </c>
      <c r="I365" s="29">
        <v>0.0</v>
      </c>
      <c r="J365" s="19" t="str">
        <f t="shared" si="21"/>
        <v>sin oferta</v>
      </c>
      <c r="K365" s="20" t="str">
        <f t="shared" si="17"/>
        <v>NORMAL / SIN OFERTA</v>
      </c>
      <c r="L365" s="15"/>
      <c r="M365" s="20"/>
      <c r="N365" s="21">
        <v>0.0</v>
      </c>
      <c r="O365" s="22">
        <v>3.0</v>
      </c>
      <c r="P365" s="23" t="str">
        <f>IFERROR(__xludf.DUMMYFUNCTION("IFERROR(
  INDEX(
    QUERY(
      Historial!A:I,
      ""select I where B = '""&amp;A365&amp;""' order by A desc limit 1"",
      0
    ),
    1
  ),
  """"
)"),"")</f>
        <v/>
      </c>
      <c r="Q365" s="19" t="s">
        <v>60</v>
      </c>
      <c r="R365" s="24">
        <v>46266.0</v>
      </c>
      <c r="S365" s="20" t="str">
        <f>IFERROR(__xludf.DUMMYFUNCTION("IFERROR(
  INDEX(
    QUERY(
      Historial!A:G,
      ""select G where B = '""&amp;A365&amp;""' order by A desc limit 1"",
      0
    ),
    1
  ),
  """"
)"),"")</f>
        <v/>
      </c>
      <c r="T365" s="20" t="str">
        <f t="shared" si="3"/>
        <v/>
      </c>
      <c r="U365" s="20" t="str">
        <f t="shared" si="4"/>
        <v/>
      </c>
      <c r="V365" s="25">
        <v>0.0</v>
      </c>
      <c r="W365" s="26">
        <v>0.0</v>
      </c>
      <c r="X365" s="26">
        <v>0.0</v>
      </c>
      <c r="Y365" s="27"/>
      <c r="Z365" s="26">
        <v>21.0</v>
      </c>
      <c r="AA365" s="26">
        <v>0.0</v>
      </c>
      <c r="AB365" s="26">
        <v>0.0</v>
      </c>
      <c r="AC365" s="27"/>
      <c r="AD365" s="27"/>
      <c r="AE365" s="10" t="s">
        <v>38</v>
      </c>
      <c r="AF365" s="10" t="s">
        <v>44</v>
      </c>
      <c r="AG365" s="27"/>
    </row>
    <row r="366" ht="15.75" customHeight="1">
      <c r="A366" s="58" t="s">
        <v>809</v>
      </c>
      <c r="B366" s="21">
        <v>1500.0</v>
      </c>
      <c r="C366" s="56" t="s">
        <v>87</v>
      </c>
      <c r="D366" s="56" t="s">
        <v>810</v>
      </c>
      <c r="E366" s="20"/>
      <c r="F366" s="32">
        <v>1.0</v>
      </c>
      <c r="G366" s="33">
        <v>0.0</v>
      </c>
      <c r="H366" s="33">
        <v>0.0</v>
      </c>
      <c r="I366" s="29">
        <v>0.0</v>
      </c>
      <c r="J366" s="19" t="str">
        <f t="shared" si="21"/>
        <v>sin oferta</v>
      </c>
      <c r="K366" s="20" t="str">
        <f t="shared" si="17"/>
        <v>NORMAL / SIN OFERTA</v>
      </c>
      <c r="L366" s="15"/>
      <c r="M366" s="20"/>
      <c r="N366" s="21">
        <v>0.0</v>
      </c>
      <c r="O366" s="22">
        <v>2.0</v>
      </c>
      <c r="P366" s="23">
        <f>IFERROR(__xludf.DUMMYFUNCTION("IFERROR(
  INDEX(
    QUERY(
      Historial!A:I,
      ""select I where B = '""&amp;A366&amp;""' order by A desc limit 1"",
      0
    ),
    1
  ),
  """"
)"),46295.0)</f>
        <v>46295</v>
      </c>
      <c r="Q366" s="19" t="s">
        <v>57</v>
      </c>
      <c r="R366" s="24">
        <v>46279.0</v>
      </c>
      <c r="S366" s="20">
        <f>IFERROR(__xludf.DUMMYFUNCTION("IFERROR(
  INDEX(
    QUERY(
      Historial!A:G,
      ""select G where B = '""&amp;A366&amp;""' order by A desc limit 1"",
      0
    ),
    1
  ),
  """"
)"),782.0)</f>
        <v>782</v>
      </c>
      <c r="T366" s="20" t="str">
        <f t="shared" si="3"/>
        <v>✅ OK</v>
      </c>
      <c r="U366" s="20" t="str">
        <f t="shared" si="4"/>
        <v/>
      </c>
      <c r="V366" s="25">
        <v>0.0</v>
      </c>
      <c r="W366" s="26">
        <v>0.0</v>
      </c>
      <c r="X366" s="26">
        <v>0.0</v>
      </c>
      <c r="Y366" s="27"/>
      <c r="Z366" s="26">
        <v>14.0</v>
      </c>
      <c r="AA366" s="26">
        <v>0.0</v>
      </c>
      <c r="AB366" s="26">
        <v>0.0</v>
      </c>
      <c r="AC366" s="26">
        <v>203.0</v>
      </c>
      <c r="AD366" s="27"/>
      <c r="AE366" s="10" t="s">
        <v>38</v>
      </c>
      <c r="AF366" s="10" t="s">
        <v>44</v>
      </c>
      <c r="AG366" s="27"/>
    </row>
    <row r="367" ht="15.75" customHeight="1">
      <c r="A367" s="58" t="s">
        <v>811</v>
      </c>
      <c r="B367" s="21">
        <v>2000.0</v>
      </c>
      <c r="C367" s="56" t="s">
        <v>87</v>
      </c>
      <c r="D367" s="56" t="s">
        <v>812</v>
      </c>
      <c r="E367" s="56" t="s">
        <v>74</v>
      </c>
      <c r="F367" s="32">
        <v>1.0</v>
      </c>
      <c r="G367" s="33">
        <v>0.0</v>
      </c>
      <c r="H367" s="33">
        <v>0.0</v>
      </c>
      <c r="I367" s="29">
        <v>0.0</v>
      </c>
      <c r="J367" s="19" t="str">
        <f t="shared" si="21"/>
        <v>sin oferta</v>
      </c>
      <c r="K367" s="20" t="str">
        <f t="shared" si="17"/>
        <v>NORMAL / SIN OFERTA</v>
      </c>
      <c r="L367" s="15"/>
      <c r="M367" s="20"/>
      <c r="N367" s="21">
        <v>0.0</v>
      </c>
      <c r="O367" s="22">
        <v>2.0</v>
      </c>
      <c r="P367" s="23">
        <f>IFERROR(__xludf.DUMMYFUNCTION("IFERROR(
  INDEX(
    QUERY(
      Historial!A:I,
      ""select I where B = '""&amp;A367&amp;""' order by A desc limit 1"",
      0
    ),
    1
  ),
  """"
)"),46232.0)</f>
        <v>46232</v>
      </c>
      <c r="Q367" s="19" t="s">
        <v>37</v>
      </c>
      <c r="R367" s="24">
        <v>46282.0</v>
      </c>
      <c r="S367" s="20">
        <f>IFERROR(__xludf.DUMMYFUNCTION("IFERROR(
  INDEX(
    QUERY(
      Historial!A:G,
      ""select G where B = '""&amp;A367&amp;""' order by A desc limit 1"",
      0
    ),
    1
  ),
  """"
)"),1100.0)</f>
        <v>1100</v>
      </c>
      <c r="T367" s="20" t="str">
        <f t="shared" si="3"/>
        <v>✅ OK</v>
      </c>
      <c r="U367" s="20" t="str">
        <f t="shared" si="4"/>
        <v/>
      </c>
      <c r="V367" s="25">
        <v>0.0</v>
      </c>
      <c r="W367" s="26">
        <v>0.0</v>
      </c>
      <c r="X367" s="26">
        <v>0.0</v>
      </c>
      <c r="Y367" s="27"/>
      <c r="Z367" s="26">
        <v>14.0</v>
      </c>
      <c r="AA367" s="26">
        <v>0.0</v>
      </c>
      <c r="AB367" s="26">
        <v>0.0</v>
      </c>
      <c r="AC367" s="26">
        <v>140.0</v>
      </c>
      <c r="AD367" s="27"/>
      <c r="AE367" s="10" t="s">
        <v>38</v>
      </c>
      <c r="AF367" s="10" t="s">
        <v>44</v>
      </c>
      <c r="AG367" s="27"/>
    </row>
    <row r="368" ht="15.75" customHeight="1">
      <c r="A368" s="58" t="s">
        <v>813</v>
      </c>
      <c r="B368" s="21">
        <v>2000.0</v>
      </c>
      <c r="C368" s="56" t="s">
        <v>87</v>
      </c>
      <c r="D368" s="56" t="s">
        <v>814</v>
      </c>
      <c r="E368" s="56" t="s">
        <v>74</v>
      </c>
      <c r="F368" s="32">
        <v>1.0</v>
      </c>
      <c r="G368" s="33">
        <v>0.0</v>
      </c>
      <c r="H368" s="33">
        <v>0.0</v>
      </c>
      <c r="I368" s="29">
        <v>0.0</v>
      </c>
      <c r="J368" s="19" t="str">
        <f t="shared" si="21"/>
        <v>sin oferta</v>
      </c>
      <c r="K368" s="20" t="str">
        <f t="shared" si="17"/>
        <v>NORMAL / SIN OFERTA</v>
      </c>
      <c r="L368" s="15"/>
      <c r="M368" s="20"/>
      <c r="N368" s="21">
        <v>0.0</v>
      </c>
      <c r="O368" s="22">
        <v>2.0</v>
      </c>
      <c r="P368" s="23">
        <f>IFERROR(__xludf.DUMMYFUNCTION("IFERROR(
  INDEX(
    QUERY(
      Historial!A:I,
      ""select I where B = '""&amp;A368&amp;""' order by A desc limit 1"",
      0
    ),
    1
  ),
  """"
)"),46135.0)</f>
        <v>46135</v>
      </c>
      <c r="Q368" s="19" t="s">
        <v>57</v>
      </c>
      <c r="R368" s="24">
        <v>46286.0</v>
      </c>
      <c r="S368" s="20">
        <f>IFERROR(__xludf.DUMMYFUNCTION("IFERROR(
  INDEX(
    QUERY(
      Historial!A:G,
      ""select G where B = '""&amp;A368&amp;""' order by A desc limit 1"",
      0
    ),
    1
  ),
  """"
)"),1120.0)</f>
        <v>1120</v>
      </c>
      <c r="T368" s="20" t="str">
        <f t="shared" si="3"/>
        <v>✅ OK</v>
      </c>
      <c r="U368" s="20" t="str">
        <f t="shared" si="4"/>
        <v/>
      </c>
      <c r="V368" s="25">
        <v>0.0</v>
      </c>
      <c r="W368" s="26">
        <v>0.0</v>
      </c>
      <c r="X368" s="26">
        <v>0.0</v>
      </c>
      <c r="Y368" s="27"/>
      <c r="Z368" s="26">
        <v>14.0</v>
      </c>
      <c r="AA368" s="26">
        <v>0.0</v>
      </c>
      <c r="AB368" s="26">
        <v>0.0</v>
      </c>
      <c r="AC368" s="26">
        <v>43.0</v>
      </c>
      <c r="AD368" s="27"/>
      <c r="AE368" s="10" t="s">
        <v>38</v>
      </c>
      <c r="AF368" s="10" t="s">
        <v>44</v>
      </c>
      <c r="AG368" s="27"/>
    </row>
    <row r="369" ht="15.75" customHeight="1">
      <c r="A369" s="58" t="s">
        <v>815</v>
      </c>
      <c r="B369" s="21">
        <v>2400.0</v>
      </c>
      <c r="C369" s="56" t="s">
        <v>87</v>
      </c>
      <c r="D369" s="56" t="s">
        <v>816</v>
      </c>
      <c r="E369" s="56" t="s">
        <v>74</v>
      </c>
      <c r="F369" s="32">
        <v>3.0</v>
      </c>
      <c r="G369" s="33">
        <v>0.0</v>
      </c>
      <c r="H369" s="33">
        <v>0.0</v>
      </c>
      <c r="I369" s="29">
        <v>0.0</v>
      </c>
      <c r="J369" s="19" t="str">
        <f t="shared" si="21"/>
        <v>sin oferta</v>
      </c>
      <c r="K369" s="20" t="str">
        <f t="shared" si="17"/>
        <v>NORMAL / SIN OFERTA</v>
      </c>
      <c r="L369" s="15"/>
      <c r="M369" s="20"/>
      <c r="N369" s="21">
        <v>0.0</v>
      </c>
      <c r="O369" s="22">
        <v>3.0</v>
      </c>
      <c r="P369" s="23" t="str">
        <f>IFERROR(__xludf.DUMMYFUNCTION("IFERROR(
  INDEX(
    QUERY(
      Historial!A:I,
      ""select I where B = '""&amp;A369&amp;""' order by A desc limit 1"",
      0
    ),
    1
  ),
  """"
)"),"")</f>
        <v/>
      </c>
      <c r="Q369" s="19" t="s">
        <v>60</v>
      </c>
      <c r="R369" s="24">
        <v>46287.0</v>
      </c>
      <c r="S369" s="20" t="str">
        <f>IFERROR(__xludf.DUMMYFUNCTION("IFERROR(
  INDEX(
    QUERY(
      Historial!A:G,
      ""select G where B = '""&amp;A369&amp;""' order by A desc limit 1"",
      0
    ),
    1
  ),
  """"
)"),"")</f>
        <v/>
      </c>
      <c r="T369" s="20" t="str">
        <f t="shared" si="3"/>
        <v/>
      </c>
      <c r="U369" s="20" t="str">
        <f t="shared" si="4"/>
        <v/>
      </c>
      <c r="V369" s="25">
        <v>0.0</v>
      </c>
      <c r="W369" s="26">
        <v>0.0</v>
      </c>
      <c r="X369" s="26">
        <v>0.0</v>
      </c>
      <c r="Y369" s="27"/>
      <c r="Z369" s="26">
        <v>10.0</v>
      </c>
      <c r="AA369" s="26">
        <v>0.0</v>
      </c>
      <c r="AB369" s="26">
        <v>0.0</v>
      </c>
      <c r="AC369" s="27"/>
      <c r="AD369" s="27"/>
      <c r="AE369" s="10" t="s">
        <v>38</v>
      </c>
      <c r="AF369" s="10" t="s">
        <v>44</v>
      </c>
      <c r="AG369" s="27"/>
    </row>
    <row r="370" ht="15.75" customHeight="1">
      <c r="A370" s="58" t="s">
        <v>817</v>
      </c>
      <c r="B370" s="21">
        <v>2300.0</v>
      </c>
      <c r="C370" s="56" t="s">
        <v>87</v>
      </c>
      <c r="D370" s="56" t="s">
        <v>818</v>
      </c>
      <c r="E370" s="56" t="s">
        <v>74</v>
      </c>
      <c r="F370" s="32">
        <v>1.0</v>
      </c>
      <c r="G370" s="33">
        <v>0.0</v>
      </c>
      <c r="H370" s="33">
        <v>0.0</v>
      </c>
      <c r="I370" s="29">
        <v>0.0</v>
      </c>
      <c r="J370" s="19" t="str">
        <f t="shared" si="21"/>
        <v>sin oferta</v>
      </c>
      <c r="K370" s="20" t="str">
        <f t="shared" si="17"/>
        <v>NORMAL / SIN OFERTA</v>
      </c>
      <c r="L370" s="15"/>
      <c r="M370" s="20"/>
      <c r="N370" s="21">
        <v>0.0</v>
      </c>
      <c r="O370" s="22">
        <v>2.0</v>
      </c>
      <c r="P370" s="23">
        <f>IFERROR(__xludf.DUMMYFUNCTION("IFERROR(
  INDEX(
    QUERY(
      Historial!A:I,
      ""select I where B = '""&amp;A370&amp;""' order by A desc limit 1"",
      0
    ),
    1
  ),
  """"
)"),46733.0)</f>
        <v>46733</v>
      </c>
      <c r="Q370" s="19" t="s">
        <v>57</v>
      </c>
      <c r="R370" s="24">
        <v>46314.0</v>
      </c>
      <c r="S370" s="20">
        <f>IFERROR(__xludf.DUMMYFUNCTION("IFERROR(
  INDEX(
    QUERY(
      Historial!A:G,
      ""select G where B = '""&amp;A370&amp;""' order by A desc limit 1"",
      0
    ),
    1
  ),
  """"
)"),1390.0)</f>
        <v>1390</v>
      </c>
      <c r="T370" s="20" t="str">
        <f t="shared" si="3"/>
        <v>✅ OK</v>
      </c>
      <c r="U370" s="20" t="str">
        <f t="shared" si="4"/>
        <v/>
      </c>
      <c r="V370" s="25">
        <v>0.0</v>
      </c>
      <c r="W370" s="26">
        <v>0.0</v>
      </c>
      <c r="X370" s="26">
        <v>0.0</v>
      </c>
      <c r="Y370" s="27"/>
      <c r="Z370" s="26">
        <v>14.0</v>
      </c>
      <c r="AA370" s="26">
        <v>0.0</v>
      </c>
      <c r="AB370" s="26">
        <v>0.0</v>
      </c>
      <c r="AC370" s="26">
        <v>641.0</v>
      </c>
      <c r="AD370" s="27"/>
      <c r="AE370" s="10" t="s">
        <v>38</v>
      </c>
      <c r="AF370" s="10" t="s">
        <v>44</v>
      </c>
      <c r="AG370" s="27"/>
    </row>
    <row r="371" ht="15.75" customHeight="1">
      <c r="A371" s="58" t="s">
        <v>819</v>
      </c>
      <c r="B371" s="21">
        <v>2700.0</v>
      </c>
      <c r="C371" s="56" t="s">
        <v>87</v>
      </c>
      <c r="D371" s="56" t="s">
        <v>820</v>
      </c>
      <c r="E371" s="56" t="s">
        <v>147</v>
      </c>
      <c r="F371" s="32">
        <v>1.0</v>
      </c>
      <c r="G371" s="33">
        <v>0.0</v>
      </c>
      <c r="H371" s="33">
        <v>0.0</v>
      </c>
      <c r="I371" s="29">
        <v>0.0</v>
      </c>
      <c r="J371" s="19" t="str">
        <f t="shared" si="21"/>
        <v>sin oferta</v>
      </c>
      <c r="K371" s="20" t="str">
        <f t="shared" si="17"/>
        <v>NORMAL / SIN OFERTA</v>
      </c>
      <c r="L371" s="15"/>
      <c r="M371" s="20"/>
      <c r="N371" s="21">
        <v>0.0</v>
      </c>
      <c r="O371" s="22">
        <v>2.0</v>
      </c>
      <c r="P371" s="23" t="str">
        <f>IFERROR(__xludf.DUMMYFUNCTION("IFERROR(
  INDEX(
    QUERY(
      Historial!A:I,
      ""select I where B = '""&amp;A371&amp;""' order by A desc limit 1"",
      0
    ),
    1
  ),
  """"
)"),"")</f>
        <v/>
      </c>
      <c r="Q371" s="19" t="s">
        <v>63</v>
      </c>
      <c r="R371" s="24">
        <v>46316.0</v>
      </c>
      <c r="S371" s="20">
        <f>IFERROR(__xludf.DUMMYFUNCTION("IFERROR(
  INDEX(
    QUERY(
      Historial!A:G,
      ""select G where B = '""&amp;A371&amp;""' order by A desc limit 1"",
      0
    ),
    1
  ),
  """"
)"),1774.0)</f>
        <v>1774</v>
      </c>
      <c r="T371" s="20" t="str">
        <f t="shared" si="3"/>
        <v/>
      </c>
      <c r="U371" s="20" t="str">
        <f t="shared" si="4"/>
        <v/>
      </c>
      <c r="V371" s="25">
        <v>0.0</v>
      </c>
      <c r="W371" s="26">
        <v>0.0</v>
      </c>
      <c r="X371" s="26">
        <v>0.0</v>
      </c>
      <c r="Y371" s="27"/>
      <c r="Z371" s="26">
        <v>14.0</v>
      </c>
      <c r="AA371" s="26">
        <v>0.0</v>
      </c>
      <c r="AB371" s="26">
        <v>0.0</v>
      </c>
      <c r="AC371" s="27"/>
      <c r="AD371" s="27"/>
      <c r="AE371" s="10" t="s">
        <v>38</v>
      </c>
      <c r="AF371" s="10" t="s">
        <v>44</v>
      </c>
      <c r="AG371" s="27"/>
    </row>
    <row r="372" ht="15.75" customHeight="1">
      <c r="A372" s="34" t="s">
        <v>821</v>
      </c>
      <c r="B372" s="35">
        <v>6000.0</v>
      </c>
      <c r="C372" s="15" t="s">
        <v>334</v>
      </c>
      <c r="D372" s="15" t="s">
        <v>822</v>
      </c>
      <c r="E372" s="15"/>
      <c r="F372" s="36">
        <v>0.0</v>
      </c>
      <c r="G372" s="33">
        <v>0.0</v>
      </c>
      <c r="H372" s="33">
        <v>0.0</v>
      </c>
      <c r="I372" s="29">
        <v>0.0</v>
      </c>
      <c r="J372" s="19" t="str">
        <f t="shared" si="21"/>
        <v>sin stock</v>
      </c>
      <c r="K372" s="20" t="str">
        <f t="shared" si="17"/>
        <v>SIN STOCK / CARGAR STOCK</v>
      </c>
      <c r="L372" s="15"/>
      <c r="M372" s="20"/>
      <c r="N372" s="21">
        <v>2.0</v>
      </c>
      <c r="O372" s="22">
        <v>2.0</v>
      </c>
      <c r="P372" s="23" t="str">
        <f>IFERROR(__xludf.DUMMYFUNCTION("IFERROR(
  INDEX(
    QUERY(
      Historial!A:I,
      ""select I where B = '""&amp;A372&amp;""' order by A desc limit 1"",
      0
    ),
    1
  ),
  """"
)"),"")</f>
        <v/>
      </c>
      <c r="Q372" s="19" t="s">
        <v>48</v>
      </c>
      <c r="R372" s="24">
        <v>46319.0</v>
      </c>
      <c r="S372" s="20" t="str">
        <f>IFERROR(__xludf.DUMMYFUNCTION("IFERROR(
  INDEX(
    QUERY(
      Historial!A:G,
      ""select G where B = '""&amp;A372&amp;""' order by A desc limit 1"",
      0
    ),
    1
  ),
  """"
)"),"")</f>
        <v/>
      </c>
      <c r="T372" s="20" t="str">
        <f t="shared" si="3"/>
        <v/>
      </c>
      <c r="U372" s="20" t="str">
        <f t="shared" si="4"/>
        <v/>
      </c>
      <c r="V372" s="25">
        <v>1.0</v>
      </c>
      <c r="W372" s="26">
        <v>1.0</v>
      </c>
      <c r="X372" s="26">
        <v>0.099</v>
      </c>
      <c r="Y372" s="26">
        <v>0.0</v>
      </c>
      <c r="Z372" s="26">
        <v>14.0</v>
      </c>
      <c r="AA372" s="26">
        <v>0.99</v>
      </c>
      <c r="AB372" s="26">
        <v>2.0</v>
      </c>
      <c r="AC372" s="27"/>
      <c r="AD372" s="26">
        <v>0.0</v>
      </c>
      <c r="AE372" s="10" t="s">
        <v>38</v>
      </c>
      <c r="AF372" s="10" t="s">
        <v>44</v>
      </c>
      <c r="AG372" s="27"/>
    </row>
    <row r="373" ht="15.75" customHeight="1">
      <c r="A373" s="34" t="s">
        <v>823</v>
      </c>
      <c r="B373" s="35">
        <v>4800.0</v>
      </c>
      <c r="C373" s="15" t="s">
        <v>334</v>
      </c>
      <c r="D373" s="15" t="s">
        <v>824</v>
      </c>
      <c r="E373" s="15" t="s">
        <v>355</v>
      </c>
      <c r="F373" s="41">
        <v>1.0</v>
      </c>
      <c r="G373" s="33">
        <v>0.0</v>
      </c>
      <c r="H373" s="33">
        <v>0.0</v>
      </c>
      <c r="I373" s="29">
        <v>0.0</v>
      </c>
      <c r="J373" s="19" t="str">
        <f t="shared" si="21"/>
        <v>sin oferta</v>
      </c>
      <c r="K373" s="20" t="str">
        <f t="shared" si="17"/>
        <v>NORMAL / SIN OFERTA</v>
      </c>
      <c r="L373" s="15"/>
      <c r="M373" s="20"/>
      <c r="N373" s="21">
        <v>0.0</v>
      </c>
      <c r="O373" s="22">
        <v>2.0</v>
      </c>
      <c r="P373" s="23" t="str">
        <f>IFERROR(__xludf.DUMMYFUNCTION("IFERROR(
  INDEX(
    QUERY(
      Historial!A:I,
      ""select I where B = '""&amp;A373&amp;""' order by A desc limit 1"",
      0
    ),
    1
  ),
  """"
)"),"")</f>
        <v/>
      </c>
      <c r="Q373" s="19" t="s">
        <v>43</v>
      </c>
      <c r="R373" s="24">
        <v>46325.0</v>
      </c>
      <c r="S373" s="20">
        <f>IFERROR(__xludf.DUMMYFUNCTION("IFERROR(
  INDEX(
    QUERY(
      Historial!A:G,
      ""select G where B = '""&amp;A373&amp;""' order by A desc limit 1"",
      0
    ),
    1
  ),
  """"
)"),3000.0)</f>
        <v>3000</v>
      </c>
      <c r="T373" s="20" t="str">
        <f t="shared" si="3"/>
        <v/>
      </c>
      <c r="U373" s="20" t="str">
        <f t="shared" si="4"/>
        <v/>
      </c>
      <c r="V373" s="25">
        <v>0.0</v>
      </c>
      <c r="W373" s="26">
        <v>0.0</v>
      </c>
      <c r="X373" s="26">
        <v>0.0</v>
      </c>
      <c r="Y373" s="27"/>
      <c r="Z373" s="26">
        <v>21.0</v>
      </c>
      <c r="AA373" s="26">
        <v>0.0</v>
      </c>
      <c r="AB373" s="26">
        <v>0.0</v>
      </c>
      <c r="AC373" s="27"/>
      <c r="AD373" s="27"/>
      <c r="AE373" s="10" t="s">
        <v>38</v>
      </c>
      <c r="AF373" s="10" t="s">
        <v>44</v>
      </c>
      <c r="AG373" s="27"/>
    </row>
    <row r="374" ht="15.75" customHeight="1">
      <c r="A374" s="34" t="s">
        <v>825</v>
      </c>
      <c r="B374" s="35">
        <v>2500.0</v>
      </c>
      <c r="C374" s="15" t="s">
        <v>334</v>
      </c>
      <c r="D374" s="15" t="s">
        <v>826</v>
      </c>
      <c r="E374" s="15"/>
      <c r="F374" s="41">
        <v>3.0</v>
      </c>
      <c r="G374" s="33">
        <v>0.0</v>
      </c>
      <c r="H374" s="33">
        <v>20.0</v>
      </c>
      <c r="I374" s="29">
        <v>0.0</v>
      </c>
      <c r="J374" s="19" t="str">
        <f t="shared" si="21"/>
        <v>destacada</v>
      </c>
      <c r="K374" s="20">
        <f t="shared" si="17"/>
        <v>2000</v>
      </c>
      <c r="L374" s="15"/>
      <c r="M374" s="20"/>
      <c r="N374" s="21">
        <v>0.0</v>
      </c>
      <c r="O374" s="22">
        <v>3.0</v>
      </c>
      <c r="P374" s="23" t="str">
        <f>IFERROR(__xludf.DUMMYFUNCTION("IFERROR(
  INDEX(
    QUERY(
      Historial!A:I,
      ""select I where B = '""&amp;A374&amp;""' order by A desc limit 1"",
      0
    ),
    1
  ),
  """"
)"),"")</f>
        <v/>
      </c>
      <c r="Q374" s="19" t="s">
        <v>51</v>
      </c>
      <c r="R374" s="24">
        <v>46327.0</v>
      </c>
      <c r="S374" s="20" t="str">
        <f>IFERROR(__xludf.DUMMYFUNCTION("IFERROR(
  INDEX(
    QUERY(
      Historial!A:G,
      ""select G where B = '""&amp;A374&amp;""' order by A desc limit 1"",
      0
    ),
    1
  ),
  """"
)"),"")</f>
        <v/>
      </c>
      <c r="T374" s="20" t="str">
        <f t="shared" si="3"/>
        <v/>
      </c>
      <c r="U374" s="20" t="str">
        <f t="shared" si="4"/>
        <v/>
      </c>
      <c r="V374" s="25">
        <v>0.0</v>
      </c>
      <c r="W374" s="26">
        <v>0.0</v>
      </c>
      <c r="X374" s="26">
        <v>0.0</v>
      </c>
      <c r="Y374" s="27"/>
      <c r="Z374" s="26">
        <v>10.0</v>
      </c>
      <c r="AA374" s="26">
        <v>0.0</v>
      </c>
      <c r="AB374" s="26">
        <v>0.0</v>
      </c>
      <c r="AC374" s="27"/>
      <c r="AD374" s="27"/>
      <c r="AE374" s="10" t="s">
        <v>38</v>
      </c>
      <c r="AF374" s="10" t="s">
        <v>44</v>
      </c>
      <c r="AG374" s="27"/>
    </row>
    <row r="375" ht="15.75" customHeight="1">
      <c r="A375" s="34" t="s">
        <v>827</v>
      </c>
      <c r="B375" s="35">
        <v>4000.0</v>
      </c>
      <c r="C375" s="15" t="s">
        <v>334</v>
      </c>
      <c r="D375" s="15" t="s">
        <v>828</v>
      </c>
      <c r="E375" s="15"/>
      <c r="F375" s="41">
        <v>3.0</v>
      </c>
      <c r="G375" s="33">
        <v>0.0</v>
      </c>
      <c r="H375" s="33">
        <v>0.0</v>
      </c>
      <c r="I375" s="29">
        <v>0.0</v>
      </c>
      <c r="J375" s="19" t="str">
        <f t="shared" si="21"/>
        <v>sin oferta</v>
      </c>
      <c r="K375" s="20" t="str">
        <f t="shared" si="17"/>
        <v>NORMAL / SIN OFERTA</v>
      </c>
      <c r="L375" s="15"/>
      <c r="M375" s="20"/>
      <c r="N375" s="21">
        <v>0.0</v>
      </c>
      <c r="O375" s="22">
        <v>3.0</v>
      </c>
      <c r="P375" s="23" t="str">
        <f>IFERROR(__xludf.DUMMYFUNCTION("IFERROR(
  INDEX(
    QUERY(
      Historial!A:I,
      ""select I where B = '""&amp;A375&amp;""' order by A desc limit 1"",
      0
    ),
    1
  ),
  """"
)"),"")</f>
        <v/>
      </c>
      <c r="Q375" s="19" t="s">
        <v>63</v>
      </c>
      <c r="R375" s="24">
        <v>46330.0</v>
      </c>
      <c r="S375" s="20" t="str">
        <f>IFERROR(__xludf.DUMMYFUNCTION("IFERROR(
  INDEX(
    QUERY(
      Historial!A:G,
      ""select G where B = '""&amp;A375&amp;""' order by A desc limit 1"",
      0
    ),
    1
  ),
  """"
)"),"")</f>
        <v/>
      </c>
      <c r="T375" s="20" t="str">
        <f t="shared" si="3"/>
        <v/>
      </c>
      <c r="U375" s="20" t="str">
        <f t="shared" si="4"/>
        <v/>
      </c>
      <c r="V375" s="25">
        <v>0.0</v>
      </c>
      <c r="W375" s="26">
        <v>0.0</v>
      </c>
      <c r="X375" s="26">
        <v>0.0</v>
      </c>
      <c r="Y375" s="27"/>
      <c r="Z375" s="26">
        <v>10.0</v>
      </c>
      <c r="AA375" s="26">
        <v>0.0</v>
      </c>
      <c r="AB375" s="26">
        <v>0.0</v>
      </c>
      <c r="AC375" s="27"/>
      <c r="AD375" s="27"/>
      <c r="AE375" s="10" t="s">
        <v>38</v>
      </c>
      <c r="AF375" s="10" t="s">
        <v>44</v>
      </c>
      <c r="AG375" s="27"/>
    </row>
    <row r="376" ht="15.75" customHeight="1">
      <c r="A376" s="34" t="s">
        <v>829</v>
      </c>
      <c r="B376" s="35">
        <v>1800.0</v>
      </c>
      <c r="C376" s="15" t="s">
        <v>364</v>
      </c>
      <c r="D376" s="15" t="s">
        <v>830</v>
      </c>
      <c r="E376" s="15"/>
      <c r="F376" s="41">
        <v>3.0</v>
      </c>
      <c r="G376" s="33">
        <v>0.0</v>
      </c>
      <c r="H376" s="33">
        <v>0.0</v>
      </c>
      <c r="I376" s="29">
        <v>0.0</v>
      </c>
      <c r="J376" s="19" t="str">
        <f t="shared" si="21"/>
        <v>sin oferta</v>
      </c>
      <c r="K376" s="20" t="str">
        <f t="shared" si="17"/>
        <v>NORMAL / SIN OFERTA</v>
      </c>
      <c r="L376" s="15"/>
      <c r="M376" s="20"/>
      <c r="N376" s="21">
        <v>0.0</v>
      </c>
      <c r="O376" s="22">
        <v>3.0</v>
      </c>
      <c r="P376" s="23" t="str">
        <f>IFERROR(__xludf.DUMMYFUNCTION("IFERROR(
  INDEX(
    QUERY(
      Historial!A:I,
      ""select I where B = '""&amp;A376&amp;""' order by A desc limit 1"",
      0
    ),
    1
  ),
  """"
)"),"")</f>
        <v/>
      </c>
      <c r="Q376" s="19" t="s">
        <v>48</v>
      </c>
      <c r="R376" s="24">
        <v>46347.0</v>
      </c>
      <c r="S376" s="20" t="str">
        <f>IFERROR(__xludf.DUMMYFUNCTION("IFERROR(
  INDEX(
    QUERY(
      Historial!A:G,
      ""select G where B = '""&amp;A376&amp;""' order by A desc limit 1"",
      0
    ),
    1
  ),
  """"
)"),"")</f>
        <v/>
      </c>
      <c r="T376" s="20" t="str">
        <f t="shared" si="3"/>
        <v/>
      </c>
      <c r="U376" s="20" t="str">
        <f t="shared" si="4"/>
        <v/>
      </c>
      <c r="V376" s="25">
        <v>0.0</v>
      </c>
      <c r="W376" s="26">
        <v>0.0</v>
      </c>
      <c r="X376" s="26">
        <v>0.0</v>
      </c>
      <c r="Y376" s="27"/>
      <c r="Z376" s="26">
        <v>10.0</v>
      </c>
      <c r="AA376" s="26">
        <v>0.0</v>
      </c>
      <c r="AB376" s="26">
        <v>0.0</v>
      </c>
      <c r="AC376" s="27"/>
      <c r="AD376" s="27"/>
      <c r="AE376" s="10" t="s">
        <v>38</v>
      </c>
      <c r="AF376" s="10" t="s">
        <v>44</v>
      </c>
      <c r="AG376" s="27"/>
    </row>
    <row r="377" ht="15.75" customHeight="1">
      <c r="A377" s="34" t="s">
        <v>831</v>
      </c>
      <c r="B377" s="35">
        <v>2000.0</v>
      </c>
      <c r="C377" s="15" t="s">
        <v>364</v>
      </c>
      <c r="D377" s="15" t="s">
        <v>832</v>
      </c>
      <c r="E377" s="15"/>
      <c r="F377" s="41">
        <v>3.0</v>
      </c>
      <c r="G377" s="33">
        <v>0.0</v>
      </c>
      <c r="H377" s="33">
        <v>0.0</v>
      </c>
      <c r="I377" s="29">
        <v>0.0</v>
      </c>
      <c r="J377" s="19" t="str">
        <f t="shared" si="21"/>
        <v>sin oferta</v>
      </c>
      <c r="K377" s="20" t="str">
        <f t="shared" si="17"/>
        <v>NORMAL / SIN OFERTA</v>
      </c>
      <c r="L377" s="15"/>
      <c r="M377" s="20"/>
      <c r="N377" s="21">
        <v>0.0</v>
      </c>
      <c r="O377" s="22">
        <v>3.0</v>
      </c>
      <c r="P377" s="23" t="str">
        <f>IFERROR(__xludf.DUMMYFUNCTION("IFERROR(
  INDEX(
    QUERY(
      Historial!A:I,
      ""select I where B = '""&amp;A377&amp;""' order by A desc limit 1"",
      0
    ),
    1
  ),
  """"
)"),"")</f>
        <v/>
      </c>
      <c r="Q377" s="19" t="s">
        <v>57</v>
      </c>
      <c r="R377" s="24">
        <v>46349.0</v>
      </c>
      <c r="S377" s="20" t="str">
        <f>IFERROR(__xludf.DUMMYFUNCTION("IFERROR(
  INDEX(
    QUERY(
      Historial!A:G,
      ""select G where B = '""&amp;A377&amp;""' order by A desc limit 1"",
      0
    ),
    1
  ),
  """"
)"),"")</f>
        <v/>
      </c>
      <c r="T377" s="20" t="str">
        <f t="shared" si="3"/>
        <v/>
      </c>
      <c r="U377" s="20" t="str">
        <f t="shared" si="4"/>
        <v/>
      </c>
      <c r="V377" s="25">
        <v>0.0</v>
      </c>
      <c r="W377" s="26">
        <v>0.0</v>
      </c>
      <c r="X377" s="26">
        <v>0.0</v>
      </c>
      <c r="Y377" s="27"/>
      <c r="Z377" s="26">
        <v>10.0</v>
      </c>
      <c r="AA377" s="26">
        <v>0.0</v>
      </c>
      <c r="AB377" s="26">
        <v>0.0</v>
      </c>
      <c r="AC377" s="27"/>
      <c r="AD377" s="27"/>
      <c r="AE377" s="10" t="s">
        <v>38</v>
      </c>
      <c r="AF377" s="10" t="s">
        <v>44</v>
      </c>
      <c r="AG377" s="27"/>
    </row>
    <row r="378" ht="15.75" customHeight="1">
      <c r="A378" s="31" t="s">
        <v>833</v>
      </c>
      <c r="B378" s="20">
        <v>1800.0</v>
      </c>
      <c r="C378" s="20" t="s">
        <v>364</v>
      </c>
      <c r="D378" s="15" t="s">
        <v>834</v>
      </c>
      <c r="E378" s="20" t="s">
        <v>47</v>
      </c>
      <c r="F378" s="39">
        <v>3.0</v>
      </c>
      <c r="G378" s="40">
        <v>0.0</v>
      </c>
      <c r="H378" s="40">
        <v>0.0</v>
      </c>
      <c r="I378" s="40">
        <v>0.0</v>
      </c>
      <c r="J378" s="19" t="str">
        <f t="shared" si="21"/>
        <v>sin oferta</v>
      </c>
      <c r="K378" s="20" t="str">
        <f t="shared" si="17"/>
        <v>NORMAL / SIN OFERTA</v>
      </c>
      <c r="L378" s="20">
        <v>0.0</v>
      </c>
      <c r="M378" s="20">
        <v>0.0</v>
      </c>
      <c r="N378" s="21">
        <v>0.0</v>
      </c>
      <c r="O378" s="22">
        <v>3.0</v>
      </c>
      <c r="P378" s="23" t="str">
        <f>IFERROR(__xludf.DUMMYFUNCTION("IFERROR(
  INDEX(
    QUERY(
      Historial!A:I,
      ""select I where B = '""&amp;A378&amp;""' order by A desc limit 1"",
      0
    ),
    1
  ),
  """"
)"),"")</f>
        <v/>
      </c>
      <c r="Q378" s="19" t="s">
        <v>63</v>
      </c>
      <c r="R378" s="24">
        <v>46351.0</v>
      </c>
      <c r="S378" s="20" t="str">
        <f>IFERROR(__xludf.DUMMYFUNCTION("IFERROR(
  INDEX(
    QUERY(
      Historial!A:G,
      ""select G where B = '""&amp;A378&amp;""' order by A desc limit 1"",
      0
    ),
    1
  ),
  """"
)"),"")</f>
        <v/>
      </c>
      <c r="T378" s="20" t="str">
        <f t="shared" si="3"/>
        <v/>
      </c>
      <c r="U378" s="20" t="str">
        <f t="shared" si="4"/>
        <v/>
      </c>
      <c r="V378" s="25">
        <v>0.0</v>
      </c>
      <c r="W378" s="26">
        <v>0.0</v>
      </c>
      <c r="X378" s="26">
        <v>0.0</v>
      </c>
      <c r="Y378" s="27"/>
      <c r="Z378" s="26">
        <v>10.0</v>
      </c>
      <c r="AA378" s="26">
        <v>0.0</v>
      </c>
      <c r="AB378" s="26">
        <v>0.0</v>
      </c>
      <c r="AC378" s="27"/>
      <c r="AD378" s="27"/>
      <c r="AE378" s="10" t="s">
        <v>38</v>
      </c>
      <c r="AF378" s="10" t="s">
        <v>44</v>
      </c>
      <c r="AG378" s="27"/>
    </row>
    <row r="379" ht="15.75" customHeight="1">
      <c r="A379" s="34" t="s">
        <v>835</v>
      </c>
      <c r="B379" s="35">
        <v>1800.0</v>
      </c>
      <c r="C379" s="15" t="s">
        <v>364</v>
      </c>
      <c r="D379" s="15" t="s">
        <v>836</v>
      </c>
      <c r="E379" s="15"/>
      <c r="F379" s="41">
        <v>3.0</v>
      </c>
      <c r="G379" s="33">
        <v>0.0</v>
      </c>
      <c r="H379" s="33">
        <v>0.0</v>
      </c>
      <c r="I379" s="29">
        <v>0.0</v>
      </c>
      <c r="J379" s="19" t="str">
        <f t="shared" si="21"/>
        <v>sin oferta</v>
      </c>
      <c r="K379" s="20" t="str">
        <f t="shared" si="17"/>
        <v>NORMAL / SIN OFERTA</v>
      </c>
      <c r="L379" s="15"/>
      <c r="M379" s="20"/>
      <c r="N379" s="21">
        <v>0.0</v>
      </c>
      <c r="O379" s="22">
        <v>3.0</v>
      </c>
      <c r="P379" s="23" t="str">
        <f>IFERROR(__xludf.DUMMYFUNCTION("IFERROR(
  INDEX(
    QUERY(
      Historial!A:I,
      ""select I where B = '""&amp;A379&amp;""' order by A desc limit 1"",
      0
    ),
    1
  ),
  """"
)"),"")</f>
        <v/>
      </c>
      <c r="Q379" s="19" t="s">
        <v>43</v>
      </c>
      <c r="R379" s="24">
        <v>46353.0</v>
      </c>
      <c r="S379" s="20" t="str">
        <f>IFERROR(__xludf.DUMMYFUNCTION("IFERROR(
  INDEX(
    QUERY(
      Historial!A:G,
      ""select G where B = '""&amp;A379&amp;""' order by A desc limit 1"",
      0
    ),
    1
  ),
  """"
)"),"")</f>
        <v/>
      </c>
      <c r="T379" s="20" t="str">
        <f t="shared" si="3"/>
        <v/>
      </c>
      <c r="U379" s="20" t="str">
        <f t="shared" si="4"/>
        <v/>
      </c>
      <c r="V379" s="25">
        <v>0.0</v>
      </c>
      <c r="W379" s="26">
        <v>0.0</v>
      </c>
      <c r="X379" s="26">
        <v>0.0</v>
      </c>
      <c r="Y379" s="27"/>
      <c r="Z379" s="26">
        <v>10.0</v>
      </c>
      <c r="AA379" s="26">
        <v>0.0</v>
      </c>
      <c r="AB379" s="26">
        <v>0.0</v>
      </c>
      <c r="AC379" s="27"/>
      <c r="AD379" s="27"/>
      <c r="AE379" s="10" t="s">
        <v>38</v>
      </c>
      <c r="AF379" s="10" t="s">
        <v>44</v>
      </c>
      <c r="AG379" s="27"/>
    </row>
    <row r="380" ht="15.75" customHeight="1">
      <c r="A380" s="34" t="s">
        <v>837</v>
      </c>
      <c r="B380" s="35">
        <v>1600.0</v>
      </c>
      <c r="C380" s="15" t="s">
        <v>364</v>
      </c>
      <c r="D380" s="15" t="s">
        <v>838</v>
      </c>
      <c r="E380" s="15"/>
      <c r="F380" s="41">
        <v>3.0</v>
      </c>
      <c r="G380" s="33">
        <v>0.0</v>
      </c>
      <c r="H380" s="33">
        <v>0.0</v>
      </c>
      <c r="I380" s="29">
        <v>0.0</v>
      </c>
      <c r="J380" s="19" t="str">
        <f t="shared" si="21"/>
        <v>sin oferta</v>
      </c>
      <c r="K380" s="20" t="str">
        <f t="shared" si="17"/>
        <v>NORMAL / SIN OFERTA</v>
      </c>
      <c r="L380" s="15"/>
      <c r="M380" s="20"/>
      <c r="N380" s="21">
        <v>0.0</v>
      </c>
      <c r="O380" s="22">
        <v>3.0</v>
      </c>
      <c r="P380" s="23" t="str">
        <f>IFERROR(__xludf.DUMMYFUNCTION("IFERROR(
  INDEX(
    QUERY(
      Historial!A:I,
      ""select I where B = '""&amp;A380&amp;""' order by A desc limit 1"",
      0
    ),
    1
  ),
  """"
)"),"")</f>
        <v/>
      </c>
      <c r="Q380" s="19" t="s">
        <v>57</v>
      </c>
      <c r="R380" s="24">
        <v>46356.0</v>
      </c>
      <c r="S380" s="20" t="str">
        <f>IFERROR(__xludf.DUMMYFUNCTION("IFERROR(
  INDEX(
    QUERY(
      Historial!A:G,
      ""select G where B = '""&amp;A380&amp;""' order by A desc limit 1"",
      0
    ),
    1
  ),
  """"
)"),"")</f>
        <v/>
      </c>
      <c r="T380" s="20" t="str">
        <f t="shared" si="3"/>
        <v/>
      </c>
      <c r="U380" s="20" t="str">
        <f t="shared" si="4"/>
        <v/>
      </c>
      <c r="V380" s="25">
        <v>0.0</v>
      </c>
      <c r="W380" s="26">
        <v>0.0</v>
      </c>
      <c r="X380" s="26">
        <v>0.0</v>
      </c>
      <c r="Y380" s="27"/>
      <c r="Z380" s="26">
        <v>10.0</v>
      </c>
      <c r="AA380" s="26">
        <v>0.0</v>
      </c>
      <c r="AB380" s="26">
        <v>0.0</v>
      </c>
      <c r="AC380" s="27"/>
      <c r="AD380" s="27"/>
      <c r="AE380" s="10" t="s">
        <v>38</v>
      </c>
      <c r="AF380" s="10" t="s">
        <v>44</v>
      </c>
      <c r="AG380" s="27"/>
    </row>
    <row r="381" ht="15.75" customHeight="1">
      <c r="A381" s="34" t="s">
        <v>839</v>
      </c>
      <c r="B381" s="35">
        <v>1800.0</v>
      </c>
      <c r="C381" s="15" t="s">
        <v>364</v>
      </c>
      <c r="D381" s="15" t="s">
        <v>840</v>
      </c>
      <c r="E381" s="15"/>
      <c r="F381" s="41">
        <v>3.0</v>
      </c>
      <c r="G381" s="33">
        <v>0.0</v>
      </c>
      <c r="H381" s="33">
        <v>0.0</v>
      </c>
      <c r="I381" s="29">
        <v>0.0</v>
      </c>
      <c r="J381" s="19" t="str">
        <f t="shared" si="21"/>
        <v>sin oferta</v>
      </c>
      <c r="K381" s="20" t="str">
        <f t="shared" si="17"/>
        <v>NORMAL / SIN OFERTA</v>
      </c>
      <c r="L381" s="15"/>
      <c r="M381" s="20"/>
      <c r="N381" s="21">
        <v>0.0</v>
      </c>
      <c r="O381" s="22">
        <v>3.0</v>
      </c>
      <c r="P381" s="23" t="str">
        <f>IFERROR(__xludf.DUMMYFUNCTION("IFERROR(
  INDEX(
    QUERY(
      Historial!A:I,
      ""select I where B = '""&amp;A381&amp;""' order by A desc limit 1"",
      0
    ),
    1
  ),
  """"
)"),"")</f>
        <v/>
      </c>
      <c r="Q381" s="19" t="s">
        <v>60</v>
      </c>
      <c r="R381" s="24">
        <v>46357.0</v>
      </c>
      <c r="S381" s="20" t="str">
        <f>IFERROR(__xludf.DUMMYFUNCTION("IFERROR(
  INDEX(
    QUERY(
      Historial!A:G,
      ""select G where B = '""&amp;A381&amp;""' order by A desc limit 1"",
      0
    ),
    1
  ),
  """"
)"),"")</f>
        <v/>
      </c>
      <c r="T381" s="20" t="str">
        <f t="shared" si="3"/>
        <v/>
      </c>
      <c r="U381" s="20" t="str">
        <f t="shared" si="4"/>
        <v/>
      </c>
      <c r="V381" s="25">
        <v>0.0</v>
      </c>
      <c r="W381" s="26">
        <v>0.0</v>
      </c>
      <c r="X381" s="26">
        <v>0.0</v>
      </c>
      <c r="Y381" s="27"/>
      <c r="Z381" s="26">
        <v>10.0</v>
      </c>
      <c r="AA381" s="26">
        <v>0.0</v>
      </c>
      <c r="AB381" s="26">
        <v>0.0</v>
      </c>
      <c r="AC381" s="27"/>
      <c r="AD381" s="27"/>
      <c r="AE381" s="10" t="s">
        <v>38</v>
      </c>
      <c r="AF381" s="10" t="s">
        <v>44</v>
      </c>
      <c r="AG381" s="27"/>
    </row>
    <row r="382" ht="15.75" customHeight="1">
      <c r="A382" s="34" t="s">
        <v>841</v>
      </c>
      <c r="B382" s="35">
        <v>1800.0</v>
      </c>
      <c r="C382" s="15" t="s">
        <v>364</v>
      </c>
      <c r="D382" s="15" t="s">
        <v>842</v>
      </c>
      <c r="E382" s="15"/>
      <c r="F382" s="41">
        <v>3.0</v>
      </c>
      <c r="G382" s="33">
        <v>0.0</v>
      </c>
      <c r="H382" s="33">
        <v>0.0</v>
      </c>
      <c r="I382" s="29">
        <v>0.0</v>
      </c>
      <c r="J382" s="19" t="str">
        <f t="shared" si="21"/>
        <v>sin oferta</v>
      </c>
      <c r="K382" s="20" t="str">
        <f t="shared" si="17"/>
        <v>NORMAL / SIN OFERTA</v>
      </c>
      <c r="L382" s="15"/>
      <c r="M382" s="20"/>
      <c r="N382" s="21">
        <v>0.0</v>
      </c>
      <c r="O382" s="22">
        <v>3.0</v>
      </c>
      <c r="P382" s="23" t="str">
        <f>IFERROR(__xludf.DUMMYFUNCTION("IFERROR(
  INDEX(
    QUERY(
      Historial!A:I,
      ""select I where B = '""&amp;A382&amp;""' order by A desc limit 1"",
      0
    ),
    1
  ),
  """"
)"),"")</f>
        <v/>
      </c>
      <c r="Q382" s="19" t="s">
        <v>63</v>
      </c>
      <c r="R382" s="24">
        <v>46358.0</v>
      </c>
      <c r="S382" s="20" t="str">
        <f>IFERROR(__xludf.DUMMYFUNCTION("IFERROR(
  INDEX(
    QUERY(
      Historial!A:G,
      ""select G where B = '""&amp;A382&amp;""' order by A desc limit 1"",
      0
    ),
    1
  ),
  """"
)"),"")</f>
        <v/>
      </c>
      <c r="T382" s="20" t="str">
        <f t="shared" si="3"/>
        <v/>
      </c>
      <c r="U382" s="20" t="str">
        <f t="shared" si="4"/>
        <v/>
      </c>
      <c r="V382" s="25">
        <v>0.0</v>
      </c>
      <c r="W382" s="26">
        <v>0.0</v>
      </c>
      <c r="X382" s="26">
        <v>0.0</v>
      </c>
      <c r="Y382" s="27"/>
      <c r="Z382" s="26">
        <v>10.0</v>
      </c>
      <c r="AA382" s="26">
        <v>0.0</v>
      </c>
      <c r="AB382" s="26">
        <v>0.0</v>
      </c>
      <c r="AC382" s="27"/>
      <c r="AD382" s="27"/>
      <c r="AE382" s="10" t="s">
        <v>38</v>
      </c>
      <c r="AF382" s="10" t="s">
        <v>44</v>
      </c>
      <c r="AG382" s="27"/>
    </row>
    <row r="383" ht="15.75" customHeight="1">
      <c r="A383" s="34" t="s">
        <v>843</v>
      </c>
      <c r="B383" s="35">
        <v>1800.0</v>
      </c>
      <c r="C383" s="15" t="s">
        <v>364</v>
      </c>
      <c r="D383" s="15" t="s">
        <v>844</v>
      </c>
      <c r="E383" s="15"/>
      <c r="F383" s="41">
        <v>3.0</v>
      </c>
      <c r="G383" s="33">
        <v>0.0</v>
      </c>
      <c r="H383" s="33">
        <v>0.0</v>
      </c>
      <c r="I383" s="29">
        <v>0.0</v>
      </c>
      <c r="J383" s="19" t="str">
        <f t="shared" si="21"/>
        <v>sin oferta</v>
      </c>
      <c r="K383" s="20" t="str">
        <f t="shared" si="17"/>
        <v>NORMAL / SIN OFERTA</v>
      </c>
      <c r="L383" s="15"/>
      <c r="M383" s="20"/>
      <c r="N383" s="21">
        <v>0.0</v>
      </c>
      <c r="O383" s="22">
        <v>3.0</v>
      </c>
      <c r="P383" s="23" t="str">
        <f>IFERROR(__xludf.DUMMYFUNCTION("IFERROR(
  INDEX(
    QUERY(
      Historial!A:I,
      ""select I where B = '""&amp;A383&amp;""' order by A desc limit 1"",
      0
    ),
    1
  ),
  """"
)"),"")</f>
        <v/>
      </c>
      <c r="Q383" s="19" t="s">
        <v>43</v>
      </c>
      <c r="R383" s="24">
        <v>46360.0</v>
      </c>
      <c r="S383" s="20" t="str">
        <f>IFERROR(__xludf.DUMMYFUNCTION("IFERROR(
  INDEX(
    QUERY(
      Historial!A:G,
      ""select G where B = '""&amp;A383&amp;""' order by A desc limit 1"",
      0
    ),
    1
  ),
  """"
)"),"")</f>
        <v/>
      </c>
      <c r="T383" s="20" t="str">
        <f t="shared" si="3"/>
        <v/>
      </c>
      <c r="U383" s="20" t="str">
        <f t="shared" si="4"/>
        <v/>
      </c>
      <c r="V383" s="25">
        <v>0.0</v>
      </c>
      <c r="W383" s="26">
        <v>0.0</v>
      </c>
      <c r="X383" s="26">
        <v>0.0</v>
      </c>
      <c r="Y383" s="27"/>
      <c r="Z383" s="26">
        <v>10.0</v>
      </c>
      <c r="AA383" s="26">
        <v>0.0</v>
      </c>
      <c r="AB383" s="26">
        <v>0.0</v>
      </c>
      <c r="AC383" s="27"/>
      <c r="AD383" s="27"/>
      <c r="AE383" s="10" t="s">
        <v>38</v>
      </c>
      <c r="AF383" s="10" t="s">
        <v>44</v>
      </c>
      <c r="AG383" s="27"/>
    </row>
    <row r="384" ht="15.75" customHeight="1">
      <c r="A384" s="34" t="s">
        <v>845</v>
      </c>
      <c r="B384" s="35">
        <v>1800.0</v>
      </c>
      <c r="C384" s="15" t="s">
        <v>364</v>
      </c>
      <c r="D384" s="15" t="s">
        <v>846</v>
      </c>
      <c r="E384" s="15"/>
      <c r="F384" s="41">
        <v>3.0</v>
      </c>
      <c r="G384" s="33">
        <v>0.0</v>
      </c>
      <c r="H384" s="33">
        <v>0.0</v>
      </c>
      <c r="I384" s="29">
        <v>0.0</v>
      </c>
      <c r="J384" s="19" t="str">
        <f t="shared" si="21"/>
        <v>sin oferta</v>
      </c>
      <c r="K384" s="20" t="str">
        <f t="shared" si="17"/>
        <v>NORMAL / SIN OFERTA</v>
      </c>
      <c r="L384" s="15"/>
      <c r="M384" s="20"/>
      <c r="N384" s="21">
        <v>0.0</v>
      </c>
      <c r="O384" s="22">
        <v>3.0</v>
      </c>
      <c r="P384" s="23" t="str">
        <f>IFERROR(__xludf.DUMMYFUNCTION("IFERROR(
  INDEX(
    QUERY(
      Historial!A:I,
      ""select I where B = '""&amp;A384&amp;""' order by A desc limit 1"",
      0
    ),
    1
  ),
  """"
)"),"")</f>
        <v/>
      </c>
      <c r="Q384" s="19" t="s">
        <v>48</v>
      </c>
      <c r="R384" s="24">
        <v>46361.0</v>
      </c>
      <c r="S384" s="20" t="str">
        <f>IFERROR(__xludf.DUMMYFUNCTION("IFERROR(
  INDEX(
    QUERY(
      Historial!A:G,
      ""select G where B = '""&amp;A384&amp;""' order by A desc limit 1"",
      0
    ),
    1
  ),
  """"
)"),"")</f>
        <v/>
      </c>
      <c r="T384" s="20" t="str">
        <f t="shared" si="3"/>
        <v/>
      </c>
      <c r="U384" s="20" t="str">
        <f t="shared" si="4"/>
        <v/>
      </c>
      <c r="V384" s="25">
        <v>0.0</v>
      </c>
      <c r="W384" s="26">
        <v>0.0</v>
      </c>
      <c r="X384" s="26">
        <v>0.0</v>
      </c>
      <c r="Y384" s="27"/>
      <c r="Z384" s="26">
        <v>10.0</v>
      </c>
      <c r="AA384" s="26">
        <v>0.0</v>
      </c>
      <c r="AB384" s="26">
        <v>0.0</v>
      </c>
      <c r="AC384" s="27"/>
      <c r="AD384" s="27"/>
      <c r="AE384" s="10" t="s">
        <v>38</v>
      </c>
      <c r="AF384" s="10" t="s">
        <v>44</v>
      </c>
      <c r="AG384" s="27"/>
    </row>
    <row r="385" ht="15.75" customHeight="1">
      <c r="A385" s="34" t="s">
        <v>847</v>
      </c>
      <c r="B385" s="35">
        <v>1800.0</v>
      </c>
      <c r="C385" s="15" t="s">
        <v>364</v>
      </c>
      <c r="D385" s="15" t="s">
        <v>848</v>
      </c>
      <c r="E385" s="15"/>
      <c r="F385" s="41">
        <v>3.0</v>
      </c>
      <c r="G385" s="33">
        <v>0.0</v>
      </c>
      <c r="H385" s="33">
        <v>0.0</v>
      </c>
      <c r="I385" s="29">
        <v>0.0</v>
      </c>
      <c r="J385" s="19" t="str">
        <f t="shared" si="21"/>
        <v>sin oferta</v>
      </c>
      <c r="K385" s="20" t="str">
        <f t="shared" si="17"/>
        <v>NORMAL / SIN OFERTA</v>
      </c>
      <c r="L385" s="15"/>
      <c r="M385" s="20"/>
      <c r="N385" s="21">
        <v>0.0</v>
      </c>
      <c r="O385" s="22">
        <v>3.0</v>
      </c>
      <c r="P385" s="23" t="str">
        <f>IFERROR(__xludf.DUMMYFUNCTION("IFERROR(
  INDEX(
    QUERY(
      Historial!A:I,
      ""select I where B = '""&amp;A385&amp;""' order by A desc limit 1"",
      0
    ),
    1
  ),
  """"
)"),"")</f>
        <v/>
      </c>
      <c r="Q385" s="19" t="s">
        <v>51</v>
      </c>
      <c r="R385" s="24">
        <v>46362.0</v>
      </c>
      <c r="S385" s="20" t="str">
        <f>IFERROR(__xludf.DUMMYFUNCTION("IFERROR(
  INDEX(
    QUERY(
      Historial!A:G,
      ""select G where B = '""&amp;A385&amp;""' order by A desc limit 1"",
      0
    ),
    1
  ),
  """"
)"),"")</f>
        <v/>
      </c>
      <c r="T385" s="20" t="str">
        <f t="shared" si="3"/>
        <v/>
      </c>
      <c r="U385" s="20" t="str">
        <f t="shared" si="4"/>
        <v/>
      </c>
      <c r="V385" s="25">
        <v>0.0</v>
      </c>
      <c r="W385" s="26">
        <v>0.0</v>
      </c>
      <c r="X385" s="26">
        <v>0.0</v>
      </c>
      <c r="Y385" s="27"/>
      <c r="Z385" s="26">
        <v>10.0</v>
      </c>
      <c r="AA385" s="26">
        <v>0.0</v>
      </c>
      <c r="AB385" s="26">
        <v>0.0</v>
      </c>
      <c r="AC385" s="27"/>
      <c r="AD385" s="27"/>
      <c r="AE385" s="10" t="s">
        <v>38</v>
      </c>
      <c r="AF385" s="10" t="s">
        <v>44</v>
      </c>
      <c r="AG385" s="27"/>
    </row>
    <row r="386" ht="15.75" customHeight="1">
      <c r="A386" s="34" t="s">
        <v>849</v>
      </c>
      <c r="B386" s="35">
        <v>1800.0</v>
      </c>
      <c r="C386" s="15" t="s">
        <v>364</v>
      </c>
      <c r="D386" s="15" t="s">
        <v>850</v>
      </c>
      <c r="E386" s="15"/>
      <c r="F386" s="41">
        <v>3.0</v>
      </c>
      <c r="G386" s="33">
        <v>0.0</v>
      </c>
      <c r="H386" s="33">
        <v>0.0</v>
      </c>
      <c r="I386" s="29">
        <v>0.0</v>
      </c>
      <c r="J386" s="19" t="str">
        <f t="shared" si="21"/>
        <v>sin oferta</v>
      </c>
      <c r="K386" s="20" t="str">
        <f t="shared" si="17"/>
        <v>NORMAL / SIN OFERTA</v>
      </c>
      <c r="L386" s="15"/>
      <c r="M386" s="20"/>
      <c r="N386" s="21">
        <v>0.0</v>
      </c>
      <c r="O386" s="22">
        <v>3.0</v>
      </c>
      <c r="P386" s="23" t="str">
        <f>IFERROR(__xludf.DUMMYFUNCTION("IFERROR(
  INDEX(
    QUERY(
      Historial!A:I,
      ""select I where B = '""&amp;A386&amp;""' order by A desc limit 1"",
      0
    ),
    1
  ),
  """"
)"),"")</f>
        <v/>
      </c>
      <c r="Q386" s="19" t="s">
        <v>57</v>
      </c>
      <c r="R386" s="24">
        <v>46363.0</v>
      </c>
      <c r="S386" s="20" t="str">
        <f>IFERROR(__xludf.DUMMYFUNCTION("IFERROR(
  INDEX(
    QUERY(
      Historial!A:G,
      ""select G where B = '""&amp;A386&amp;""' order by A desc limit 1"",
      0
    ),
    1
  ),
  """"
)"),"")</f>
        <v/>
      </c>
      <c r="T386" s="20" t="str">
        <f t="shared" si="3"/>
        <v/>
      </c>
      <c r="U386" s="20" t="str">
        <f t="shared" si="4"/>
        <v/>
      </c>
      <c r="V386" s="25">
        <v>0.0</v>
      </c>
      <c r="W386" s="26">
        <v>0.0</v>
      </c>
      <c r="X386" s="26">
        <v>0.0</v>
      </c>
      <c r="Y386" s="27"/>
      <c r="Z386" s="26">
        <v>10.0</v>
      </c>
      <c r="AA386" s="26">
        <v>0.0</v>
      </c>
      <c r="AB386" s="26">
        <v>0.0</v>
      </c>
      <c r="AC386" s="27"/>
      <c r="AD386" s="27"/>
      <c r="AE386" s="10" t="s">
        <v>38</v>
      </c>
      <c r="AF386" s="10" t="s">
        <v>44</v>
      </c>
      <c r="AG386" s="27"/>
    </row>
    <row r="387" ht="15.75" customHeight="1">
      <c r="A387" s="34" t="s">
        <v>851</v>
      </c>
      <c r="B387" s="33">
        <v>2500.0</v>
      </c>
      <c r="C387" s="15" t="s">
        <v>364</v>
      </c>
      <c r="D387" s="15" t="s">
        <v>852</v>
      </c>
      <c r="E387" s="15"/>
      <c r="F387" s="41">
        <v>3.0</v>
      </c>
      <c r="G387" s="33">
        <v>0.0</v>
      </c>
      <c r="H387" s="33">
        <v>0.0</v>
      </c>
      <c r="I387" s="29">
        <v>0.0</v>
      </c>
      <c r="J387" s="19" t="str">
        <f t="shared" si="21"/>
        <v>sin oferta</v>
      </c>
      <c r="K387" s="20" t="str">
        <f t="shared" si="17"/>
        <v>NORMAL / SIN OFERTA</v>
      </c>
      <c r="L387" s="15"/>
      <c r="M387" s="20"/>
      <c r="N387" s="21">
        <v>0.0</v>
      </c>
      <c r="O387" s="22">
        <v>3.0</v>
      </c>
      <c r="P387" s="23" t="str">
        <f>IFERROR(__xludf.DUMMYFUNCTION("IFERROR(
  INDEX(
    QUERY(
      Historial!A:I,
      ""select I where B = '""&amp;A387&amp;""' order by A desc limit 1"",
      0
    ),
    1
  ),
  """"
)"),"")</f>
        <v/>
      </c>
      <c r="Q387" s="19" t="s">
        <v>60</v>
      </c>
      <c r="R387" s="24">
        <v>46364.0</v>
      </c>
      <c r="S387" s="20" t="str">
        <f>IFERROR(__xludf.DUMMYFUNCTION("IFERROR(
  INDEX(
    QUERY(
      Historial!A:G,
      ""select G where B = '""&amp;A387&amp;""' order by A desc limit 1"",
      0
    ),
    1
  ),
  """"
)"),"")</f>
        <v/>
      </c>
      <c r="T387" s="20" t="str">
        <f t="shared" si="3"/>
        <v/>
      </c>
      <c r="U387" s="20" t="str">
        <f t="shared" si="4"/>
        <v/>
      </c>
      <c r="V387" s="25">
        <v>0.0</v>
      </c>
      <c r="W387" s="26">
        <v>0.0</v>
      </c>
      <c r="X387" s="26">
        <v>0.0</v>
      </c>
      <c r="Y387" s="27"/>
      <c r="Z387" s="26">
        <v>10.0</v>
      </c>
      <c r="AA387" s="26">
        <v>0.0</v>
      </c>
      <c r="AB387" s="26">
        <v>0.0</v>
      </c>
      <c r="AC387" s="27"/>
      <c r="AD387" s="27"/>
      <c r="AE387" s="10" t="s">
        <v>38</v>
      </c>
      <c r="AF387" s="10" t="s">
        <v>44</v>
      </c>
      <c r="AG387" s="27"/>
    </row>
    <row r="388" ht="15.75" customHeight="1">
      <c r="A388" s="34" t="s">
        <v>853</v>
      </c>
      <c r="B388" s="35">
        <v>1800.0</v>
      </c>
      <c r="C388" s="15" t="s">
        <v>364</v>
      </c>
      <c r="D388" s="15" t="s">
        <v>854</v>
      </c>
      <c r="E388" s="15"/>
      <c r="F388" s="41">
        <v>3.0</v>
      </c>
      <c r="G388" s="33">
        <v>0.0</v>
      </c>
      <c r="H388" s="33">
        <v>0.0</v>
      </c>
      <c r="I388" s="29">
        <v>0.0</v>
      </c>
      <c r="J388" s="19" t="str">
        <f t="shared" si="21"/>
        <v>sin oferta</v>
      </c>
      <c r="K388" s="20" t="str">
        <f t="shared" si="17"/>
        <v>NORMAL / SIN OFERTA</v>
      </c>
      <c r="L388" s="15"/>
      <c r="M388" s="20"/>
      <c r="N388" s="21">
        <v>0.0</v>
      </c>
      <c r="O388" s="22">
        <v>3.0</v>
      </c>
      <c r="P388" s="23" t="str">
        <f>IFERROR(__xludf.DUMMYFUNCTION("IFERROR(
  INDEX(
    QUERY(
      Historial!A:I,
      ""select I where B = '""&amp;A388&amp;""' order by A desc limit 1"",
      0
    ),
    1
  ),
  """"
)"),"")</f>
        <v/>
      </c>
      <c r="Q388" s="19" t="s">
        <v>63</v>
      </c>
      <c r="R388" s="24">
        <v>46365.0</v>
      </c>
      <c r="S388" s="20" t="str">
        <f>IFERROR(__xludf.DUMMYFUNCTION("IFERROR(
  INDEX(
    QUERY(
      Historial!A:G,
      ""select G where B = '""&amp;A388&amp;""' order by A desc limit 1"",
      0
    ),
    1
  ),
  """"
)"),"")</f>
        <v/>
      </c>
      <c r="T388" s="20" t="str">
        <f t="shared" si="3"/>
        <v/>
      </c>
      <c r="U388" s="20" t="str">
        <f t="shared" si="4"/>
        <v/>
      </c>
      <c r="V388" s="25">
        <v>0.0</v>
      </c>
      <c r="W388" s="26">
        <v>0.0</v>
      </c>
      <c r="X388" s="26">
        <v>0.0</v>
      </c>
      <c r="Y388" s="27"/>
      <c r="Z388" s="26">
        <v>10.0</v>
      </c>
      <c r="AA388" s="26">
        <v>0.0</v>
      </c>
      <c r="AB388" s="26">
        <v>0.0</v>
      </c>
      <c r="AC388" s="27"/>
      <c r="AD388" s="27"/>
      <c r="AE388" s="10" t="s">
        <v>38</v>
      </c>
      <c r="AF388" s="10" t="s">
        <v>44</v>
      </c>
      <c r="AG388" s="27"/>
    </row>
    <row r="389" ht="15.75" customHeight="1">
      <c r="A389" s="34" t="s">
        <v>855</v>
      </c>
      <c r="B389" s="35">
        <v>1800.0</v>
      </c>
      <c r="C389" s="15" t="s">
        <v>364</v>
      </c>
      <c r="D389" s="15" t="s">
        <v>856</v>
      </c>
      <c r="E389" s="15"/>
      <c r="F389" s="41">
        <v>3.0</v>
      </c>
      <c r="G389" s="33">
        <v>0.0</v>
      </c>
      <c r="H389" s="33">
        <v>0.0</v>
      </c>
      <c r="I389" s="29">
        <v>0.0</v>
      </c>
      <c r="J389" s="19" t="str">
        <f t="shared" si="21"/>
        <v>sin oferta</v>
      </c>
      <c r="K389" s="20" t="str">
        <f t="shared" si="17"/>
        <v>NORMAL / SIN OFERTA</v>
      </c>
      <c r="L389" s="15"/>
      <c r="M389" s="20"/>
      <c r="N389" s="21">
        <v>0.0</v>
      </c>
      <c r="O389" s="22">
        <v>3.0</v>
      </c>
      <c r="P389" s="23" t="str">
        <f>IFERROR(__xludf.DUMMYFUNCTION("IFERROR(
  INDEX(
    QUERY(
      Historial!A:I,
      ""select I where B = '""&amp;A389&amp;""' order by A desc limit 1"",
      0
    ),
    1
  ),
  """"
)"),"")</f>
        <v/>
      </c>
      <c r="Q389" s="19" t="s">
        <v>37</v>
      </c>
      <c r="R389" s="24">
        <v>46366.0</v>
      </c>
      <c r="S389" s="20" t="str">
        <f>IFERROR(__xludf.DUMMYFUNCTION("IFERROR(
  INDEX(
    QUERY(
      Historial!A:G,
      ""select G where B = '""&amp;A389&amp;""' order by A desc limit 1"",
      0
    ),
    1
  ),
  """"
)"),"")</f>
        <v/>
      </c>
      <c r="T389" s="20" t="str">
        <f t="shared" si="3"/>
        <v/>
      </c>
      <c r="U389" s="20" t="str">
        <f t="shared" si="4"/>
        <v/>
      </c>
      <c r="V389" s="25">
        <v>0.0</v>
      </c>
      <c r="W389" s="26">
        <v>0.0</v>
      </c>
      <c r="X389" s="26">
        <v>0.0</v>
      </c>
      <c r="Y389" s="27"/>
      <c r="Z389" s="26">
        <v>10.0</v>
      </c>
      <c r="AA389" s="26">
        <v>0.0</v>
      </c>
      <c r="AB389" s="26">
        <v>0.0</v>
      </c>
      <c r="AC389" s="27"/>
      <c r="AD389" s="27"/>
      <c r="AE389" s="10" t="s">
        <v>38</v>
      </c>
      <c r="AF389" s="10" t="s">
        <v>44</v>
      </c>
      <c r="AG389" s="27"/>
    </row>
    <row r="390" ht="15.75" customHeight="1">
      <c r="A390" s="34" t="s">
        <v>857</v>
      </c>
      <c r="B390" s="33">
        <v>2000.0</v>
      </c>
      <c r="C390" s="15" t="s">
        <v>364</v>
      </c>
      <c r="D390" s="15" t="s">
        <v>858</v>
      </c>
      <c r="E390" s="15"/>
      <c r="F390" s="41">
        <v>3.0</v>
      </c>
      <c r="G390" s="33">
        <v>0.0</v>
      </c>
      <c r="H390" s="33">
        <v>0.0</v>
      </c>
      <c r="I390" s="29">
        <v>0.0</v>
      </c>
      <c r="J390" s="19" t="str">
        <f t="shared" si="21"/>
        <v>sin oferta</v>
      </c>
      <c r="K390" s="20" t="str">
        <f t="shared" si="17"/>
        <v>NORMAL / SIN OFERTA</v>
      </c>
      <c r="L390" s="15"/>
      <c r="M390" s="20"/>
      <c r="N390" s="21">
        <v>0.0</v>
      </c>
      <c r="O390" s="22">
        <v>3.0</v>
      </c>
      <c r="P390" s="23" t="str">
        <f>IFERROR(__xludf.DUMMYFUNCTION("IFERROR(
  INDEX(
    QUERY(
      Historial!A:I,
      ""select I where B = '""&amp;A390&amp;""' order by A desc limit 1"",
      0
    ),
    1
  ),
  """"
)"),"")</f>
        <v/>
      </c>
      <c r="Q390" s="19" t="s">
        <v>48</v>
      </c>
      <c r="R390" s="24">
        <v>46368.0</v>
      </c>
      <c r="S390" s="20" t="str">
        <f>IFERROR(__xludf.DUMMYFUNCTION("IFERROR(
  INDEX(
    QUERY(
      Historial!A:G,
      ""select G where B = '""&amp;A390&amp;""' order by A desc limit 1"",
      0
    ),
    1
  ),
  """"
)"),"")</f>
        <v/>
      </c>
      <c r="T390" s="20" t="str">
        <f t="shared" si="3"/>
        <v/>
      </c>
      <c r="U390" s="20" t="str">
        <f t="shared" si="4"/>
        <v/>
      </c>
      <c r="V390" s="25">
        <v>0.0</v>
      </c>
      <c r="W390" s="26">
        <v>0.0</v>
      </c>
      <c r="X390" s="26">
        <v>0.0</v>
      </c>
      <c r="Y390" s="27"/>
      <c r="Z390" s="26">
        <v>10.0</v>
      </c>
      <c r="AA390" s="26">
        <v>0.0</v>
      </c>
      <c r="AB390" s="26">
        <v>0.0</v>
      </c>
      <c r="AC390" s="27"/>
      <c r="AD390" s="27"/>
      <c r="AE390" s="10" t="s">
        <v>38</v>
      </c>
      <c r="AF390" s="10" t="s">
        <v>44</v>
      </c>
      <c r="AG390" s="27"/>
    </row>
    <row r="391" ht="15.75" customHeight="1">
      <c r="A391" s="34" t="s">
        <v>859</v>
      </c>
      <c r="B391" s="35">
        <v>2000.0</v>
      </c>
      <c r="C391" s="15" t="s">
        <v>364</v>
      </c>
      <c r="D391" s="15" t="s">
        <v>860</v>
      </c>
      <c r="E391" s="15"/>
      <c r="F391" s="41">
        <v>3.0</v>
      </c>
      <c r="G391" s="33">
        <v>0.0</v>
      </c>
      <c r="H391" s="33">
        <v>0.0</v>
      </c>
      <c r="I391" s="29">
        <v>0.0</v>
      </c>
      <c r="J391" s="19" t="str">
        <f t="shared" si="21"/>
        <v>sin oferta</v>
      </c>
      <c r="K391" s="20" t="str">
        <f t="shared" si="17"/>
        <v>NORMAL / SIN OFERTA</v>
      </c>
      <c r="L391" s="15"/>
      <c r="M391" s="20"/>
      <c r="N391" s="21">
        <v>0.0</v>
      </c>
      <c r="O391" s="22">
        <v>3.0</v>
      </c>
      <c r="P391" s="23" t="str">
        <f>IFERROR(__xludf.DUMMYFUNCTION("IFERROR(
  INDEX(
    QUERY(
      Historial!A:I,
      ""select I where B = '""&amp;A391&amp;""' order by A desc limit 1"",
      0
    ),
    1
  ),
  """"
)"),"")</f>
        <v/>
      </c>
      <c r="Q391" s="19" t="s">
        <v>51</v>
      </c>
      <c r="R391" s="24">
        <v>46369.0</v>
      </c>
      <c r="S391" s="20" t="str">
        <f>IFERROR(__xludf.DUMMYFUNCTION("IFERROR(
  INDEX(
    QUERY(
      Historial!A:G,
      ""select G where B = '""&amp;A391&amp;""' order by A desc limit 1"",
      0
    ),
    1
  ),
  """"
)"),"")</f>
        <v/>
      </c>
      <c r="T391" s="20" t="str">
        <f t="shared" si="3"/>
        <v/>
      </c>
      <c r="U391" s="20" t="str">
        <f t="shared" si="4"/>
        <v/>
      </c>
      <c r="V391" s="25">
        <v>0.0</v>
      </c>
      <c r="W391" s="26">
        <v>0.0</v>
      </c>
      <c r="X391" s="26">
        <v>0.0</v>
      </c>
      <c r="Y391" s="27"/>
      <c r="Z391" s="26">
        <v>10.0</v>
      </c>
      <c r="AA391" s="26">
        <v>0.0</v>
      </c>
      <c r="AB391" s="26">
        <v>0.0</v>
      </c>
      <c r="AC391" s="27"/>
      <c r="AD391" s="27"/>
      <c r="AE391" s="10" t="s">
        <v>38</v>
      </c>
      <c r="AF391" s="10" t="s">
        <v>44</v>
      </c>
      <c r="AG391" s="27"/>
    </row>
    <row r="392" ht="15.75" customHeight="1">
      <c r="A392" s="34" t="s">
        <v>861</v>
      </c>
      <c r="B392" s="35">
        <v>1300.0</v>
      </c>
      <c r="C392" s="15" t="s">
        <v>364</v>
      </c>
      <c r="D392" s="15" t="s">
        <v>862</v>
      </c>
      <c r="E392" s="15"/>
      <c r="F392" s="41">
        <v>3.0</v>
      </c>
      <c r="G392" s="33">
        <v>0.0</v>
      </c>
      <c r="H392" s="33">
        <v>0.0</v>
      </c>
      <c r="I392" s="29">
        <v>1.0</v>
      </c>
      <c r="J392" s="19" t="str">
        <f t="shared" si="21"/>
        <v>especial</v>
      </c>
      <c r="K392" s="20">
        <f t="shared" si="17"/>
        <v>1170</v>
      </c>
      <c r="L392" s="15"/>
      <c r="M392" s="20"/>
      <c r="N392" s="21">
        <v>0.0</v>
      </c>
      <c r="O392" s="22">
        <v>3.0</v>
      </c>
      <c r="P392" s="23" t="str">
        <f>IFERROR(__xludf.DUMMYFUNCTION("IFERROR(
  INDEX(
    QUERY(
      Historial!A:I,
      ""select I where B = '""&amp;A392&amp;""' order by A desc limit 1"",
      0
    ),
    1
  ),
  """"
)"),"")</f>
        <v/>
      </c>
      <c r="Q392" s="19" t="s">
        <v>57</v>
      </c>
      <c r="R392" s="24">
        <v>46370.0</v>
      </c>
      <c r="S392" s="20" t="str">
        <f>IFERROR(__xludf.DUMMYFUNCTION("IFERROR(
  INDEX(
    QUERY(
      Historial!A:G,
      ""select G where B = '""&amp;A392&amp;""' order by A desc limit 1"",
      0
    ),
    1
  ),
  """"
)"),"")</f>
        <v/>
      </c>
      <c r="T392" s="20" t="str">
        <f t="shared" si="3"/>
        <v/>
      </c>
      <c r="U392" s="20" t="str">
        <f t="shared" si="4"/>
        <v/>
      </c>
      <c r="V392" s="25">
        <v>0.0</v>
      </c>
      <c r="W392" s="26">
        <v>0.0</v>
      </c>
      <c r="X392" s="26">
        <v>0.0</v>
      </c>
      <c r="Y392" s="27"/>
      <c r="Z392" s="26">
        <v>10.0</v>
      </c>
      <c r="AA392" s="26">
        <v>0.0</v>
      </c>
      <c r="AB392" s="26">
        <v>0.0</v>
      </c>
      <c r="AC392" s="27"/>
      <c r="AD392" s="27"/>
      <c r="AE392" s="10" t="s">
        <v>38</v>
      </c>
      <c r="AF392" s="10" t="s">
        <v>44</v>
      </c>
      <c r="AG392" s="27"/>
    </row>
    <row r="393" ht="15.75" customHeight="1">
      <c r="A393" s="34" t="s">
        <v>863</v>
      </c>
      <c r="B393" s="35">
        <v>1500.0</v>
      </c>
      <c r="C393" s="15" t="s">
        <v>364</v>
      </c>
      <c r="D393" s="15" t="s">
        <v>864</v>
      </c>
      <c r="E393" s="15"/>
      <c r="F393" s="41">
        <v>3.0</v>
      </c>
      <c r="G393" s="33">
        <v>0.0</v>
      </c>
      <c r="H393" s="33">
        <v>0.0</v>
      </c>
      <c r="I393" s="29">
        <v>0.0</v>
      </c>
      <c r="J393" s="19" t="str">
        <f t="shared" si="21"/>
        <v>sin oferta</v>
      </c>
      <c r="K393" s="20" t="str">
        <f t="shared" si="17"/>
        <v>NORMAL / SIN OFERTA</v>
      </c>
      <c r="L393" s="15"/>
      <c r="M393" s="20"/>
      <c r="N393" s="21">
        <v>0.0</v>
      </c>
      <c r="O393" s="22">
        <v>3.0</v>
      </c>
      <c r="P393" s="23" t="str">
        <f>IFERROR(__xludf.DUMMYFUNCTION("IFERROR(
  INDEX(
    QUERY(
      Historial!A:I,
      ""select I where B = '""&amp;A393&amp;""' order by A desc limit 1"",
      0
    ),
    1
  ),
  """"
)"),"")</f>
        <v/>
      </c>
      <c r="Q393" s="19" t="s">
        <v>60</v>
      </c>
      <c r="R393" s="24">
        <v>46371.0</v>
      </c>
      <c r="S393" s="20" t="str">
        <f>IFERROR(__xludf.DUMMYFUNCTION("IFERROR(
  INDEX(
    QUERY(
      Historial!A:G,
      ""select G where B = '""&amp;A393&amp;""' order by A desc limit 1"",
      0
    ),
    1
  ),
  """"
)"),"")</f>
        <v/>
      </c>
      <c r="T393" s="20" t="str">
        <f t="shared" si="3"/>
        <v/>
      </c>
      <c r="U393" s="20" t="str">
        <f t="shared" si="4"/>
        <v/>
      </c>
      <c r="V393" s="25">
        <v>0.0</v>
      </c>
      <c r="W393" s="26">
        <v>0.0</v>
      </c>
      <c r="X393" s="26">
        <v>0.0</v>
      </c>
      <c r="Y393" s="27"/>
      <c r="Z393" s="26">
        <v>10.0</v>
      </c>
      <c r="AA393" s="26">
        <v>0.0</v>
      </c>
      <c r="AB393" s="26">
        <v>0.0</v>
      </c>
      <c r="AC393" s="27"/>
      <c r="AD393" s="27"/>
      <c r="AE393" s="10" t="s">
        <v>38</v>
      </c>
      <c r="AF393" s="10" t="s">
        <v>44</v>
      </c>
      <c r="AG393" s="27"/>
    </row>
    <row r="394" ht="15.75" customHeight="1">
      <c r="A394" s="34" t="s">
        <v>865</v>
      </c>
      <c r="B394" s="35">
        <v>45000.0</v>
      </c>
      <c r="C394" s="15" t="s">
        <v>703</v>
      </c>
      <c r="D394" s="15" t="s">
        <v>866</v>
      </c>
      <c r="E394" s="15"/>
      <c r="F394" s="41">
        <v>3.0</v>
      </c>
      <c r="G394" s="33">
        <v>0.0</v>
      </c>
      <c r="H394" s="33">
        <v>0.0</v>
      </c>
      <c r="I394" s="29">
        <v>0.0</v>
      </c>
      <c r="J394" s="19" t="str">
        <f t="shared" si="21"/>
        <v>sin oferta</v>
      </c>
      <c r="K394" s="20" t="str">
        <f t="shared" si="17"/>
        <v>NORMAL / SIN OFERTA</v>
      </c>
      <c r="L394" s="15"/>
      <c r="M394" s="20"/>
      <c r="N394" s="21">
        <v>0.0</v>
      </c>
      <c r="O394" s="22">
        <v>3.0</v>
      </c>
      <c r="P394" s="23" t="str">
        <f>IFERROR(__xludf.DUMMYFUNCTION("IFERROR(
  INDEX(
    QUERY(
      Historial!A:I,
      ""select I where B = '""&amp;A394&amp;""' order by A desc limit 1"",
      0
    ),
    1
  ),
  """"
)"),"")</f>
        <v/>
      </c>
      <c r="Q394" s="19" t="s">
        <v>43</v>
      </c>
      <c r="R394" s="24">
        <v>46402.0</v>
      </c>
      <c r="S394" s="20" t="str">
        <f>IFERROR(__xludf.DUMMYFUNCTION("IFERROR(
  INDEX(
    QUERY(
      Historial!A:G,
      ""select G where B = '""&amp;A394&amp;""' order by A desc limit 1"",
      0
    ),
    1
  ),
  """"
)"),"")</f>
        <v/>
      </c>
      <c r="T394" s="20" t="str">
        <f t="shared" si="3"/>
        <v/>
      </c>
      <c r="U394" s="20" t="str">
        <f t="shared" si="4"/>
        <v/>
      </c>
      <c r="V394" s="25">
        <v>0.0</v>
      </c>
      <c r="W394" s="26">
        <v>0.0</v>
      </c>
      <c r="X394" s="26">
        <v>0.0</v>
      </c>
      <c r="Y394" s="27"/>
      <c r="Z394" s="26">
        <v>10.0</v>
      </c>
      <c r="AA394" s="26">
        <v>0.0</v>
      </c>
      <c r="AB394" s="26">
        <v>0.0</v>
      </c>
      <c r="AC394" s="27"/>
      <c r="AD394" s="27"/>
      <c r="AE394" s="10" t="s">
        <v>38</v>
      </c>
      <c r="AF394" s="10" t="s">
        <v>44</v>
      </c>
      <c r="AG394" s="27"/>
    </row>
    <row r="395" ht="15.75" customHeight="1">
      <c r="A395" s="28" t="s">
        <v>867</v>
      </c>
      <c r="B395" s="18">
        <v>3000.0</v>
      </c>
      <c r="C395" s="57" t="s">
        <v>383</v>
      </c>
      <c r="D395" s="15" t="s">
        <v>868</v>
      </c>
      <c r="E395" s="57" t="s">
        <v>385</v>
      </c>
      <c r="F395" s="72">
        <v>1.0</v>
      </c>
      <c r="G395" s="33">
        <v>0.0</v>
      </c>
      <c r="H395" s="33">
        <v>0.0</v>
      </c>
      <c r="I395" s="29">
        <v>0.0</v>
      </c>
      <c r="J395" s="19" t="str">
        <f t="shared" si="21"/>
        <v>sin oferta</v>
      </c>
      <c r="K395" s="20" t="str">
        <f t="shared" si="17"/>
        <v>NORMAL / SIN OFERTA</v>
      </c>
      <c r="L395" s="15"/>
      <c r="M395" s="20"/>
      <c r="N395" s="21">
        <v>0.0</v>
      </c>
      <c r="O395" s="22">
        <v>2.0</v>
      </c>
      <c r="P395" s="23" t="str">
        <f>IFERROR(__xludf.DUMMYFUNCTION("IFERROR(
  INDEX(
    QUERY(
      Historial!A:I,
      ""select I where B = '""&amp;A395&amp;""' order by A desc limit 1"",
      0
    ),
    1
  ),
  """"
)"),"")</f>
        <v/>
      </c>
      <c r="Q395" s="19" t="s">
        <v>63</v>
      </c>
      <c r="R395" s="24">
        <v>46435.0</v>
      </c>
      <c r="S395" s="20">
        <f>IFERROR(__xludf.DUMMYFUNCTION("IFERROR(
  INDEX(
    QUERY(
      Historial!A:G,
      ""select G where B = '""&amp;A395&amp;""' order by A desc limit 1"",
      0
    ),
    1
  ),
  """"
)"),2000.0)</f>
        <v>2000</v>
      </c>
      <c r="T395" s="20" t="str">
        <f t="shared" si="3"/>
        <v/>
      </c>
      <c r="U395" s="20" t="str">
        <f t="shared" si="4"/>
        <v/>
      </c>
      <c r="V395" s="25">
        <v>0.0</v>
      </c>
      <c r="W395" s="26">
        <v>0.0</v>
      </c>
      <c r="X395" s="26">
        <v>0.0</v>
      </c>
      <c r="Y395" s="27"/>
      <c r="Z395" s="26">
        <v>14.0</v>
      </c>
      <c r="AA395" s="26">
        <v>0.0</v>
      </c>
      <c r="AB395" s="26">
        <v>0.0</v>
      </c>
      <c r="AC395" s="27"/>
      <c r="AD395" s="27"/>
      <c r="AE395" s="10" t="s">
        <v>38</v>
      </c>
      <c r="AF395" s="10" t="s">
        <v>44</v>
      </c>
      <c r="AG395" s="27"/>
    </row>
    <row r="396" ht="15.75" customHeight="1">
      <c r="A396" s="31" t="s">
        <v>869</v>
      </c>
      <c r="B396" s="40">
        <v>1045.0</v>
      </c>
      <c r="C396" s="20" t="s">
        <v>403</v>
      </c>
      <c r="D396" s="15" t="s">
        <v>870</v>
      </c>
      <c r="E396" s="20" t="s">
        <v>47</v>
      </c>
      <c r="F396" s="39">
        <v>3.0</v>
      </c>
      <c r="G396" s="40">
        <v>0.0</v>
      </c>
      <c r="H396" s="20">
        <v>0.0</v>
      </c>
      <c r="I396" s="20">
        <v>0.0</v>
      </c>
      <c r="J396" s="19" t="str">
        <f t="shared" si="21"/>
        <v>sin oferta</v>
      </c>
      <c r="K396" s="20" t="str">
        <f t="shared" si="17"/>
        <v>NORMAL / SIN OFERTA</v>
      </c>
      <c r="L396" s="20">
        <v>0.0</v>
      </c>
      <c r="M396" s="20">
        <v>0.0</v>
      </c>
      <c r="N396" s="21">
        <v>0.0</v>
      </c>
      <c r="O396" s="22">
        <v>3.0</v>
      </c>
      <c r="P396" s="23" t="str">
        <f>IFERROR(__xludf.DUMMYFUNCTION("IFERROR(
  INDEX(
    QUERY(
      Historial!A:I,
      ""select I where B = '""&amp;A396&amp;""' order by A desc limit 1"",
      0
    ),
    1
  ),
  """"
)"),"")</f>
        <v/>
      </c>
      <c r="Q396" s="19" t="s">
        <v>43</v>
      </c>
      <c r="R396" s="24">
        <v>46444.0</v>
      </c>
      <c r="S396" s="20" t="str">
        <f>IFERROR(__xludf.DUMMYFUNCTION("IFERROR(
  INDEX(
    QUERY(
      Historial!A:G,
      ""select G where B = '""&amp;A396&amp;""' order by A desc limit 1"",
      0
    ),
    1
  ),
  """"
)"),"")</f>
        <v/>
      </c>
      <c r="T396" s="20" t="str">
        <f t="shared" si="3"/>
        <v/>
      </c>
      <c r="U396" s="20" t="str">
        <f t="shared" si="4"/>
        <v/>
      </c>
      <c r="V396" s="25">
        <v>0.0</v>
      </c>
      <c r="W396" s="26">
        <v>0.0</v>
      </c>
      <c r="X396" s="26">
        <v>0.0</v>
      </c>
      <c r="Y396" s="27"/>
      <c r="Z396" s="26">
        <v>10.0</v>
      </c>
      <c r="AA396" s="26">
        <v>0.0</v>
      </c>
      <c r="AB396" s="26">
        <v>0.0</v>
      </c>
      <c r="AC396" s="27"/>
      <c r="AD396" s="27"/>
      <c r="AE396" s="10" t="s">
        <v>38</v>
      </c>
      <c r="AF396" s="10" t="s">
        <v>44</v>
      </c>
      <c r="AG396" s="27"/>
    </row>
    <row r="397" ht="15.75" customHeight="1">
      <c r="A397" s="34" t="s">
        <v>871</v>
      </c>
      <c r="B397" s="35">
        <v>1600.0</v>
      </c>
      <c r="C397" s="15" t="s">
        <v>403</v>
      </c>
      <c r="D397" s="15" t="s">
        <v>872</v>
      </c>
      <c r="E397" s="15" t="s">
        <v>74</v>
      </c>
      <c r="F397" s="44">
        <v>3.0</v>
      </c>
      <c r="G397" s="33">
        <v>0.0</v>
      </c>
      <c r="H397" s="33">
        <v>0.0</v>
      </c>
      <c r="I397" s="29">
        <v>1.0</v>
      </c>
      <c r="J397" s="19" t="str">
        <f t="shared" si="21"/>
        <v>especial</v>
      </c>
      <c r="K397" s="20">
        <f t="shared" si="17"/>
        <v>1440</v>
      </c>
      <c r="L397" s="15"/>
      <c r="M397" s="20"/>
      <c r="N397" s="21">
        <v>0.0</v>
      </c>
      <c r="O397" s="22">
        <v>3.0</v>
      </c>
      <c r="P397" s="23" t="str">
        <f>IFERROR(__xludf.DUMMYFUNCTION("IFERROR(
  INDEX(
    QUERY(
      Historial!A:I,
      ""select I where B = '""&amp;A397&amp;""' order by A desc limit 1"",
      0
    ),
    1
  ),
  """"
)"),"")</f>
        <v/>
      </c>
      <c r="Q397" s="19" t="s">
        <v>57</v>
      </c>
      <c r="R397" s="24">
        <v>46461.0</v>
      </c>
      <c r="S397" s="20" t="str">
        <f>IFERROR(__xludf.DUMMYFUNCTION("IFERROR(
  INDEX(
    QUERY(
      Historial!A:G,
      ""select G where B = '""&amp;A397&amp;""' order by A desc limit 1"",
      0
    ),
    1
  ),
  """"
)"),"")</f>
        <v/>
      </c>
      <c r="T397" s="20" t="str">
        <f t="shared" si="3"/>
        <v/>
      </c>
      <c r="U397" s="20" t="str">
        <f t="shared" si="4"/>
        <v/>
      </c>
      <c r="V397" s="25">
        <v>0.0</v>
      </c>
      <c r="W397" s="26">
        <v>0.0</v>
      </c>
      <c r="X397" s="26">
        <v>0.0</v>
      </c>
      <c r="Y397" s="27"/>
      <c r="Z397" s="26">
        <v>10.0</v>
      </c>
      <c r="AA397" s="26">
        <v>0.0</v>
      </c>
      <c r="AB397" s="26">
        <v>0.0</v>
      </c>
      <c r="AC397" s="27"/>
      <c r="AD397" s="27"/>
      <c r="AE397" s="10" t="s">
        <v>38</v>
      </c>
      <c r="AF397" s="10" t="s">
        <v>44</v>
      </c>
      <c r="AG397" s="27"/>
    </row>
    <row r="398" ht="15.75" customHeight="1">
      <c r="A398" s="34" t="s">
        <v>873</v>
      </c>
      <c r="B398" s="35">
        <v>2500.0</v>
      </c>
      <c r="C398" s="15" t="s">
        <v>403</v>
      </c>
      <c r="D398" s="15" t="s">
        <v>874</v>
      </c>
      <c r="E398" s="15"/>
      <c r="F398" s="44">
        <v>3.0</v>
      </c>
      <c r="G398" s="17">
        <v>10.0</v>
      </c>
      <c r="H398" s="17">
        <v>0.0</v>
      </c>
      <c r="I398" s="18">
        <v>0.0</v>
      </c>
      <c r="J398" s="19" t="str">
        <f t="shared" si="21"/>
        <v>2da50off</v>
      </c>
      <c r="K398" s="20">
        <f t="shared" si="17"/>
        <v>1875</v>
      </c>
      <c r="L398" s="15"/>
      <c r="M398" s="20"/>
      <c r="N398" s="21">
        <v>0.0</v>
      </c>
      <c r="O398" s="22">
        <v>3.0</v>
      </c>
      <c r="P398" s="23" t="str">
        <f>IFERROR(__xludf.DUMMYFUNCTION("IFERROR(
  INDEX(
    QUERY(
      Historial!A:I,
      ""select I where B = '""&amp;A398&amp;""' order by A desc limit 1"",
      0
    ),
    1
  ),
  """"
)"),"")</f>
        <v/>
      </c>
      <c r="Q398" s="19" t="s">
        <v>60</v>
      </c>
      <c r="R398" s="24">
        <v>46469.0</v>
      </c>
      <c r="S398" s="20" t="str">
        <f>IFERROR(__xludf.DUMMYFUNCTION("IFERROR(
  INDEX(
    QUERY(
      Historial!A:G,
      ""select G where B = '""&amp;A398&amp;""' order by A desc limit 1"",
      0
    ),
    1
  ),
  """"
)"),"")</f>
        <v/>
      </c>
      <c r="T398" s="20" t="str">
        <f t="shared" si="3"/>
        <v/>
      </c>
      <c r="U398" s="20" t="str">
        <f t="shared" si="4"/>
        <v/>
      </c>
      <c r="V398" s="25">
        <v>0.0</v>
      </c>
      <c r="W398" s="26">
        <v>0.0</v>
      </c>
      <c r="X398" s="26">
        <v>0.0</v>
      </c>
      <c r="Y398" s="27"/>
      <c r="Z398" s="26">
        <v>10.0</v>
      </c>
      <c r="AA398" s="26">
        <v>0.0</v>
      </c>
      <c r="AB398" s="26">
        <v>0.0</v>
      </c>
      <c r="AC398" s="27"/>
      <c r="AD398" s="27"/>
      <c r="AE398" s="10" t="s">
        <v>38</v>
      </c>
      <c r="AF398" s="10" t="s">
        <v>44</v>
      </c>
      <c r="AG398" s="27"/>
    </row>
    <row r="399" ht="15.75" customHeight="1">
      <c r="A399" s="34" t="s">
        <v>875</v>
      </c>
      <c r="B399" s="35">
        <v>2000.0</v>
      </c>
      <c r="C399" s="15" t="s">
        <v>403</v>
      </c>
      <c r="D399" s="15" t="s">
        <v>876</v>
      </c>
      <c r="E399" s="15"/>
      <c r="F399" s="44">
        <v>3.0</v>
      </c>
      <c r="G399" s="17">
        <v>10.0</v>
      </c>
      <c r="H399" s="17">
        <v>0.0</v>
      </c>
      <c r="I399" s="18">
        <v>0.0</v>
      </c>
      <c r="J399" s="19" t="str">
        <f t="shared" si="21"/>
        <v>2da50off</v>
      </c>
      <c r="K399" s="20">
        <f t="shared" si="17"/>
        <v>1500</v>
      </c>
      <c r="L399" s="15"/>
      <c r="M399" s="20"/>
      <c r="N399" s="21">
        <v>0.0</v>
      </c>
      <c r="O399" s="22">
        <v>3.0</v>
      </c>
      <c r="P399" s="23" t="str">
        <f>IFERROR(__xludf.DUMMYFUNCTION("IFERROR(
  INDEX(
    QUERY(
      Historial!A:I,
      ""select I where B = '""&amp;A399&amp;""' order by A desc limit 1"",
      0
    ),
    1
  ),
  """"
)"),"")</f>
        <v/>
      </c>
      <c r="Q399" s="19" t="s">
        <v>63</v>
      </c>
      <c r="R399" s="24">
        <v>46470.0</v>
      </c>
      <c r="S399" s="20" t="str">
        <f>IFERROR(__xludf.DUMMYFUNCTION("IFERROR(
  INDEX(
    QUERY(
      Historial!A:G,
      ""select G where B = '""&amp;A399&amp;""' order by A desc limit 1"",
      0
    ),
    1
  ),
  """"
)"),"")</f>
        <v/>
      </c>
      <c r="T399" s="20" t="str">
        <f t="shared" si="3"/>
        <v/>
      </c>
      <c r="U399" s="20" t="str">
        <f t="shared" si="4"/>
        <v/>
      </c>
      <c r="V399" s="25">
        <v>0.0</v>
      </c>
      <c r="W399" s="26">
        <v>0.0</v>
      </c>
      <c r="X399" s="26">
        <v>0.0</v>
      </c>
      <c r="Y399" s="27"/>
      <c r="Z399" s="26">
        <v>10.0</v>
      </c>
      <c r="AA399" s="26">
        <v>0.0</v>
      </c>
      <c r="AB399" s="26">
        <v>0.0</v>
      </c>
      <c r="AC399" s="27"/>
      <c r="AD399" s="27"/>
      <c r="AE399" s="10" t="s">
        <v>38</v>
      </c>
      <c r="AF399" s="10" t="s">
        <v>44</v>
      </c>
      <c r="AG399" s="27"/>
    </row>
    <row r="400" ht="15.75" customHeight="1">
      <c r="A400" s="34" t="s">
        <v>877</v>
      </c>
      <c r="B400" s="35">
        <v>2000.0</v>
      </c>
      <c r="C400" s="15" t="s">
        <v>403</v>
      </c>
      <c r="D400" s="15" t="s">
        <v>878</v>
      </c>
      <c r="E400" s="15"/>
      <c r="F400" s="44">
        <v>3.0</v>
      </c>
      <c r="G400" s="17">
        <v>10.0</v>
      </c>
      <c r="H400" s="17">
        <v>0.0</v>
      </c>
      <c r="I400" s="18">
        <v>0.0</v>
      </c>
      <c r="J400" s="19" t="str">
        <f t="shared" si="21"/>
        <v>2da50off</v>
      </c>
      <c r="K400" s="20">
        <f t="shared" si="17"/>
        <v>1500</v>
      </c>
      <c r="L400" s="15"/>
      <c r="M400" s="20"/>
      <c r="N400" s="21">
        <v>0.0</v>
      </c>
      <c r="O400" s="22">
        <v>3.0</v>
      </c>
      <c r="P400" s="23" t="str">
        <f>IFERROR(__xludf.DUMMYFUNCTION("IFERROR(
  INDEX(
    QUERY(
      Historial!A:I,
      ""select I where B = '""&amp;A400&amp;""' order by A desc limit 1"",
      0
    ),
    1
  ),
  """"
)"),"")</f>
        <v/>
      </c>
      <c r="Q400" s="19" t="s">
        <v>37</v>
      </c>
      <c r="R400" s="24">
        <v>46471.0</v>
      </c>
      <c r="S400" s="20" t="str">
        <f>IFERROR(__xludf.DUMMYFUNCTION("IFERROR(
  INDEX(
    QUERY(
      Historial!A:G,
      ""select G where B = '""&amp;A400&amp;""' order by A desc limit 1"",
      0
    ),
    1
  ),
  """"
)"),"")</f>
        <v/>
      </c>
      <c r="T400" s="20" t="str">
        <f t="shared" si="3"/>
        <v/>
      </c>
      <c r="U400" s="20" t="str">
        <f t="shared" si="4"/>
        <v/>
      </c>
      <c r="V400" s="25">
        <v>0.0</v>
      </c>
      <c r="W400" s="26">
        <v>0.0</v>
      </c>
      <c r="X400" s="26">
        <v>0.0</v>
      </c>
      <c r="Y400" s="27"/>
      <c r="Z400" s="26">
        <v>10.0</v>
      </c>
      <c r="AA400" s="26">
        <v>0.0</v>
      </c>
      <c r="AB400" s="26">
        <v>0.0</v>
      </c>
      <c r="AC400" s="27"/>
      <c r="AD400" s="27"/>
      <c r="AE400" s="10" t="s">
        <v>38</v>
      </c>
      <c r="AF400" s="10" t="s">
        <v>44</v>
      </c>
      <c r="AG400" s="27"/>
    </row>
    <row r="401" ht="15.75" customHeight="1">
      <c r="A401" s="34" t="s">
        <v>879</v>
      </c>
      <c r="B401" s="35">
        <v>2000.0</v>
      </c>
      <c r="C401" s="15" t="s">
        <v>403</v>
      </c>
      <c r="D401" s="15" t="s">
        <v>880</v>
      </c>
      <c r="E401" s="15"/>
      <c r="F401" s="44">
        <v>3.0</v>
      </c>
      <c r="G401" s="33">
        <v>10.0</v>
      </c>
      <c r="H401" s="33">
        <v>0.0</v>
      </c>
      <c r="I401" s="29">
        <v>0.0</v>
      </c>
      <c r="J401" s="19" t="str">
        <f t="shared" si="21"/>
        <v>2da50off</v>
      </c>
      <c r="K401" s="20">
        <f t="shared" si="17"/>
        <v>1500</v>
      </c>
      <c r="L401" s="15"/>
      <c r="M401" s="20"/>
      <c r="N401" s="21">
        <v>0.0</v>
      </c>
      <c r="O401" s="22">
        <v>3.0</v>
      </c>
      <c r="P401" s="23" t="str">
        <f>IFERROR(__xludf.DUMMYFUNCTION("IFERROR(
  INDEX(
    QUERY(
      Historial!A:I,
      ""select I where B = '""&amp;A401&amp;""' order by A desc limit 1"",
      0
    ),
    1
  ),
  """"
)"),"")</f>
        <v/>
      </c>
      <c r="Q401" s="19" t="s">
        <v>43</v>
      </c>
      <c r="R401" s="24">
        <v>46472.0</v>
      </c>
      <c r="S401" s="20" t="str">
        <f>IFERROR(__xludf.DUMMYFUNCTION("IFERROR(
  INDEX(
    QUERY(
      Historial!A:G,
      ""select G where B = '""&amp;A401&amp;""' order by A desc limit 1"",
      0
    ),
    1
  ),
  """"
)"),"")</f>
        <v/>
      </c>
      <c r="T401" s="20" t="str">
        <f t="shared" si="3"/>
        <v/>
      </c>
      <c r="U401" s="20" t="str">
        <f t="shared" si="4"/>
        <v/>
      </c>
      <c r="V401" s="25">
        <v>0.0</v>
      </c>
      <c r="W401" s="26">
        <v>0.0</v>
      </c>
      <c r="X401" s="26">
        <v>0.0</v>
      </c>
      <c r="Y401" s="27"/>
      <c r="Z401" s="26">
        <v>10.0</v>
      </c>
      <c r="AA401" s="26">
        <v>0.0</v>
      </c>
      <c r="AB401" s="26">
        <v>0.0</v>
      </c>
      <c r="AC401" s="27"/>
      <c r="AD401" s="27"/>
      <c r="AE401" s="10" t="s">
        <v>38</v>
      </c>
      <c r="AF401" s="10" t="s">
        <v>44</v>
      </c>
      <c r="AG401" s="27"/>
    </row>
    <row r="402" ht="15.75" customHeight="1">
      <c r="A402" s="34" t="s">
        <v>881</v>
      </c>
      <c r="B402" s="35">
        <v>2000.0</v>
      </c>
      <c r="C402" s="15" t="s">
        <v>403</v>
      </c>
      <c r="D402" s="15" t="s">
        <v>882</v>
      </c>
      <c r="E402" s="15"/>
      <c r="F402" s="41">
        <v>1.0</v>
      </c>
      <c r="G402" s="15">
        <v>0.0</v>
      </c>
      <c r="H402" s="33">
        <v>0.0</v>
      </c>
      <c r="I402" s="19">
        <v>0.0</v>
      </c>
      <c r="J402" s="19" t="str">
        <f t="shared" si="21"/>
        <v>sin oferta</v>
      </c>
      <c r="K402" s="20" t="str">
        <f t="shared" si="17"/>
        <v>NORMAL / SIN OFERTA</v>
      </c>
      <c r="L402" s="15"/>
      <c r="M402" s="20"/>
      <c r="N402" s="21">
        <v>0.0</v>
      </c>
      <c r="O402" s="22">
        <v>2.0</v>
      </c>
      <c r="P402" s="23" t="str">
        <f>IFERROR(__xludf.DUMMYFUNCTION("IFERROR(
  INDEX(
    QUERY(
      Historial!A:I,
      ""select I where B = '""&amp;A402&amp;""' order by A desc limit 1"",
      0
    ),
    1
  ),
  """"
)"),"")</f>
        <v/>
      </c>
      <c r="Q402" s="19" t="s">
        <v>48</v>
      </c>
      <c r="R402" s="24">
        <v>46473.0</v>
      </c>
      <c r="S402" s="20">
        <f>IFERROR(__xludf.DUMMYFUNCTION("IFERROR(
  INDEX(
    QUERY(
      Historial!A:G,
      ""select G where B = '""&amp;A402&amp;""' order by A desc limit 1"",
      0
    ),
    1
  ),
  """"
)"),1200.0)</f>
        <v>1200</v>
      </c>
      <c r="T402" s="20" t="str">
        <f t="shared" si="3"/>
        <v/>
      </c>
      <c r="U402" s="20" t="str">
        <f t="shared" si="4"/>
        <v/>
      </c>
      <c r="V402" s="25">
        <v>0.0</v>
      </c>
      <c r="W402" s="26">
        <v>0.0</v>
      </c>
      <c r="X402" s="26">
        <v>0.0</v>
      </c>
      <c r="Y402" s="27"/>
      <c r="Z402" s="26">
        <v>14.0</v>
      </c>
      <c r="AA402" s="26">
        <v>0.0</v>
      </c>
      <c r="AB402" s="26">
        <v>0.0</v>
      </c>
      <c r="AC402" s="27"/>
      <c r="AD402" s="27"/>
      <c r="AE402" s="10" t="s">
        <v>38</v>
      </c>
      <c r="AF402" s="10" t="s">
        <v>44</v>
      </c>
      <c r="AG402" s="27"/>
    </row>
    <row r="403" ht="15.75" customHeight="1">
      <c r="A403" s="34" t="s">
        <v>883</v>
      </c>
      <c r="B403" s="35">
        <v>1000.0</v>
      </c>
      <c r="C403" s="15" t="s">
        <v>403</v>
      </c>
      <c r="D403" s="15" t="s">
        <v>884</v>
      </c>
      <c r="E403" s="15" t="s">
        <v>47</v>
      </c>
      <c r="F403" s="41">
        <v>1.0</v>
      </c>
      <c r="G403" s="33">
        <v>0.0</v>
      </c>
      <c r="H403" s="33">
        <v>0.0</v>
      </c>
      <c r="I403" s="29">
        <v>0.0</v>
      </c>
      <c r="J403" s="19" t="str">
        <f t="shared" si="21"/>
        <v>sin oferta</v>
      </c>
      <c r="K403" s="20" t="str">
        <f t="shared" si="17"/>
        <v>NORMAL / SIN OFERTA</v>
      </c>
      <c r="L403" s="15"/>
      <c r="M403" s="20"/>
      <c r="N403" s="21">
        <v>0.0</v>
      </c>
      <c r="O403" s="22">
        <v>2.0</v>
      </c>
      <c r="P403" s="23" t="str">
        <f>IFERROR(__xludf.DUMMYFUNCTION("IFERROR(
  INDEX(
    QUERY(
      Historial!A:I,
      ""select I where B = '""&amp;A403&amp;""' order by A desc limit 1"",
      0
    ),
    1
  ),
  """"
)"),"")</f>
        <v/>
      </c>
      <c r="Q403" s="19" t="s">
        <v>63</v>
      </c>
      <c r="R403" s="24">
        <v>46477.0</v>
      </c>
      <c r="S403" s="20">
        <f>IFERROR(__xludf.DUMMYFUNCTION("IFERROR(
  INDEX(
    QUERY(
      Historial!A:G,
      ""select G where B = '""&amp;A403&amp;""' order by A desc limit 1"",
      0
    ),
    1
  ),
  """"
)"),535.0)</f>
        <v>535</v>
      </c>
      <c r="T403" s="20" t="str">
        <f t="shared" si="3"/>
        <v/>
      </c>
      <c r="U403" s="20" t="str">
        <f t="shared" si="4"/>
        <v/>
      </c>
      <c r="V403" s="25">
        <v>0.0</v>
      </c>
      <c r="W403" s="26">
        <v>0.0</v>
      </c>
      <c r="X403" s="26">
        <v>0.0</v>
      </c>
      <c r="Y403" s="27"/>
      <c r="Z403" s="26">
        <v>14.0</v>
      </c>
      <c r="AA403" s="26">
        <v>0.0</v>
      </c>
      <c r="AB403" s="26">
        <v>0.0</v>
      </c>
      <c r="AC403" s="27"/>
      <c r="AD403" s="27"/>
      <c r="AE403" s="10" t="s">
        <v>38</v>
      </c>
      <c r="AF403" s="10" t="s">
        <v>44</v>
      </c>
      <c r="AG403" s="27"/>
    </row>
    <row r="404" ht="15.75" customHeight="1">
      <c r="A404" s="34" t="s">
        <v>885</v>
      </c>
      <c r="B404" s="35">
        <v>2000.0</v>
      </c>
      <c r="C404" s="15" t="s">
        <v>403</v>
      </c>
      <c r="D404" s="15" t="s">
        <v>886</v>
      </c>
      <c r="E404" s="15" t="s">
        <v>114</v>
      </c>
      <c r="F404" s="36">
        <v>1.0</v>
      </c>
      <c r="G404" s="33">
        <v>0.0</v>
      </c>
      <c r="H404" s="33">
        <v>0.0</v>
      </c>
      <c r="I404" s="29">
        <v>0.0</v>
      </c>
      <c r="J404" s="19" t="str">
        <f t="shared" si="21"/>
        <v>sin oferta</v>
      </c>
      <c r="K404" s="20" t="str">
        <f t="shared" si="17"/>
        <v>NORMAL / SIN OFERTA</v>
      </c>
      <c r="L404" s="15"/>
      <c r="M404" s="20"/>
      <c r="N404" s="21">
        <v>0.0</v>
      </c>
      <c r="O404" s="22">
        <v>2.0</v>
      </c>
      <c r="P404" s="23" t="str">
        <f>IFERROR(__xludf.DUMMYFUNCTION("IFERROR(
  INDEX(
    QUERY(
      Historial!A:I,
      ""select I where B = '""&amp;A404&amp;""' order by A desc limit 1"",
      0
    ),
    1
  ),
  """"
)"),"")</f>
        <v/>
      </c>
      <c r="Q404" s="19" t="s">
        <v>60</v>
      </c>
      <c r="R404" s="24">
        <v>46483.0</v>
      </c>
      <c r="S404" s="20" t="str">
        <f>IFERROR(__xludf.DUMMYFUNCTION("IFERROR(
  INDEX(
    QUERY(
      Historial!A:G,
      ""select G where B = '""&amp;A404&amp;""' order by A desc limit 1"",
      0
    ),
    1
  ),
  """"
)"),"")</f>
        <v/>
      </c>
      <c r="T404" s="20" t="str">
        <f t="shared" si="3"/>
        <v/>
      </c>
      <c r="U404" s="20" t="str">
        <f t="shared" si="4"/>
        <v/>
      </c>
      <c r="V404" s="25">
        <v>0.0</v>
      </c>
      <c r="W404" s="26">
        <v>0.0</v>
      </c>
      <c r="X404" s="26">
        <v>0.0</v>
      </c>
      <c r="Y404" s="27"/>
      <c r="Z404" s="26">
        <v>14.0</v>
      </c>
      <c r="AA404" s="26">
        <v>0.0</v>
      </c>
      <c r="AB404" s="26">
        <v>0.0</v>
      </c>
      <c r="AC404" s="27"/>
      <c r="AD404" s="27"/>
      <c r="AE404" s="10" t="s">
        <v>38</v>
      </c>
      <c r="AF404" s="10" t="s">
        <v>44</v>
      </c>
      <c r="AG404" s="27"/>
    </row>
    <row r="405" ht="15.75" customHeight="1">
      <c r="A405" s="34" t="s">
        <v>887</v>
      </c>
      <c r="B405" s="35">
        <v>5500.0</v>
      </c>
      <c r="C405" s="15" t="s">
        <v>458</v>
      </c>
      <c r="D405" s="15" t="s">
        <v>888</v>
      </c>
      <c r="E405" s="15"/>
      <c r="F405" s="44">
        <v>3.0</v>
      </c>
      <c r="G405" s="33">
        <v>0.0</v>
      </c>
      <c r="H405" s="33">
        <v>0.0</v>
      </c>
      <c r="I405" s="29">
        <v>0.0</v>
      </c>
      <c r="J405" s="19" t="str">
        <f t="shared" si="21"/>
        <v>sin oferta</v>
      </c>
      <c r="K405" s="20" t="str">
        <f t="shared" si="17"/>
        <v>NORMAL / SIN OFERTA</v>
      </c>
      <c r="L405" s="15"/>
      <c r="M405" s="20"/>
      <c r="N405" s="21">
        <v>0.0</v>
      </c>
      <c r="O405" s="22">
        <v>3.0</v>
      </c>
      <c r="P405" s="23" t="str">
        <f>IFERROR(__xludf.DUMMYFUNCTION("IFERROR(
  INDEX(
    QUERY(
      Historial!A:I,
      ""select I where B = '""&amp;A405&amp;""' order by A desc limit 1"",
      0
    ),
    1
  ),
  """"
)"),"")</f>
        <v/>
      </c>
      <c r="Q405" s="19" t="s">
        <v>43</v>
      </c>
      <c r="R405" s="24">
        <v>46500.0</v>
      </c>
      <c r="S405" s="20" t="str">
        <f>IFERROR(__xludf.DUMMYFUNCTION("IFERROR(
  INDEX(
    QUERY(
      Historial!A:G,
      ""select G where B = '""&amp;A405&amp;""' order by A desc limit 1"",
      0
    ),
    1
  ),
  """"
)"),"")</f>
        <v/>
      </c>
      <c r="T405" s="20" t="str">
        <f t="shared" si="3"/>
        <v/>
      </c>
      <c r="U405" s="20" t="str">
        <f t="shared" si="4"/>
        <v/>
      </c>
      <c r="V405" s="25">
        <v>0.0</v>
      </c>
      <c r="W405" s="26">
        <v>0.0</v>
      </c>
      <c r="X405" s="26">
        <v>0.0</v>
      </c>
      <c r="Y405" s="27"/>
      <c r="Z405" s="26">
        <v>10.0</v>
      </c>
      <c r="AA405" s="26">
        <v>0.0</v>
      </c>
      <c r="AB405" s="26">
        <v>0.0</v>
      </c>
      <c r="AC405" s="27"/>
      <c r="AD405" s="27"/>
      <c r="AE405" s="10" t="s">
        <v>38</v>
      </c>
      <c r="AF405" s="10" t="s">
        <v>44</v>
      </c>
      <c r="AG405" s="27"/>
    </row>
    <row r="406" ht="15.75" customHeight="1">
      <c r="A406" s="34" t="s">
        <v>889</v>
      </c>
      <c r="B406" s="35">
        <v>2300.0</v>
      </c>
      <c r="C406" s="15" t="s">
        <v>458</v>
      </c>
      <c r="D406" s="15" t="s">
        <v>890</v>
      </c>
      <c r="E406" s="15"/>
      <c r="F406" s="41">
        <v>1.0</v>
      </c>
      <c r="G406" s="33">
        <v>0.0</v>
      </c>
      <c r="H406" s="33">
        <v>0.0</v>
      </c>
      <c r="I406" s="29">
        <v>0.0</v>
      </c>
      <c r="J406" s="19" t="str">
        <f t="shared" si="21"/>
        <v>sin oferta</v>
      </c>
      <c r="K406" s="20" t="str">
        <f t="shared" si="17"/>
        <v>NORMAL / SIN OFERTA</v>
      </c>
      <c r="L406" s="15"/>
      <c r="M406" s="20"/>
      <c r="N406" s="21">
        <v>0.0</v>
      </c>
      <c r="O406" s="22">
        <v>2.0</v>
      </c>
      <c r="P406" s="23" t="str">
        <f>IFERROR(__xludf.DUMMYFUNCTION("IFERROR(
  INDEX(
    QUERY(
      Historial!A:I,
      ""select I where B = '""&amp;A406&amp;""' order by A desc limit 1"",
      0
    ),
    1
  ),
  """"
)"),"")</f>
        <v/>
      </c>
      <c r="Q406" s="19" t="s">
        <v>63</v>
      </c>
      <c r="R406" s="24">
        <v>46505.0</v>
      </c>
      <c r="S406" s="20">
        <f>IFERROR(__xludf.DUMMYFUNCTION("IFERROR(
  INDEX(
    QUERY(
      Historial!A:G,
      ""select G where B = '""&amp;A406&amp;""' order by A desc limit 1"",
      0
    ),
    1
  ),
  """"
)"),2500.0)</f>
        <v>2500</v>
      </c>
      <c r="T406" s="20" t="str">
        <f t="shared" si="3"/>
        <v/>
      </c>
      <c r="U406" s="20" t="str">
        <f t="shared" si="4"/>
        <v/>
      </c>
      <c r="V406" s="25">
        <v>0.0</v>
      </c>
      <c r="W406" s="26">
        <v>0.0</v>
      </c>
      <c r="X406" s="26">
        <v>0.0</v>
      </c>
      <c r="Y406" s="27"/>
      <c r="Z406" s="26">
        <v>14.0</v>
      </c>
      <c r="AA406" s="26">
        <v>0.0</v>
      </c>
      <c r="AB406" s="26">
        <v>0.0</v>
      </c>
      <c r="AC406" s="27"/>
      <c r="AD406" s="27"/>
      <c r="AE406" s="10" t="s">
        <v>38</v>
      </c>
      <c r="AF406" s="10" t="s">
        <v>44</v>
      </c>
      <c r="AG406" s="27"/>
    </row>
    <row r="407" ht="15.75" customHeight="1">
      <c r="A407" s="34" t="s">
        <v>891</v>
      </c>
      <c r="B407" s="35">
        <v>3000.0</v>
      </c>
      <c r="C407" s="15" t="s">
        <v>458</v>
      </c>
      <c r="D407" s="15" t="s">
        <v>892</v>
      </c>
      <c r="E407" s="15"/>
      <c r="F407" s="36">
        <v>1.0</v>
      </c>
      <c r="G407" s="33">
        <v>0.0</v>
      </c>
      <c r="H407" s="33">
        <v>0.0</v>
      </c>
      <c r="I407" s="29">
        <v>0.0</v>
      </c>
      <c r="J407" s="19" t="str">
        <f t="shared" si="21"/>
        <v>sin oferta</v>
      </c>
      <c r="K407" s="20" t="str">
        <f t="shared" si="17"/>
        <v>NORMAL / SIN OFERTA</v>
      </c>
      <c r="L407" s="15"/>
      <c r="M407" s="20"/>
      <c r="N407" s="21">
        <v>2.0</v>
      </c>
      <c r="O407" s="22">
        <v>3.0</v>
      </c>
      <c r="P407" s="23" t="str">
        <f>IFERROR(__xludf.DUMMYFUNCTION("IFERROR(
  INDEX(
    QUERY(
      Historial!A:I,
      ""select I where B = '""&amp;A407&amp;""' order by A desc limit 1"",
      0
    ),
    1
  ),
  """"
)"),"")</f>
        <v/>
      </c>
      <c r="Q407" s="19" t="s">
        <v>43</v>
      </c>
      <c r="R407" s="24">
        <v>46507.0</v>
      </c>
      <c r="S407" s="20" t="str">
        <f>IFERROR(__xludf.DUMMYFUNCTION("IFERROR(
  INDEX(
    QUERY(
      Historial!A:G,
      ""select G where B = '""&amp;A407&amp;""' order by A desc limit 1"",
      0
    ),
    1
  ),
  """"
)"),"")</f>
        <v/>
      </c>
      <c r="T407" s="20" t="str">
        <f t="shared" si="3"/>
        <v/>
      </c>
      <c r="U407" s="20" t="str">
        <f t="shared" si="4"/>
        <v/>
      </c>
      <c r="V407" s="25">
        <v>2.0</v>
      </c>
      <c r="W407" s="26">
        <v>2.0</v>
      </c>
      <c r="X407" s="26">
        <v>0.198</v>
      </c>
      <c r="Y407" s="26">
        <v>5.05050505050505</v>
      </c>
      <c r="Z407" s="26">
        <v>10.0</v>
      </c>
      <c r="AA407" s="26">
        <v>2.7720000000000002</v>
      </c>
      <c r="AB407" s="26">
        <v>2.0</v>
      </c>
      <c r="AC407" s="27"/>
      <c r="AD407" s="26">
        <v>5.05050505050505</v>
      </c>
      <c r="AE407" s="10" t="s">
        <v>38</v>
      </c>
      <c r="AF407" s="10" t="s">
        <v>44</v>
      </c>
      <c r="AG407" s="27"/>
    </row>
    <row r="408" ht="15.75" customHeight="1">
      <c r="A408" s="34" t="s">
        <v>893</v>
      </c>
      <c r="B408" s="35">
        <v>4500.0</v>
      </c>
      <c r="C408" s="15" t="s">
        <v>458</v>
      </c>
      <c r="D408" s="15" t="s">
        <v>894</v>
      </c>
      <c r="E408" s="15"/>
      <c r="F408" s="36">
        <v>0.0</v>
      </c>
      <c r="G408" s="33">
        <v>0.0</v>
      </c>
      <c r="H408" s="33">
        <v>0.0</v>
      </c>
      <c r="I408" s="29">
        <v>0.0</v>
      </c>
      <c r="J408" s="19" t="str">
        <f t="shared" si="21"/>
        <v>sin stock</v>
      </c>
      <c r="K408" s="20" t="str">
        <f t="shared" si="17"/>
        <v>SIN STOCK / CARGAR STOCK</v>
      </c>
      <c r="L408" s="15"/>
      <c r="M408" s="20"/>
      <c r="N408" s="21">
        <v>3.0</v>
      </c>
      <c r="O408" s="22">
        <v>3.0</v>
      </c>
      <c r="P408" s="23" t="str">
        <f>IFERROR(__xludf.DUMMYFUNCTION("IFERROR(
  INDEX(
    QUERY(
      Historial!A:I,
      ""select I where B = '""&amp;A408&amp;""' order by A desc limit 1"",
      0
    ),
    1
  ),
  """"
)"),"")</f>
        <v/>
      </c>
      <c r="Q408" s="19" t="s">
        <v>63</v>
      </c>
      <c r="R408" s="24">
        <v>46512.0</v>
      </c>
      <c r="S408" s="20" t="str">
        <f>IFERROR(__xludf.DUMMYFUNCTION("IFERROR(
  INDEX(
    QUERY(
      Historial!A:G,
      ""select G where B = '""&amp;A408&amp;""' order by A desc limit 1"",
      0
    ),
    1
  ),
  """"
)"),"")</f>
        <v/>
      </c>
      <c r="T408" s="20" t="str">
        <f t="shared" si="3"/>
        <v/>
      </c>
      <c r="U408" s="20" t="str">
        <f t="shared" si="4"/>
        <v/>
      </c>
      <c r="V408" s="25">
        <v>1.0</v>
      </c>
      <c r="W408" s="26">
        <v>3.0</v>
      </c>
      <c r="X408" s="26">
        <v>0.126</v>
      </c>
      <c r="Y408" s="26">
        <v>0.0</v>
      </c>
      <c r="Z408" s="26">
        <v>21.0</v>
      </c>
      <c r="AA408" s="26">
        <v>0.882</v>
      </c>
      <c r="AB408" s="26">
        <v>3.0</v>
      </c>
      <c r="AC408" s="27"/>
      <c r="AD408" s="26">
        <v>0.0</v>
      </c>
      <c r="AE408" s="10" t="s">
        <v>38</v>
      </c>
      <c r="AF408" s="10" t="s">
        <v>44</v>
      </c>
      <c r="AG408" s="27"/>
    </row>
    <row r="409" ht="15.75" customHeight="1">
      <c r="A409" s="31" t="s">
        <v>895</v>
      </c>
      <c r="B409" s="20">
        <v>4500.0</v>
      </c>
      <c r="C409" s="15" t="s">
        <v>458</v>
      </c>
      <c r="D409" s="15" t="s">
        <v>896</v>
      </c>
      <c r="E409" s="15" t="s">
        <v>147</v>
      </c>
      <c r="F409" s="36">
        <v>3.0</v>
      </c>
      <c r="G409" s="33">
        <v>0.0</v>
      </c>
      <c r="H409" s="33">
        <v>0.0</v>
      </c>
      <c r="I409" s="29">
        <v>0.0</v>
      </c>
      <c r="J409" s="19" t="str">
        <f t="shared" si="21"/>
        <v>sin oferta</v>
      </c>
      <c r="K409" s="20" t="str">
        <f t="shared" si="17"/>
        <v>NORMAL / SIN OFERTA</v>
      </c>
      <c r="L409" s="15">
        <v>0.0</v>
      </c>
      <c r="M409" s="20"/>
      <c r="N409" s="21">
        <v>7.0</v>
      </c>
      <c r="O409" s="22">
        <v>3.0</v>
      </c>
      <c r="P409" s="23" t="str">
        <f>IFERROR(__xludf.DUMMYFUNCTION("IFERROR(
  INDEX(
    QUERY(
      Historial!A:I,
      ""select I where B = '""&amp;A409&amp;""' order by A desc limit 1"",
      0
    ),
    1
  ),
  """"
)"),"")</f>
        <v/>
      </c>
      <c r="Q409" s="19" t="s">
        <v>63</v>
      </c>
      <c r="R409" s="24">
        <v>46526.0</v>
      </c>
      <c r="S409" s="20">
        <f>IFERROR(__xludf.DUMMYFUNCTION("IFERROR(
  INDEX(
    QUERY(
      Historial!A:G,
      ""select G where B = '""&amp;A409&amp;""' order by A desc limit 1"",
      0
    ),
    1
  ),
  """"
)"),2640.0)</f>
        <v>2640</v>
      </c>
      <c r="T409" s="20" t="str">
        <f t="shared" si="3"/>
        <v/>
      </c>
      <c r="U409" s="20" t="str">
        <f t="shared" si="4"/>
        <v/>
      </c>
      <c r="V409" s="25">
        <v>3.0</v>
      </c>
      <c r="W409" s="26">
        <v>3.0</v>
      </c>
      <c r="X409" s="26">
        <v>0.297</v>
      </c>
      <c r="Y409" s="26">
        <v>10.101010101010102</v>
      </c>
      <c r="Z409" s="26">
        <v>21.0</v>
      </c>
      <c r="AA409" s="26">
        <v>2.0789999999999997</v>
      </c>
      <c r="AB409" s="26">
        <v>4.0</v>
      </c>
      <c r="AC409" s="27"/>
      <c r="AD409" s="26">
        <v>10.101010101010102</v>
      </c>
      <c r="AE409" s="10" t="s">
        <v>38</v>
      </c>
      <c r="AF409" s="10" t="s">
        <v>75</v>
      </c>
      <c r="AG409" s="27"/>
    </row>
    <row r="410" ht="15.75" customHeight="1">
      <c r="A410" s="31" t="s">
        <v>897</v>
      </c>
      <c r="B410" s="40">
        <v>800.0</v>
      </c>
      <c r="C410" s="20" t="s">
        <v>458</v>
      </c>
      <c r="D410" s="15" t="s">
        <v>898</v>
      </c>
      <c r="E410" s="20" t="s">
        <v>147</v>
      </c>
      <c r="F410" s="39">
        <v>1.0</v>
      </c>
      <c r="G410" s="40">
        <v>0.0</v>
      </c>
      <c r="H410" s="20">
        <v>0.0</v>
      </c>
      <c r="I410" s="20">
        <v>0.0</v>
      </c>
      <c r="J410" s="40">
        <v>0.0</v>
      </c>
      <c r="K410" s="20" t="str">
        <f t="shared" si="17"/>
        <v>NORMAL / SIN OFERTA</v>
      </c>
      <c r="L410" s="20">
        <v>0.0</v>
      </c>
      <c r="M410" s="20">
        <v>0.0</v>
      </c>
      <c r="N410" s="21">
        <v>0.0</v>
      </c>
      <c r="O410" s="22">
        <v>2.0</v>
      </c>
      <c r="P410" s="23">
        <f>IFERROR(__xludf.DUMMYFUNCTION("IFERROR(
  INDEX(
    QUERY(
      Historial!A:I,
      ""select I where B = '""&amp;A410&amp;""' order by A desc limit 1"",
      0
    ),
    1
  ),
  """"
)"),46323.0)</f>
        <v>46323</v>
      </c>
      <c r="Q410" s="19" t="s">
        <v>57</v>
      </c>
      <c r="R410" s="24">
        <v>46531.0</v>
      </c>
      <c r="S410" s="20">
        <f>IFERROR(__xludf.DUMMYFUNCTION("IFERROR(
  INDEX(
    QUERY(
      Historial!A:G,
      ""select G where B = '""&amp;A410&amp;""' order by A desc limit 1"",
      0
    ),
    1
  ),
  """"
)"),500.0)</f>
        <v>500</v>
      </c>
      <c r="T410" s="20" t="str">
        <f t="shared" si="3"/>
        <v>✅ OK</v>
      </c>
      <c r="U410" s="20" t="str">
        <f t="shared" si="4"/>
        <v/>
      </c>
      <c r="V410" s="25">
        <v>0.0</v>
      </c>
      <c r="W410" s="26">
        <v>0.0</v>
      </c>
      <c r="X410" s="26">
        <v>0.0</v>
      </c>
      <c r="Y410" s="27"/>
      <c r="Z410" s="26">
        <v>21.0</v>
      </c>
      <c r="AA410" s="26">
        <v>0.0</v>
      </c>
      <c r="AB410" s="26">
        <v>0.0</v>
      </c>
      <c r="AC410" s="26">
        <v>231.0</v>
      </c>
      <c r="AD410" s="27"/>
      <c r="AE410" s="10" t="s">
        <v>38</v>
      </c>
      <c r="AF410" s="10" t="s">
        <v>44</v>
      </c>
      <c r="AG410" s="27"/>
    </row>
    <row r="411" ht="15.75" customHeight="1">
      <c r="A411" s="34" t="s">
        <v>899</v>
      </c>
      <c r="B411" s="35">
        <v>3000.0</v>
      </c>
      <c r="C411" s="15" t="s">
        <v>458</v>
      </c>
      <c r="D411" s="15" t="s">
        <v>900</v>
      </c>
      <c r="E411" s="15"/>
      <c r="F411" s="41">
        <v>3.0</v>
      </c>
      <c r="G411" s="33">
        <v>0.0</v>
      </c>
      <c r="H411" s="33">
        <v>0.0</v>
      </c>
      <c r="I411" s="29">
        <v>0.0</v>
      </c>
      <c r="J411" s="19" t="str">
        <f t="shared" ref="J411:J430" si="22">IF(
A411="",
"",
IF(
F411=0,
"sin stock",
IF(
NOT(OR(I411=0,I411=1)),
"ERROR ESPECIAL",
IF(
NOT(ISNUMBER(MATCH(G411,{0;1;2;3;4;5;6;10;11;12;13;14},0))),
"ERROR RELAMPAGO",
IF(
OR(H411&gt;70,AND(H411&gt;0,H411&lt;15)),
"ERROR DESTACADA",
IF(
(I411=1)+(H411&gt;0)+(G411&gt;0)&gt;1,
"ERROR DOBLE OFERTA",
IF(
I411=1,
"especial",
IF(
H411&gt;0,
"destacada",
IF(
G411&gt;0,
IF(
OR(
AND(G411&lt;=6,F411&lt;(G411+1)),
AND(G411=10,F411&lt;2),
AND(G411&gt;=11,F411&lt;1)
),
"REPONER "&amp;
IF(G411&lt;=6,G411+1-F411,
IF(G411=10,2-F411,
1-
F411)
)&amp;
" PARA PROMO",
IF(
G411&lt;=6,
"relampago "&amp;(G411+1)&amp;"x"&amp;G411,
IF(
G411=10,
"2da50off",
IF(
G411&gt;=11,
"relampago "&amp;CHOOSE(G411-10,10,15,20,25)&amp;"%",
"relampago"
)
)
)
),
"sin oferta"
)
)
)
)
)
)
)
)
)</f>
        <v>sin oferta</v>
      </c>
      <c r="K411" s="20" t="str">
        <f t="shared" si="17"/>
        <v>NORMAL / SIN OFERTA</v>
      </c>
      <c r="L411" s="15"/>
      <c r="M411" s="20"/>
      <c r="N411" s="21">
        <v>0.0</v>
      </c>
      <c r="O411" s="22">
        <v>3.0</v>
      </c>
      <c r="P411" s="23" t="str">
        <f>IFERROR(__xludf.DUMMYFUNCTION("IFERROR(
  INDEX(
    QUERY(
      Historial!A:I,
      ""select I where B = '""&amp;A411&amp;""' order by A desc limit 1"",
      0
    ),
    1
  ),
  """"
)"),"")</f>
        <v/>
      </c>
      <c r="Q411" s="19" t="s">
        <v>57</v>
      </c>
      <c r="R411" s="24">
        <v>46538.0</v>
      </c>
      <c r="S411" s="20" t="str">
        <f>IFERROR(__xludf.DUMMYFUNCTION("IFERROR(
  INDEX(
    QUERY(
      Historial!A:G,
      ""select G where B = '""&amp;A411&amp;""' order by A desc limit 1"",
      0
    ),
    1
  ),
  """"
)"),"")</f>
        <v/>
      </c>
      <c r="T411" s="20" t="str">
        <f t="shared" si="3"/>
        <v/>
      </c>
      <c r="U411" s="20" t="str">
        <f t="shared" si="4"/>
        <v/>
      </c>
      <c r="V411" s="25">
        <v>0.0</v>
      </c>
      <c r="W411" s="26">
        <v>0.0</v>
      </c>
      <c r="X411" s="26">
        <v>0.0</v>
      </c>
      <c r="Y411" s="27"/>
      <c r="Z411" s="26">
        <v>10.0</v>
      </c>
      <c r="AA411" s="26">
        <v>0.0</v>
      </c>
      <c r="AB411" s="26">
        <v>0.0</v>
      </c>
      <c r="AC411" s="27"/>
      <c r="AD411" s="27"/>
      <c r="AE411" s="10" t="s">
        <v>38</v>
      </c>
      <c r="AF411" s="10" t="s">
        <v>44</v>
      </c>
      <c r="AG411" s="27"/>
    </row>
    <row r="412" ht="15.75" customHeight="1">
      <c r="A412" s="34" t="s">
        <v>901</v>
      </c>
      <c r="B412" s="35">
        <v>3000.0</v>
      </c>
      <c r="C412" s="15" t="s">
        <v>297</v>
      </c>
      <c r="D412" s="15" t="s">
        <v>902</v>
      </c>
      <c r="E412" s="15"/>
      <c r="F412" s="41">
        <v>3.0</v>
      </c>
      <c r="G412" s="33">
        <v>0.0</v>
      </c>
      <c r="H412" s="33">
        <v>0.0</v>
      </c>
      <c r="I412" s="29">
        <v>1.0</v>
      </c>
      <c r="J412" s="19" t="str">
        <f t="shared" si="22"/>
        <v>especial</v>
      </c>
      <c r="K412" s="20">
        <f t="shared" si="17"/>
        <v>2700</v>
      </c>
      <c r="L412" s="15"/>
      <c r="M412" s="20"/>
      <c r="N412" s="21">
        <v>0.0</v>
      </c>
      <c r="O412" s="22">
        <v>3.0</v>
      </c>
      <c r="P412" s="23" t="str">
        <f>IFERROR(__xludf.DUMMYFUNCTION("IFERROR(
  INDEX(
    QUERY(
      Historial!A:I,
      ""select I where B = '""&amp;A412&amp;""' order by A desc limit 1"",
      0
    ),
    1
  ),
  """"
)"),"")</f>
        <v/>
      </c>
      <c r="Q412" s="19" t="s">
        <v>37</v>
      </c>
      <c r="R412" s="24">
        <v>46576.0</v>
      </c>
      <c r="S412" s="20" t="str">
        <f>IFERROR(__xludf.DUMMYFUNCTION("IFERROR(
  INDEX(
    QUERY(
      Historial!A:G,
      ""select G where B = '""&amp;A412&amp;""' order by A desc limit 1"",
      0
    ),
    1
  ),
  """"
)"),"")</f>
        <v/>
      </c>
      <c r="T412" s="20" t="str">
        <f t="shared" si="3"/>
        <v/>
      </c>
      <c r="U412" s="20" t="str">
        <f t="shared" si="4"/>
        <v/>
      </c>
      <c r="V412" s="25">
        <v>0.0</v>
      </c>
      <c r="W412" s="26">
        <v>0.0</v>
      </c>
      <c r="X412" s="26">
        <v>0.0</v>
      </c>
      <c r="Y412" s="27"/>
      <c r="Z412" s="26">
        <v>10.0</v>
      </c>
      <c r="AA412" s="26">
        <v>0.0</v>
      </c>
      <c r="AB412" s="26">
        <v>0.0</v>
      </c>
      <c r="AC412" s="27"/>
      <c r="AD412" s="27"/>
      <c r="AE412" s="10" t="s">
        <v>38</v>
      </c>
      <c r="AF412" s="10" t="s">
        <v>44</v>
      </c>
      <c r="AG412" s="27"/>
    </row>
    <row r="413" ht="15.75" customHeight="1">
      <c r="A413" s="34" t="s">
        <v>903</v>
      </c>
      <c r="B413" s="46">
        <v>2000.0</v>
      </c>
      <c r="C413" s="47" t="s">
        <v>297</v>
      </c>
      <c r="D413" s="15" t="s">
        <v>904</v>
      </c>
      <c r="E413" s="47" t="s">
        <v>147</v>
      </c>
      <c r="F413" s="42">
        <v>1.0</v>
      </c>
      <c r="G413" s="33">
        <v>0.0</v>
      </c>
      <c r="H413" s="33">
        <v>30.0</v>
      </c>
      <c r="I413" s="29">
        <v>0.0</v>
      </c>
      <c r="J413" s="19" t="str">
        <f t="shared" si="22"/>
        <v>destacada</v>
      </c>
      <c r="K413" s="20">
        <f t="shared" si="17"/>
        <v>1400</v>
      </c>
      <c r="L413" s="15"/>
      <c r="M413" s="20"/>
      <c r="N413" s="21">
        <v>0.0</v>
      </c>
      <c r="O413" s="22">
        <v>2.0</v>
      </c>
      <c r="P413" s="23" t="str">
        <f>IFERROR(__xludf.DUMMYFUNCTION("IFERROR(
  INDEX(
    QUERY(
      Historial!A:I,
      ""select I where B = '""&amp;A413&amp;""' order by A desc limit 1"",
      0
    ),
    1
  ),
  """"
)"),"")</f>
        <v/>
      </c>
      <c r="Q413" s="19" t="s">
        <v>43</v>
      </c>
      <c r="R413" s="24">
        <v>46584.0</v>
      </c>
      <c r="S413" s="20">
        <f>IFERROR(__xludf.DUMMYFUNCTION("IFERROR(
  INDEX(
    QUERY(
      Historial!A:G,
      ""select G where B = '""&amp;A413&amp;""' order by A desc limit 1"",
      0
    ),
    1
  ),
  """"
)"),999.0)</f>
        <v>999</v>
      </c>
      <c r="T413" s="20" t="str">
        <f t="shared" si="3"/>
        <v/>
      </c>
      <c r="U413" s="20" t="str">
        <f t="shared" si="4"/>
        <v/>
      </c>
      <c r="V413" s="25">
        <v>0.0</v>
      </c>
      <c r="W413" s="26">
        <v>0.0</v>
      </c>
      <c r="X413" s="26">
        <v>0.0</v>
      </c>
      <c r="Y413" s="27"/>
      <c r="Z413" s="26">
        <v>14.0</v>
      </c>
      <c r="AA413" s="26">
        <v>0.0</v>
      </c>
      <c r="AB413" s="26">
        <v>0.0</v>
      </c>
      <c r="AC413" s="27"/>
      <c r="AD413" s="27"/>
      <c r="AE413" s="10" t="s">
        <v>38</v>
      </c>
      <c r="AF413" s="10" t="s">
        <v>44</v>
      </c>
      <c r="AG413" s="27"/>
    </row>
    <row r="414" ht="15.75" customHeight="1">
      <c r="A414" s="34" t="s">
        <v>905</v>
      </c>
      <c r="B414" s="35">
        <v>1500.0</v>
      </c>
      <c r="C414" s="15" t="s">
        <v>577</v>
      </c>
      <c r="D414" s="15" t="s">
        <v>906</v>
      </c>
      <c r="E414" s="15"/>
      <c r="F414" s="41">
        <v>3.0</v>
      </c>
      <c r="G414" s="33">
        <v>0.0</v>
      </c>
      <c r="H414" s="33">
        <v>0.0</v>
      </c>
      <c r="I414" s="29">
        <v>0.0</v>
      </c>
      <c r="J414" s="19" t="str">
        <f t="shared" si="22"/>
        <v>sin oferta</v>
      </c>
      <c r="K414" s="20" t="str">
        <f t="shared" si="17"/>
        <v>NORMAL / SIN OFERTA</v>
      </c>
      <c r="L414" s="15"/>
      <c r="M414" s="20"/>
      <c r="N414" s="21">
        <v>0.0</v>
      </c>
      <c r="O414" s="22">
        <v>3.0</v>
      </c>
      <c r="P414" s="23" t="str">
        <f>IFERROR(__xludf.DUMMYFUNCTION("IFERROR(
  INDEX(
    QUERY(
      Historial!A:I,
      ""select I where B = '""&amp;A414&amp;""' order by A desc limit 1"",
      0
    ),
    1
  ),
  """"
)"),"")</f>
        <v/>
      </c>
      <c r="Q414" s="19" t="s">
        <v>43</v>
      </c>
      <c r="R414" s="24">
        <v>46598.0</v>
      </c>
      <c r="S414" s="20" t="str">
        <f>IFERROR(__xludf.DUMMYFUNCTION("IFERROR(
  INDEX(
    QUERY(
      Historial!A:G,
      ""select G where B = '""&amp;A414&amp;""' order by A desc limit 1"",
      0
    ),
    1
  ),
  """"
)"),"")</f>
        <v/>
      </c>
      <c r="T414" s="20" t="str">
        <f t="shared" si="3"/>
        <v/>
      </c>
      <c r="U414" s="20" t="str">
        <f t="shared" si="4"/>
        <v/>
      </c>
      <c r="V414" s="25">
        <v>0.0</v>
      </c>
      <c r="W414" s="26">
        <v>0.0</v>
      </c>
      <c r="X414" s="26">
        <v>0.0</v>
      </c>
      <c r="Y414" s="27"/>
      <c r="Z414" s="26">
        <v>10.0</v>
      </c>
      <c r="AA414" s="26">
        <v>0.0</v>
      </c>
      <c r="AB414" s="26">
        <v>0.0</v>
      </c>
      <c r="AC414" s="27"/>
      <c r="AD414" s="27"/>
      <c r="AE414" s="10" t="s">
        <v>38</v>
      </c>
      <c r="AF414" s="10" t="s">
        <v>44</v>
      </c>
      <c r="AG414" s="27"/>
    </row>
    <row r="415" ht="15.75" customHeight="1">
      <c r="A415" s="34" t="s">
        <v>907</v>
      </c>
      <c r="B415" s="35">
        <v>3800.0</v>
      </c>
      <c r="C415" s="15" t="s">
        <v>577</v>
      </c>
      <c r="D415" s="15" t="s">
        <v>908</v>
      </c>
      <c r="E415" s="15"/>
      <c r="F415" s="41">
        <v>3.0</v>
      </c>
      <c r="G415" s="33">
        <v>0.0</v>
      </c>
      <c r="H415" s="33">
        <v>0.0</v>
      </c>
      <c r="I415" s="29">
        <v>0.0</v>
      </c>
      <c r="J415" s="19" t="str">
        <f t="shared" si="22"/>
        <v>sin oferta</v>
      </c>
      <c r="K415" s="20" t="str">
        <f t="shared" si="17"/>
        <v>NORMAL / SIN OFERTA</v>
      </c>
      <c r="L415" s="15"/>
      <c r="M415" s="20"/>
      <c r="N415" s="21">
        <v>0.0</v>
      </c>
      <c r="O415" s="22">
        <v>3.0</v>
      </c>
      <c r="P415" s="23" t="str">
        <f>IFERROR(__xludf.DUMMYFUNCTION("IFERROR(
  INDEX(
    QUERY(
      Historial!A:I,
      ""select I where B = '""&amp;A415&amp;""' order by A desc limit 1"",
      0
    ),
    1
  ),
  """"
)"),"")</f>
        <v/>
      </c>
      <c r="Q415" s="19" t="s">
        <v>57</v>
      </c>
      <c r="R415" s="24">
        <v>46601.0</v>
      </c>
      <c r="S415" s="20" t="str">
        <f>IFERROR(__xludf.DUMMYFUNCTION("IFERROR(
  INDEX(
    QUERY(
      Historial!A:G,
      ""select G where B = '""&amp;A415&amp;""' order by A desc limit 1"",
      0
    ),
    1
  ),
  """"
)"),"")</f>
        <v/>
      </c>
      <c r="T415" s="20" t="str">
        <f t="shared" si="3"/>
        <v/>
      </c>
      <c r="U415" s="20" t="str">
        <f t="shared" si="4"/>
        <v/>
      </c>
      <c r="V415" s="25">
        <v>0.0</v>
      </c>
      <c r="W415" s="26">
        <v>0.0</v>
      </c>
      <c r="X415" s="26">
        <v>0.0</v>
      </c>
      <c r="Y415" s="27"/>
      <c r="Z415" s="26">
        <v>10.0</v>
      </c>
      <c r="AA415" s="26">
        <v>0.0</v>
      </c>
      <c r="AB415" s="26">
        <v>0.0</v>
      </c>
      <c r="AC415" s="27"/>
      <c r="AD415" s="27"/>
      <c r="AE415" s="10" t="s">
        <v>38</v>
      </c>
      <c r="AF415" s="10" t="s">
        <v>44</v>
      </c>
      <c r="AG415" s="27"/>
    </row>
    <row r="416" ht="15.75" customHeight="1">
      <c r="A416" s="28" t="s">
        <v>909</v>
      </c>
      <c r="B416" s="29">
        <v>3800.0</v>
      </c>
      <c r="C416" s="15" t="s">
        <v>577</v>
      </c>
      <c r="D416" s="15" t="s">
        <v>910</v>
      </c>
      <c r="E416" s="19"/>
      <c r="F416" s="53">
        <v>3.0</v>
      </c>
      <c r="G416" s="33">
        <v>0.0</v>
      </c>
      <c r="H416" s="33">
        <v>0.0</v>
      </c>
      <c r="I416" s="29">
        <v>0.0</v>
      </c>
      <c r="J416" s="19" t="str">
        <f t="shared" si="22"/>
        <v>sin oferta</v>
      </c>
      <c r="K416" s="20" t="str">
        <f t="shared" si="17"/>
        <v>NORMAL / SIN OFERTA</v>
      </c>
      <c r="L416" s="15"/>
      <c r="M416" s="20"/>
      <c r="N416" s="21">
        <v>0.0</v>
      </c>
      <c r="O416" s="22">
        <v>3.0</v>
      </c>
      <c r="P416" s="23" t="str">
        <f>IFERROR(__xludf.DUMMYFUNCTION("IFERROR(
  INDEX(
    QUERY(
      Historial!A:I,
      ""select I where B = '""&amp;A416&amp;""' order by A desc limit 1"",
      0
    ),
    1
  ),
  """"
)"),"")</f>
        <v/>
      </c>
      <c r="Q416" s="19" t="s">
        <v>60</v>
      </c>
      <c r="R416" s="24">
        <v>46602.0</v>
      </c>
      <c r="S416" s="20" t="str">
        <f>IFERROR(__xludf.DUMMYFUNCTION("IFERROR(
  INDEX(
    QUERY(
      Historial!A:G,
      ""select G where B = '""&amp;A416&amp;""' order by A desc limit 1"",
      0
    ),
    1
  ),
  """"
)"),"")</f>
        <v/>
      </c>
      <c r="T416" s="20" t="str">
        <f t="shared" si="3"/>
        <v/>
      </c>
      <c r="U416" s="20" t="str">
        <f t="shared" si="4"/>
        <v/>
      </c>
      <c r="V416" s="25">
        <v>0.0</v>
      </c>
      <c r="W416" s="26">
        <v>0.0</v>
      </c>
      <c r="X416" s="26">
        <v>0.0</v>
      </c>
      <c r="Y416" s="27"/>
      <c r="Z416" s="26">
        <v>10.0</v>
      </c>
      <c r="AA416" s="26">
        <v>0.0</v>
      </c>
      <c r="AB416" s="26">
        <v>0.0</v>
      </c>
      <c r="AC416" s="27"/>
      <c r="AD416" s="27"/>
      <c r="AE416" s="10" t="s">
        <v>38</v>
      </c>
      <c r="AF416" s="10" t="s">
        <v>44</v>
      </c>
      <c r="AG416" s="27"/>
    </row>
    <row r="417" ht="15.75" customHeight="1">
      <c r="A417" s="34" t="s">
        <v>911</v>
      </c>
      <c r="B417" s="17">
        <v>3300.0</v>
      </c>
      <c r="C417" s="47" t="s">
        <v>582</v>
      </c>
      <c r="D417" s="15" t="s">
        <v>912</v>
      </c>
      <c r="E417" s="47" t="s">
        <v>147</v>
      </c>
      <c r="F417" s="36">
        <v>1.0</v>
      </c>
      <c r="G417" s="33">
        <v>0.0</v>
      </c>
      <c r="H417" s="33">
        <v>0.0</v>
      </c>
      <c r="I417" s="29">
        <v>0.0</v>
      </c>
      <c r="J417" s="19" t="str">
        <f t="shared" si="22"/>
        <v>sin oferta</v>
      </c>
      <c r="K417" s="20" t="str">
        <f t="shared" si="17"/>
        <v>NORMAL / SIN OFERTA</v>
      </c>
      <c r="L417" s="15"/>
      <c r="M417" s="20"/>
      <c r="N417" s="21">
        <v>0.0</v>
      </c>
      <c r="O417" s="22">
        <v>2.0</v>
      </c>
      <c r="P417" s="23" t="str">
        <f>IFERROR(__xludf.DUMMYFUNCTION("IFERROR(
  INDEX(
    QUERY(
      Historial!A:I,
      ""select I where B = '""&amp;A417&amp;""' order by A desc limit 1"",
      0
    ),
    1
  ),
  """"
)"),"")</f>
        <v/>
      </c>
      <c r="Q417" s="19" t="s">
        <v>43</v>
      </c>
      <c r="R417" s="24">
        <v>46605.0</v>
      </c>
      <c r="S417" s="20" t="str">
        <f>IFERROR(__xludf.DUMMYFUNCTION("IFERROR(
  INDEX(
    QUERY(
      Historial!A:G,
      ""select G where B = '""&amp;A417&amp;""' order by A desc limit 1"",
      0
    ),
    1
  ),
  """"
)"),"")</f>
        <v/>
      </c>
      <c r="T417" s="20" t="str">
        <f t="shared" si="3"/>
        <v/>
      </c>
      <c r="U417" s="20" t="str">
        <f t="shared" si="4"/>
        <v/>
      </c>
      <c r="V417" s="25">
        <v>0.0</v>
      </c>
      <c r="W417" s="26">
        <v>0.0</v>
      </c>
      <c r="X417" s="26">
        <v>0.0</v>
      </c>
      <c r="Y417" s="27"/>
      <c r="Z417" s="26">
        <v>14.0</v>
      </c>
      <c r="AA417" s="26">
        <v>0.0</v>
      </c>
      <c r="AB417" s="26">
        <v>0.0</v>
      </c>
      <c r="AC417" s="27"/>
      <c r="AD417" s="27"/>
      <c r="AE417" s="10" t="s">
        <v>38</v>
      </c>
      <c r="AF417" s="10" t="s">
        <v>44</v>
      </c>
      <c r="AG417" s="27"/>
    </row>
    <row r="418" ht="15.75" customHeight="1">
      <c r="A418" s="34" t="s">
        <v>913</v>
      </c>
      <c r="B418" s="35">
        <v>5000.0</v>
      </c>
      <c r="C418" s="15" t="s">
        <v>582</v>
      </c>
      <c r="D418" s="15" t="s">
        <v>914</v>
      </c>
      <c r="E418" s="15"/>
      <c r="F418" s="41">
        <v>3.0</v>
      </c>
      <c r="G418" s="33">
        <v>0.0</v>
      </c>
      <c r="H418" s="33">
        <v>0.0</v>
      </c>
      <c r="I418" s="29">
        <v>0.0</v>
      </c>
      <c r="J418" s="19" t="str">
        <f t="shared" si="22"/>
        <v>sin oferta</v>
      </c>
      <c r="K418" s="20" t="str">
        <f t="shared" si="17"/>
        <v>NORMAL / SIN OFERTA</v>
      </c>
      <c r="L418" s="15"/>
      <c r="M418" s="20"/>
      <c r="N418" s="21">
        <v>0.0</v>
      </c>
      <c r="O418" s="22">
        <v>3.0</v>
      </c>
      <c r="P418" s="23" t="str">
        <f>IFERROR(__xludf.DUMMYFUNCTION("IFERROR(
  INDEX(
    QUERY(
      Historial!A:I,
      ""select I where B = '""&amp;A418&amp;""' order by A desc limit 1"",
      0
    ),
    1
  ),
  """"
)"),"")</f>
        <v/>
      </c>
      <c r="Q418" s="19" t="s">
        <v>51</v>
      </c>
      <c r="R418" s="24">
        <v>46607.0</v>
      </c>
      <c r="S418" s="20" t="str">
        <f>IFERROR(__xludf.DUMMYFUNCTION("IFERROR(
  INDEX(
    QUERY(
      Historial!A:G,
      ""select G where B = '""&amp;A418&amp;""' order by A desc limit 1"",
      0
    ),
    1
  ),
  """"
)"),"")</f>
        <v/>
      </c>
      <c r="T418" s="20" t="str">
        <f t="shared" si="3"/>
        <v/>
      </c>
      <c r="U418" s="20" t="str">
        <f t="shared" si="4"/>
        <v/>
      </c>
      <c r="V418" s="25">
        <v>0.0</v>
      </c>
      <c r="W418" s="26">
        <v>0.0</v>
      </c>
      <c r="X418" s="26">
        <v>0.0</v>
      </c>
      <c r="Y418" s="27"/>
      <c r="Z418" s="26">
        <v>10.0</v>
      </c>
      <c r="AA418" s="26">
        <v>0.0</v>
      </c>
      <c r="AB418" s="26">
        <v>0.0</v>
      </c>
      <c r="AC418" s="27"/>
      <c r="AD418" s="27"/>
      <c r="AE418" s="10" t="s">
        <v>38</v>
      </c>
      <c r="AF418" s="10" t="s">
        <v>44</v>
      </c>
      <c r="AG418" s="27"/>
    </row>
    <row r="419" ht="15.75" customHeight="1">
      <c r="A419" s="34" t="s">
        <v>915</v>
      </c>
      <c r="B419" s="35">
        <v>2000.0</v>
      </c>
      <c r="C419" s="15" t="s">
        <v>582</v>
      </c>
      <c r="D419" s="15" t="s">
        <v>916</v>
      </c>
      <c r="E419" s="15"/>
      <c r="F419" s="44">
        <v>3.0</v>
      </c>
      <c r="G419" s="33">
        <v>0.0</v>
      </c>
      <c r="H419" s="33">
        <v>0.0</v>
      </c>
      <c r="I419" s="29">
        <v>0.0</v>
      </c>
      <c r="J419" s="19" t="str">
        <f t="shared" si="22"/>
        <v>sin oferta</v>
      </c>
      <c r="K419" s="20" t="str">
        <f t="shared" si="17"/>
        <v>NORMAL / SIN OFERTA</v>
      </c>
      <c r="L419" s="15"/>
      <c r="M419" s="20"/>
      <c r="N419" s="21">
        <v>0.0</v>
      </c>
      <c r="O419" s="22">
        <v>3.0</v>
      </c>
      <c r="P419" s="23" t="str">
        <f>IFERROR(__xludf.DUMMYFUNCTION("IFERROR(
  INDEX(
    QUERY(
      Historial!A:I,
      ""select I where B = '""&amp;A419&amp;""' order by A desc limit 1"",
      0
    ),
    1
  ),
  """"
)"),"")</f>
        <v/>
      </c>
      <c r="Q419" s="19" t="s">
        <v>63</v>
      </c>
      <c r="R419" s="24">
        <v>46617.0</v>
      </c>
      <c r="S419" s="20" t="str">
        <f>IFERROR(__xludf.DUMMYFUNCTION("IFERROR(
  INDEX(
    QUERY(
      Historial!A:G,
      ""select G where B = '""&amp;A419&amp;""' order by A desc limit 1"",
      0
    ),
    1
  ),
  """"
)"),"")</f>
        <v/>
      </c>
      <c r="T419" s="20" t="str">
        <f t="shared" si="3"/>
        <v/>
      </c>
      <c r="U419" s="20" t="str">
        <f t="shared" si="4"/>
        <v/>
      </c>
      <c r="V419" s="25">
        <v>0.0</v>
      </c>
      <c r="W419" s="26">
        <v>0.0</v>
      </c>
      <c r="X419" s="26">
        <v>0.0</v>
      </c>
      <c r="Y419" s="27"/>
      <c r="Z419" s="26">
        <v>10.0</v>
      </c>
      <c r="AA419" s="26">
        <v>0.0</v>
      </c>
      <c r="AB419" s="26">
        <v>0.0</v>
      </c>
      <c r="AC419" s="27"/>
      <c r="AD419" s="27"/>
      <c r="AE419" s="10" t="s">
        <v>38</v>
      </c>
      <c r="AF419" s="10" t="s">
        <v>44</v>
      </c>
      <c r="AG419" s="27"/>
    </row>
    <row r="420" ht="15.75" customHeight="1">
      <c r="A420" s="34" t="s">
        <v>917</v>
      </c>
      <c r="B420" s="35">
        <v>6000.0</v>
      </c>
      <c r="C420" s="15" t="s">
        <v>582</v>
      </c>
      <c r="D420" s="15" t="s">
        <v>918</v>
      </c>
      <c r="E420" s="15"/>
      <c r="F420" s="41">
        <v>3.0</v>
      </c>
      <c r="G420" s="33">
        <v>0.0</v>
      </c>
      <c r="H420" s="33">
        <v>0.0</v>
      </c>
      <c r="I420" s="29">
        <v>0.0</v>
      </c>
      <c r="J420" s="19" t="str">
        <f t="shared" si="22"/>
        <v>sin oferta</v>
      </c>
      <c r="K420" s="20" t="str">
        <f t="shared" si="17"/>
        <v>NORMAL / SIN OFERTA</v>
      </c>
      <c r="L420" s="15"/>
      <c r="M420" s="20"/>
      <c r="N420" s="21">
        <v>0.0</v>
      </c>
      <c r="O420" s="22">
        <v>3.0</v>
      </c>
      <c r="P420" s="23" t="str">
        <f>IFERROR(__xludf.DUMMYFUNCTION("IFERROR(
  INDEX(
    QUERY(
      Historial!A:I,
      ""select I where B = '""&amp;A420&amp;""' order by A desc limit 1"",
      0
    ),
    1
  ),
  """"
)"),"")</f>
        <v/>
      </c>
      <c r="Q420" s="19" t="s">
        <v>43</v>
      </c>
      <c r="R420" s="24">
        <v>46619.0</v>
      </c>
      <c r="S420" s="20" t="str">
        <f>IFERROR(__xludf.DUMMYFUNCTION("IFERROR(
  INDEX(
    QUERY(
      Historial!A:G,
      ""select G where B = '""&amp;A420&amp;""' order by A desc limit 1"",
      0
    ),
    1
  ),
  """"
)"),"")</f>
        <v/>
      </c>
      <c r="T420" s="20" t="str">
        <f t="shared" si="3"/>
        <v/>
      </c>
      <c r="U420" s="20" t="str">
        <f t="shared" si="4"/>
        <v/>
      </c>
      <c r="V420" s="25">
        <v>0.0</v>
      </c>
      <c r="W420" s="26">
        <v>0.0</v>
      </c>
      <c r="X420" s="26">
        <v>0.0</v>
      </c>
      <c r="Y420" s="27"/>
      <c r="Z420" s="26">
        <v>10.0</v>
      </c>
      <c r="AA420" s="26">
        <v>0.0</v>
      </c>
      <c r="AB420" s="26">
        <v>0.0</v>
      </c>
      <c r="AC420" s="27"/>
      <c r="AD420" s="27"/>
      <c r="AE420" s="10" t="s">
        <v>38</v>
      </c>
      <c r="AF420" s="10" t="s">
        <v>44</v>
      </c>
      <c r="AG420" s="27"/>
    </row>
    <row r="421" ht="15.75" customHeight="1">
      <c r="A421" s="34" t="s">
        <v>919</v>
      </c>
      <c r="B421" s="35">
        <v>3500.0</v>
      </c>
      <c r="C421" s="15" t="s">
        <v>582</v>
      </c>
      <c r="D421" s="15" t="s">
        <v>920</v>
      </c>
      <c r="E421" s="15"/>
      <c r="F421" s="41">
        <v>3.0</v>
      </c>
      <c r="G421" s="33">
        <v>0.0</v>
      </c>
      <c r="H421" s="33">
        <v>0.0</v>
      </c>
      <c r="I421" s="29">
        <v>0.0</v>
      </c>
      <c r="J421" s="19" t="str">
        <f t="shared" si="22"/>
        <v>sin oferta</v>
      </c>
      <c r="K421" s="20" t="str">
        <f t="shared" si="17"/>
        <v>NORMAL / SIN OFERTA</v>
      </c>
      <c r="L421" s="15"/>
      <c r="M421" s="20"/>
      <c r="N421" s="21">
        <v>0.0</v>
      </c>
      <c r="O421" s="22">
        <v>3.0</v>
      </c>
      <c r="P421" s="23" t="str">
        <f>IFERROR(__xludf.DUMMYFUNCTION("IFERROR(
  INDEX(
    QUERY(
      Historial!A:I,
      ""select I where B = '""&amp;A421&amp;""' order by A desc limit 1"",
      0
    ),
    1
  ),
  """"
)"),"")</f>
        <v/>
      </c>
      <c r="Q421" s="19" t="s">
        <v>48</v>
      </c>
      <c r="R421" s="24">
        <v>46627.0</v>
      </c>
      <c r="S421" s="20" t="str">
        <f>IFERROR(__xludf.DUMMYFUNCTION("IFERROR(
  INDEX(
    QUERY(
      Historial!A:G,
      ""select G where B = '""&amp;A421&amp;""' order by A desc limit 1"",
      0
    ),
    1
  ),
  """"
)"),"")</f>
        <v/>
      </c>
      <c r="T421" s="20" t="str">
        <f t="shared" si="3"/>
        <v/>
      </c>
      <c r="U421" s="20" t="str">
        <f t="shared" si="4"/>
        <v/>
      </c>
      <c r="V421" s="25">
        <v>0.0</v>
      </c>
      <c r="W421" s="26">
        <v>0.0</v>
      </c>
      <c r="X421" s="26">
        <v>0.0</v>
      </c>
      <c r="Y421" s="27"/>
      <c r="Z421" s="26">
        <v>10.0</v>
      </c>
      <c r="AA421" s="26">
        <v>0.0</v>
      </c>
      <c r="AB421" s="26">
        <v>0.0</v>
      </c>
      <c r="AC421" s="27"/>
      <c r="AD421" s="27"/>
      <c r="AE421" s="10" t="s">
        <v>38</v>
      </c>
      <c r="AF421" s="10" t="s">
        <v>44</v>
      </c>
      <c r="AG421" s="27"/>
    </row>
    <row r="422" ht="15.75" customHeight="1">
      <c r="A422" s="34" t="s">
        <v>921</v>
      </c>
      <c r="B422" s="35">
        <v>4000.0</v>
      </c>
      <c r="C422" s="15" t="s">
        <v>582</v>
      </c>
      <c r="D422" s="15" t="s">
        <v>922</v>
      </c>
      <c r="E422" s="15"/>
      <c r="F422" s="41">
        <v>3.0</v>
      </c>
      <c r="G422" s="33">
        <v>0.0</v>
      </c>
      <c r="H422" s="33">
        <v>0.0</v>
      </c>
      <c r="I422" s="29">
        <v>0.0</v>
      </c>
      <c r="J422" s="19" t="str">
        <f t="shared" si="22"/>
        <v>sin oferta</v>
      </c>
      <c r="K422" s="20" t="str">
        <f t="shared" si="17"/>
        <v>NORMAL / SIN OFERTA</v>
      </c>
      <c r="L422" s="15"/>
      <c r="M422" s="20"/>
      <c r="N422" s="21">
        <v>0.0</v>
      </c>
      <c r="O422" s="22">
        <v>3.0</v>
      </c>
      <c r="P422" s="23" t="str">
        <f>IFERROR(__xludf.DUMMYFUNCTION("IFERROR(
  INDEX(
    QUERY(
      Historial!A:I,
      ""select I where B = '""&amp;A422&amp;""' order by A desc limit 1"",
      0
    ),
    1
  ),
  """"
)"),"")</f>
        <v/>
      </c>
      <c r="Q422" s="19" t="s">
        <v>57</v>
      </c>
      <c r="R422" s="24">
        <v>46629.0</v>
      </c>
      <c r="S422" s="20" t="str">
        <f>IFERROR(__xludf.DUMMYFUNCTION("IFERROR(
  INDEX(
    QUERY(
      Historial!A:G,
      ""select G where B = '""&amp;A422&amp;""' order by A desc limit 1"",
      0
    ),
    1
  ),
  """"
)"),"")</f>
        <v/>
      </c>
      <c r="T422" s="20" t="str">
        <f t="shared" si="3"/>
        <v/>
      </c>
      <c r="U422" s="20" t="str">
        <f t="shared" si="4"/>
        <v/>
      </c>
      <c r="V422" s="25">
        <v>0.0</v>
      </c>
      <c r="W422" s="26">
        <v>0.0</v>
      </c>
      <c r="X422" s="26">
        <v>0.0</v>
      </c>
      <c r="Y422" s="27"/>
      <c r="Z422" s="26">
        <v>10.0</v>
      </c>
      <c r="AA422" s="26">
        <v>0.0</v>
      </c>
      <c r="AB422" s="26">
        <v>0.0</v>
      </c>
      <c r="AC422" s="27"/>
      <c r="AD422" s="27"/>
      <c r="AE422" s="10" t="s">
        <v>38</v>
      </c>
      <c r="AF422" s="10" t="s">
        <v>44</v>
      </c>
      <c r="AG422" s="27"/>
    </row>
    <row r="423" ht="15.75" customHeight="1">
      <c r="A423" s="34" t="s">
        <v>923</v>
      </c>
      <c r="B423" s="35">
        <v>5000.0</v>
      </c>
      <c r="C423" s="15" t="s">
        <v>605</v>
      </c>
      <c r="D423" s="15" t="s">
        <v>924</v>
      </c>
      <c r="E423" s="15"/>
      <c r="F423" s="41">
        <v>3.0</v>
      </c>
      <c r="G423" s="33">
        <v>0.0</v>
      </c>
      <c r="H423" s="33">
        <v>0.0</v>
      </c>
      <c r="I423" s="29">
        <v>0.0</v>
      </c>
      <c r="J423" s="19" t="str">
        <f t="shared" si="22"/>
        <v>sin oferta</v>
      </c>
      <c r="K423" s="20" t="str">
        <f t="shared" si="17"/>
        <v>NORMAL / SIN OFERTA</v>
      </c>
      <c r="L423" s="15"/>
      <c r="M423" s="20"/>
      <c r="N423" s="21">
        <v>0.0</v>
      </c>
      <c r="O423" s="22">
        <v>3.0</v>
      </c>
      <c r="P423" s="23" t="str">
        <f>IFERROR(__xludf.DUMMYFUNCTION("IFERROR(
  INDEX(
    QUERY(
      Historial!A:I,
      ""select I where B = '""&amp;A423&amp;""' order by A desc limit 1"",
      0
    ),
    1
  ),
  """"
)"),"")</f>
        <v/>
      </c>
      <c r="Q423" s="19" t="s">
        <v>63</v>
      </c>
      <c r="R423" s="24">
        <v>46631.0</v>
      </c>
      <c r="S423" s="20" t="str">
        <f>IFERROR(__xludf.DUMMYFUNCTION("IFERROR(
  INDEX(
    QUERY(
      Historial!A:G,
      ""select G where B = '""&amp;A423&amp;""' order by A desc limit 1"",
      0
    ),
    1
  ),
  """"
)"),"")</f>
        <v/>
      </c>
      <c r="T423" s="20" t="str">
        <f t="shared" si="3"/>
        <v/>
      </c>
      <c r="U423" s="20" t="str">
        <f t="shared" si="4"/>
        <v/>
      </c>
      <c r="V423" s="25">
        <v>0.0</v>
      </c>
      <c r="W423" s="26">
        <v>0.0</v>
      </c>
      <c r="X423" s="26">
        <v>0.0</v>
      </c>
      <c r="Y423" s="27"/>
      <c r="Z423" s="26">
        <v>10.0</v>
      </c>
      <c r="AA423" s="26">
        <v>0.0</v>
      </c>
      <c r="AB423" s="26">
        <v>0.0</v>
      </c>
      <c r="AC423" s="27"/>
      <c r="AD423" s="27"/>
      <c r="AE423" s="10" t="s">
        <v>38</v>
      </c>
      <c r="AF423" s="10" t="s">
        <v>44</v>
      </c>
      <c r="AG423" s="27"/>
    </row>
    <row r="424" ht="15.75" customHeight="1">
      <c r="A424" s="28" t="s">
        <v>925</v>
      </c>
      <c r="B424" s="29">
        <v>3500.0</v>
      </c>
      <c r="C424" s="19" t="s">
        <v>605</v>
      </c>
      <c r="D424" s="15" t="s">
        <v>926</v>
      </c>
      <c r="E424" s="19"/>
      <c r="F424" s="41">
        <v>3.0</v>
      </c>
      <c r="G424" s="33">
        <v>0.0</v>
      </c>
      <c r="H424" s="33">
        <v>0.0</v>
      </c>
      <c r="I424" s="29">
        <v>0.0</v>
      </c>
      <c r="J424" s="19" t="str">
        <f t="shared" si="22"/>
        <v>sin oferta</v>
      </c>
      <c r="K424" s="20" t="str">
        <f t="shared" si="17"/>
        <v>NORMAL / SIN OFERTA</v>
      </c>
      <c r="L424" s="15"/>
      <c r="M424" s="20"/>
      <c r="N424" s="21">
        <v>0.0</v>
      </c>
      <c r="O424" s="22">
        <v>3.0</v>
      </c>
      <c r="P424" s="23" t="str">
        <f>IFERROR(__xludf.DUMMYFUNCTION("IFERROR(
  INDEX(
    QUERY(
      Historial!A:I,
      ""select I where B = '""&amp;A424&amp;""' order by A desc limit 1"",
      0
    ),
    1
  ),
  """"
)"),"")</f>
        <v/>
      </c>
      <c r="Q424" s="19" t="s">
        <v>48</v>
      </c>
      <c r="R424" s="24">
        <v>46641.0</v>
      </c>
      <c r="S424" s="20" t="str">
        <f>IFERROR(__xludf.DUMMYFUNCTION("IFERROR(
  INDEX(
    QUERY(
      Historial!A:G,
      ""select G where B = '""&amp;A424&amp;""' order by A desc limit 1"",
      0
    ),
    1
  ),
  """"
)"),"")</f>
        <v/>
      </c>
      <c r="T424" s="20" t="str">
        <f t="shared" si="3"/>
        <v/>
      </c>
      <c r="U424" s="20" t="str">
        <f t="shared" si="4"/>
        <v/>
      </c>
      <c r="V424" s="25">
        <v>0.0</v>
      </c>
      <c r="W424" s="26">
        <v>0.0</v>
      </c>
      <c r="X424" s="26">
        <v>0.0</v>
      </c>
      <c r="Y424" s="27"/>
      <c r="Z424" s="26">
        <v>10.0</v>
      </c>
      <c r="AA424" s="26">
        <v>0.0</v>
      </c>
      <c r="AB424" s="26">
        <v>0.0</v>
      </c>
      <c r="AC424" s="27"/>
      <c r="AD424" s="27"/>
      <c r="AE424" s="10" t="s">
        <v>38</v>
      </c>
      <c r="AF424" s="10" t="s">
        <v>44</v>
      </c>
      <c r="AG424" s="27"/>
    </row>
    <row r="425" ht="15.75" customHeight="1">
      <c r="A425" s="34" t="s">
        <v>927</v>
      </c>
      <c r="B425" s="35">
        <v>5000.0</v>
      </c>
      <c r="C425" s="15" t="s">
        <v>605</v>
      </c>
      <c r="D425" s="15" t="s">
        <v>928</v>
      </c>
      <c r="E425" s="15"/>
      <c r="F425" s="41">
        <v>3.0</v>
      </c>
      <c r="G425" s="33">
        <v>0.0</v>
      </c>
      <c r="H425" s="33">
        <v>0.0</v>
      </c>
      <c r="I425" s="29">
        <v>0.0</v>
      </c>
      <c r="J425" s="19" t="str">
        <f t="shared" si="22"/>
        <v>sin oferta</v>
      </c>
      <c r="K425" s="20" t="str">
        <f t="shared" si="17"/>
        <v>NORMAL / SIN OFERTA</v>
      </c>
      <c r="L425" s="15"/>
      <c r="M425" s="20"/>
      <c r="N425" s="21">
        <v>0.0</v>
      </c>
      <c r="O425" s="22">
        <v>3.0</v>
      </c>
      <c r="P425" s="23" t="str">
        <f>IFERROR(__xludf.DUMMYFUNCTION("IFERROR(
  INDEX(
    QUERY(
      Historial!A:I,
      ""select I where B = '""&amp;A425&amp;""' order by A desc limit 1"",
      0
    ),
    1
  ),
  """"
)"),"")</f>
        <v/>
      </c>
      <c r="Q425" s="19" t="s">
        <v>51</v>
      </c>
      <c r="R425" s="24">
        <v>46642.0</v>
      </c>
      <c r="S425" s="20" t="str">
        <f>IFERROR(__xludf.DUMMYFUNCTION("IFERROR(
  INDEX(
    QUERY(
      Historial!A:G,
      ""select G where B = '""&amp;A425&amp;""' order by A desc limit 1"",
      0
    ),
    1
  ),
  """"
)"),"")</f>
        <v/>
      </c>
      <c r="T425" s="20" t="str">
        <f t="shared" si="3"/>
        <v/>
      </c>
      <c r="U425" s="20" t="str">
        <f t="shared" si="4"/>
        <v/>
      </c>
      <c r="V425" s="25">
        <v>0.0</v>
      </c>
      <c r="W425" s="26">
        <v>0.0</v>
      </c>
      <c r="X425" s="26">
        <v>0.0</v>
      </c>
      <c r="Y425" s="27"/>
      <c r="Z425" s="26">
        <v>10.0</v>
      </c>
      <c r="AA425" s="26">
        <v>0.0</v>
      </c>
      <c r="AB425" s="26">
        <v>0.0</v>
      </c>
      <c r="AC425" s="27"/>
      <c r="AD425" s="27"/>
      <c r="AE425" s="10" t="s">
        <v>38</v>
      </c>
      <c r="AF425" s="10" t="s">
        <v>44</v>
      </c>
      <c r="AG425" s="27"/>
    </row>
    <row r="426" ht="15.75" customHeight="1">
      <c r="A426" s="34" t="s">
        <v>929</v>
      </c>
      <c r="B426" s="35">
        <v>5000.0</v>
      </c>
      <c r="C426" s="15" t="s">
        <v>605</v>
      </c>
      <c r="D426" s="15" t="s">
        <v>930</v>
      </c>
      <c r="E426" s="15"/>
      <c r="F426" s="41">
        <v>3.0</v>
      </c>
      <c r="G426" s="33">
        <v>0.0</v>
      </c>
      <c r="H426" s="33">
        <v>0.0</v>
      </c>
      <c r="I426" s="29">
        <v>0.0</v>
      </c>
      <c r="J426" s="19" t="str">
        <f t="shared" si="22"/>
        <v>sin oferta</v>
      </c>
      <c r="K426" s="20" t="str">
        <f t="shared" si="17"/>
        <v>NORMAL / SIN OFERTA</v>
      </c>
      <c r="L426" s="15"/>
      <c r="M426" s="20"/>
      <c r="N426" s="21">
        <v>0.0</v>
      </c>
      <c r="O426" s="22">
        <v>3.0</v>
      </c>
      <c r="P426" s="23" t="str">
        <f>IFERROR(__xludf.DUMMYFUNCTION("IFERROR(
  INDEX(
    QUERY(
      Historial!A:I,
      ""select I where B = '""&amp;A426&amp;""' order by A desc limit 1"",
      0
    ),
    1
  ),
  """"
)"),"")</f>
        <v/>
      </c>
      <c r="Q426" s="19" t="s">
        <v>63</v>
      </c>
      <c r="R426" s="24">
        <v>46645.0</v>
      </c>
      <c r="S426" s="20" t="str">
        <f>IFERROR(__xludf.DUMMYFUNCTION("IFERROR(
  INDEX(
    QUERY(
      Historial!A:G,
      ""select G where B = '""&amp;A426&amp;""' order by A desc limit 1"",
      0
    ),
    1
  ),
  """"
)"),"")</f>
        <v/>
      </c>
      <c r="T426" s="20" t="str">
        <f t="shared" si="3"/>
        <v/>
      </c>
      <c r="U426" s="20" t="str">
        <f t="shared" si="4"/>
        <v/>
      </c>
      <c r="V426" s="25">
        <v>0.0</v>
      </c>
      <c r="W426" s="26">
        <v>0.0</v>
      </c>
      <c r="X426" s="26">
        <v>0.0</v>
      </c>
      <c r="Y426" s="27"/>
      <c r="Z426" s="26">
        <v>10.0</v>
      </c>
      <c r="AA426" s="26">
        <v>0.0</v>
      </c>
      <c r="AB426" s="26">
        <v>0.0</v>
      </c>
      <c r="AC426" s="27"/>
      <c r="AD426" s="27"/>
      <c r="AE426" s="10" t="s">
        <v>38</v>
      </c>
      <c r="AF426" s="10" t="s">
        <v>44</v>
      </c>
      <c r="AG426" s="27"/>
    </row>
    <row r="427" ht="15.75" customHeight="1">
      <c r="A427" s="34" t="s">
        <v>931</v>
      </c>
      <c r="B427" s="35">
        <v>7000.0</v>
      </c>
      <c r="C427" s="15" t="s">
        <v>638</v>
      </c>
      <c r="D427" s="15" t="s">
        <v>932</v>
      </c>
      <c r="E427" s="15"/>
      <c r="F427" s="41">
        <v>3.0</v>
      </c>
      <c r="G427" s="33">
        <v>0.0</v>
      </c>
      <c r="H427" s="33">
        <v>0.0</v>
      </c>
      <c r="I427" s="29">
        <v>0.0</v>
      </c>
      <c r="J427" s="19" t="str">
        <f t="shared" si="22"/>
        <v>sin oferta</v>
      </c>
      <c r="K427" s="20" t="str">
        <f t="shared" si="17"/>
        <v>NORMAL / SIN OFERTA</v>
      </c>
      <c r="L427" s="15"/>
      <c r="M427" s="20"/>
      <c r="N427" s="21">
        <v>0.0</v>
      </c>
      <c r="O427" s="22">
        <v>3.0</v>
      </c>
      <c r="P427" s="23" t="str">
        <f>IFERROR(__xludf.DUMMYFUNCTION("IFERROR(
  INDEX(
    QUERY(
      Historial!A:I,
      ""select I where B = '""&amp;A427&amp;""' order by A desc limit 1"",
      0
    ),
    1
  ),
  """"
)"),"")</f>
        <v/>
      </c>
      <c r="Q427" s="19" t="s">
        <v>57</v>
      </c>
      <c r="R427" s="24">
        <v>46664.0</v>
      </c>
      <c r="S427" s="20" t="str">
        <f>IFERROR(__xludf.DUMMYFUNCTION("IFERROR(
  INDEX(
    QUERY(
      Historial!A:G,
      ""select G where B = '""&amp;A427&amp;""' order by A desc limit 1"",
      0
    ),
    1
  ),
  """"
)"),"")</f>
        <v/>
      </c>
      <c r="T427" s="20" t="str">
        <f t="shared" si="3"/>
        <v/>
      </c>
      <c r="U427" s="20" t="str">
        <f t="shared" si="4"/>
        <v/>
      </c>
      <c r="V427" s="25">
        <v>0.0</v>
      </c>
      <c r="W427" s="26">
        <v>0.0</v>
      </c>
      <c r="X427" s="26">
        <v>0.0</v>
      </c>
      <c r="Y427" s="27"/>
      <c r="Z427" s="26">
        <v>10.0</v>
      </c>
      <c r="AA427" s="26">
        <v>0.0</v>
      </c>
      <c r="AB427" s="26">
        <v>0.0</v>
      </c>
      <c r="AC427" s="27"/>
      <c r="AD427" s="27"/>
      <c r="AE427" s="10" t="s">
        <v>38</v>
      </c>
      <c r="AF427" s="10" t="s">
        <v>44</v>
      </c>
      <c r="AG427" s="27"/>
    </row>
    <row r="428" ht="15.75" customHeight="1">
      <c r="A428" s="34" t="s">
        <v>933</v>
      </c>
      <c r="B428" s="35">
        <v>4000.0</v>
      </c>
      <c r="C428" s="15" t="s">
        <v>638</v>
      </c>
      <c r="D428" s="15" t="s">
        <v>934</v>
      </c>
      <c r="E428" s="15"/>
      <c r="F428" s="41">
        <v>0.0</v>
      </c>
      <c r="G428" s="33">
        <v>0.0</v>
      </c>
      <c r="H428" s="33">
        <v>20.0</v>
      </c>
      <c r="I428" s="29">
        <v>0.0</v>
      </c>
      <c r="J428" s="19" t="str">
        <f t="shared" si="22"/>
        <v>sin stock</v>
      </c>
      <c r="K428" s="20" t="str">
        <f t="shared" si="17"/>
        <v>SIN STOCK / CARGAR STOCK</v>
      </c>
      <c r="L428" s="15"/>
      <c r="M428" s="20"/>
      <c r="N428" s="21">
        <v>1.0</v>
      </c>
      <c r="O428" s="22">
        <v>4.0</v>
      </c>
      <c r="P428" s="23" t="str">
        <f>IFERROR(__xludf.DUMMYFUNCTION("IFERROR(
  INDEX(
    QUERY(
      Historial!A:I,
      ""select I where B = '""&amp;A428&amp;""' order by A desc limit 1"",
      0
    ),
    1
  ),
  """"
)"),"")</f>
        <v/>
      </c>
      <c r="Q428" s="19" t="s">
        <v>63</v>
      </c>
      <c r="R428" s="24">
        <v>46666.0</v>
      </c>
      <c r="S428" s="20" t="str">
        <f>IFERROR(__xludf.DUMMYFUNCTION("IFERROR(
  INDEX(
    QUERY(
      Historial!A:G,
      ""select G where B = '""&amp;A428&amp;""' order by A desc limit 1"",
      0
    ),
    1
  ),
  """"
)"),"")</f>
        <v/>
      </c>
      <c r="T428" s="20" t="str">
        <f t="shared" si="3"/>
        <v/>
      </c>
      <c r="U428" s="20" t="str">
        <f t="shared" si="4"/>
        <v/>
      </c>
      <c r="V428" s="25">
        <v>0.0</v>
      </c>
      <c r="W428" s="26">
        <v>5.0</v>
      </c>
      <c r="X428" s="26">
        <v>0.067</v>
      </c>
      <c r="Y428" s="26">
        <v>0.0</v>
      </c>
      <c r="Z428" s="26">
        <v>7.0</v>
      </c>
      <c r="AA428" s="26">
        <v>1.206</v>
      </c>
      <c r="AB428" s="26">
        <v>2.0</v>
      </c>
      <c r="AC428" s="27"/>
      <c r="AD428" s="26">
        <v>0.0</v>
      </c>
      <c r="AE428" s="10" t="s">
        <v>38</v>
      </c>
      <c r="AF428" s="10" t="s">
        <v>44</v>
      </c>
      <c r="AG428" s="27"/>
    </row>
    <row r="429" ht="15.75" customHeight="1">
      <c r="A429" s="34" t="s">
        <v>935</v>
      </c>
      <c r="B429" s="35">
        <v>4000.0</v>
      </c>
      <c r="C429" s="15" t="s">
        <v>638</v>
      </c>
      <c r="D429" s="15" t="s">
        <v>936</v>
      </c>
      <c r="E429" s="15"/>
      <c r="F429" s="41">
        <v>3.0</v>
      </c>
      <c r="G429" s="33">
        <v>0.0</v>
      </c>
      <c r="H429" s="33">
        <v>0.0</v>
      </c>
      <c r="I429" s="29">
        <v>0.0</v>
      </c>
      <c r="J429" s="19" t="str">
        <f t="shared" si="22"/>
        <v>sin oferta</v>
      </c>
      <c r="K429" s="20" t="str">
        <f t="shared" si="17"/>
        <v>NORMAL / SIN OFERTA</v>
      </c>
      <c r="L429" s="15"/>
      <c r="M429" s="20"/>
      <c r="N429" s="21">
        <v>0.0</v>
      </c>
      <c r="O429" s="22">
        <v>3.0</v>
      </c>
      <c r="P429" s="23" t="str">
        <f>IFERROR(__xludf.DUMMYFUNCTION("IFERROR(
  INDEX(
    QUERY(
      Historial!A:I,
      ""select I where B = '""&amp;A429&amp;""' order by A desc limit 1"",
      0
    ),
    1
  ),
  """"
)"),"")</f>
        <v/>
      </c>
      <c r="Q429" s="19" t="s">
        <v>43</v>
      </c>
      <c r="R429" s="24">
        <v>46675.0</v>
      </c>
      <c r="S429" s="20" t="str">
        <f>IFERROR(__xludf.DUMMYFUNCTION("IFERROR(
  INDEX(
    QUERY(
      Historial!A:G,
      ""select G where B = '""&amp;A429&amp;""' order by A desc limit 1"",
      0
    ),
    1
  ),
  """"
)"),"")</f>
        <v/>
      </c>
      <c r="T429" s="20" t="str">
        <f t="shared" si="3"/>
        <v/>
      </c>
      <c r="U429" s="20" t="str">
        <f t="shared" si="4"/>
        <v/>
      </c>
      <c r="V429" s="25">
        <v>0.0</v>
      </c>
      <c r="W429" s="26">
        <v>0.0</v>
      </c>
      <c r="X429" s="26">
        <v>0.0</v>
      </c>
      <c r="Y429" s="27"/>
      <c r="Z429" s="26">
        <v>21.0</v>
      </c>
      <c r="AA429" s="26">
        <v>0.0</v>
      </c>
      <c r="AB429" s="26">
        <v>0.0</v>
      </c>
      <c r="AC429" s="27"/>
      <c r="AD429" s="27"/>
      <c r="AE429" s="10" t="s">
        <v>38</v>
      </c>
      <c r="AF429" s="10" t="s">
        <v>44</v>
      </c>
      <c r="AG429" s="27"/>
    </row>
    <row r="430" ht="15.75" customHeight="1">
      <c r="A430" s="34" t="s">
        <v>937</v>
      </c>
      <c r="B430" s="35">
        <v>5000.0</v>
      </c>
      <c r="C430" s="15" t="s">
        <v>638</v>
      </c>
      <c r="D430" s="15" t="s">
        <v>938</v>
      </c>
      <c r="E430" s="15"/>
      <c r="F430" s="36">
        <v>3.0</v>
      </c>
      <c r="G430" s="33">
        <v>0.0</v>
      </c>
      <c r="H430" s="33">
        <v>25.0</v>
      </c>
      <c r="I430" s="29">
        <v>0.0</v>
      </c>
      <c r="J430" s="19" t="str">
        <f t="shared" si="22"/>
        <v>destacada</v>
      </c>
      <c r="K430" s="20">
        <f t="shared" si="17"/>
        <v>3750</v>
      </c>
      <c r="L430" s="15"/>
      <c r="M430" s="20"/>
      <c r="N430" s="21">
        <v>5.0</v>
      </c>
      <c r="O430" s="22">
        <v>2.0</v>
      </c>
      <c r="P430" s="23" t="str">
        <f>IFERROR(__xludf.DUMMYFUNCTION("IFERROR(
  INDEX(
    QUERY(
      Historial!A:I,
      ""select I where B = '""&amp;A430&amp;""' order by A desc limit 1"",
      0
    ),
    1
  ),
  """"
)"),"")</f>
        <v/>
      </c>
      <c r="Q430" s="19" t="s">
        <v>57</v>
      </c>
      <c r="R430" s="24">
        <v>46678.0</v>
      </c>
      <c r="S430" s="20" t="str">
        <f>IFERROR(__xludf.DUMMYFUNCTION("IFERROR(
  INDEX(
    QUERY(
      Historial!A:G,
      ""select G where B = '""&amp;A430&amp;""' order by A desc limit 1"",
      0
    ),
    1
  ),
  """"
)"),"")</f>
        <v/>
      </c>
      <c r="T430" s="20" t="str">
        <f t="shared" si="3"/>
        <v/>
      </c>
      <c r="U430" s="20" t="str">
        <f t="shared" si="4"/>
        <v/>
      </c>
      <c r="V430" s="25">
        <v>3.0</v>
      </c>
      <c r="W430" s="26">
        <v>3.0</v>
      </c>
      <c r="X430" s="26">
        <v>0.297</v>
      </c>
      <c r="Y430" s="26">
        <v>10.101010101010102</v>
      </c>
      <c r="Z430" s="26">
        <v>14.0</v>
      </c>
      <c r="AA430" s="26">
        <v>2.9699999999999998</v>
      </c>
      <c r="AB430" s="26">
        <v>2.0</v>
      </c>
      <c r="AC430" s="27"/>
      <c r="AD430" s="26">
        <v>10.101010101010102</v>
      </c>
      <c r="AE430" s="10" t="s">
        <v>38</v>
      </c>
      <c r="AF430" s="10" t="s">
        <v>75</v>
      </c>
      <c r="AG430" s="27"/>
    </row>
    <row r="431" ht="15.75" customHeight="1">
      <c r="A431" s="66" t="s">
        <v>939</v>
      </c>
      <c r="B431" s="67">
        <v>9000.0</v>
      </c>
      <c r="C431" s="66" t="s">
        <v>605</v>
      </c>
      <c r="D431" s="66" t="s">
        <v>940</v>
      </c>
      <c r="E431" s="66" t="s">
        <v>42</v>
      </c>
      <c r="F431" s="68">
        <v>1.0</v>
      </c>
      <c r="G431" s="69"/>
      <c r="H431" s="40"/>
      <c r="I431" s="40"/>
      <c r="J431" s="20"/>
      <c r="K431" s="20"/>
      <c r="L431" s="20"/>
      <c r="M431" s="20"/>
      <c r="N431" s="21">
        <v>0.0</v>
      </c>
      <c r="O431" s="22">
        <v>2.0</v>
      </c>
      <c r="P431" s="23" t="str">
        <f>IFERROR(__xludf.DUMMYFUNCTION("IFERROR(
  INDEX(
    QUERY(
      Historial!A:I,
      ""select I where B = '""&amp;A431&amp;""' order by A desc limit 1"",
      0
    ),
    1
  ),
  """"
)"),"")</f>
        <v/>
      </c>
      <c r="Q431" s="19" t="s">
        <v>37</v>
      </c>
      <c r="R431" s="24">
        <v>46681.0</v>
      </c>
      <c r="S431" s="20">
        <f>IFERROR(__xludf.DUMMYFUNCTION("IFERROR(
  INDEX(
    QUERY(
      Historial!A:G,
      ""select G where B = '""&amp;A431&amp;""' order by A desc limit 1"",
      0
    ),
    1
  ),
  """"
)"),4500.0)</f>
        <v>4500</v>
      </c>
      <c r="T431" s="20" t="str">
        <f t="shared" si="3"/>
        <v/>
      </c>
      <c r="U431" s="20" t="str">
        <f t="shared" si="4"/>
        <v/>
      </c>
      <c r="V431" s="25">
        <v>0.0</v>
      </c>
      <c r="W431" s="26">
        <v>0.0</v>
      </c>
      <c r="X431" s="26">
        <v>0.0</v>
      </c>
      <c r="Y431" s="27"/>
      <c r="Z431" s="26">
        <v>21.0</v>
      </c>
      <c r="AA431" s="26">
        <v>0.0</v>
      </c>
      <c r="AB431" s="26">
        <v>0.0</v>
      </c>
      <c r="AC431" s="27"/>
      <c r="AD431" s="27"/>
      <c r="AE431" s="10" t="s">
        <v>38</v>
      </c>
      <c r="AF431" s="10" t="s">
        <v>44</v>
      </c>
      <c r="AG431" s="27"/>
    </row>
    <row r="432" ht="15.75" customHeight="1">
      <c r="A432" s="66" t="s">
        <v>941</v>
      </c>
      <c r="B432" s="67">
        <v>4000.0</v>
      </c>
      <c r="C432" s="66" t="s">
        <v>577</v>
      </c>
      <c r="D432" s="66" t="s">
        <v>942</v>
      </c>
      <c r="E432" s="66" t="s">
        <v>42</v>
      </c>
      <c r="F432" s="68">
        <v>1.0</v>
      </c>
      <c r="G432" s="69"/>
      <c r="H432" s="40"/>
      <c r="I432" s="40"/>
      <c r="J432" s="20"/>
      <c r="K432" s="20"/>
      <c r="L432" s="20"/>
      <c r="M432" s="20"/>
      <c r="N432" s="21">
        <v>0.0</v>
      </c>
      <c r="O432" s="22">
        <v>2.0</v>
      </c>
      <c r="P432" s="23" t="str">
        <f>IFERROR(__xludf.DUMMYFUNCTION("IFERROR(
  INDEX(
    QUERY(
      Historial!A:I,
      ""select I where B = '""&amp;A432&amp;""' order by A desc limit 1"",
      0
    ),
    1
  ),
  """"
)"),"")</f>
        <v/>
      </c>
      <c r="Q432" s="19" t="s">
        <v>43</v>
      </c>
      <c r="R432" s="24">
        <v>46682.0</v>
      </c>
      <c r="S432" s="20" t="str">
        <f>IFERROR(__xludf.DUMMYFUNCTION("IFERROR(
  INDEX(
    QUERY(
      Historial!A:G,
      ""select G where B = '""&amp;A432&amp;""' order by A desc limit 1"",
      0
    ),
    1
  ),
  """"
)"),"")</f>
        <v/>
      </c>
      <c r="T432" s="20" t="str">
        <f t="shared" si="3"/>
        <v/>
      </c>
      <c r="U432" s="20" t="str">
        <f t="shared" si="4"/>
        <v/>
      </c>
      <c r="V432" s="25">
        <v>0.0</v>
      </c>
      <c r="W432" s="26">
        <v>0.0</v>
      </c>
      <c r="X432" s="26">
        <v>0.0</v>
      </c>
      <c r="Y432" s="27"/>
      <c r="Z432" s="26">
        <v>14.0</v>
      </c>
      <c r="AA432" s="26">
        <v>0.0</v>
      </c>
      <c r="AB432" s="26">
        <v>0.0</v>
      </c>
      <c r="AC432" s="27"/>
      <c r="AD432" s="27"/>
      <c r="AE432" s="10" t="s">
        <v>38</v>
      </c>
      <c r="AF432" s="10" t="s">
        <v>44</v>
      </c>
      <c r="AG432" s="27"/>
    </row>
    <row r="433" ht="15.75" customHeight="1">
      <c r="A433" s="66" t="s">
        <v>943</v>
      </c>
      <c r="B433" s="67">
        <v>5000.0</v>
      </c>
      <c r="C433" s="66" t="s">
        <v>605</v>
      </c>
      <c r="D433" s="66" t="s">
        <v>944</v>
      </c>
      <c r="E433" s="66" t="s">
        <v>147</v>
      </c>
      <c r="F433" s="68">
        <v>1.0</v>
      </c>
      <c r="G433" s="69"/>
      <c r="H433" s="69"/>
      <c r="I433" s="69"/>
      <c r="J433" s="69"/>
      <c r="K433" s="69"/>
      <c r="L433" s="69"/>
      <c r="M433" s="69"/>
      <c r="N433" s="21">
        <v>0.0</v>
      </c>
      <c r="O433" s="22">
        <v>2.0</v>
      </c>
      <c r="P433" s="23">
        <f>IFERROR(__xludf.DUMMYFUNCTION("IFERROR(
  INDEX(
    QUERY(
      Historial!A:I,
      ""select I where B = '""&amp;A433&amp;""' order by A desc limit 1"",
      0
    ),
    1
  ),
  """"
)"),46599.0)</f>
        <v>46599</v>
      </c>
      <c r="Q433" s="19" t="s">
        <v>51</v>
      </c>
      <c r="R433" s="24">
        <v>46684.0</v>
      </c>
      <c r="S433" s="20">
        <f>IFERROR(__xludf.DUMMYFUNCTION("IFERROR(
  INDEX(
    QUERY(
      Historial!A:G,
      ""select G where B = '""&amp;A433&amp;""' order by A desc limit 1"",
      0
    ),
    1
  ),
  """"
)"),2000.0)</f>
        <v>2000</v>
      </c>
      <c r="T433" s="20" t="str">
        <f t="shared" si="3"/>
        <v>✅ OK</v>
      </c>
      <c r="U433" s="20" t="str">
        <f t="shared" si="4"/>
        <v/>
      </c>
      <c r="V433" s="25">
        <v>0.0</v>
      </c>
      <c r="W433" s="26">
        <v>0.0</v>
      </c>
      <c r="X433" s="26">
        <v>0.0</v>
      </c>
      <c r="Y433" s="27"/>
      <c r="Z433" s="26">
        <v>14.0</v>
      </c>
      <c r="AA433" s="26">
        <v>0.0</v>
      </c>
      <c r="AB433" s="26">
        <v>0.0</v>
      </c>
      <c r="AC433" s="26">
        <v>507.0</v>
      </c>
      <c r="AD433" s="27"/>
      <c r="AE433" s="10" t="s">
        <v>38</v>
      </c>
      <c r="AF433" s="10" t="s">
        <v>44</v>
      </c>
      <c r="AG433" s="27"/>
    </row>
    <row r="434" ht="15.75" customHeight="1">
      <c r="A434" s="12" t="s">
        <v>945</v>
      </c>
      <c r="B434" s="78">
        <v>4500.0</v>
      </c>
      <c r="C434" s="15" t="s">
        <v>87</v>
      </c>
      <c r="D434" s="15" t="s">
        <v>946</v>
      </c>
      <c r="E434" s="14" t="s">
        <v>74</v>
      </c>
      <c r="F434" s="79">
        <v>0.0</v>
      </c>
      <c r="G434" s="33">
        <v>0.0</v>
      </c>
      <c r="H434" s="33">
        <v>0.0</v>
      </c>
      <c r="I434" s="29">
        <v>0.0</v>
      </c>
      <c r="J434" s="19" t="str">
        <f t="array" ref="J434">IF(
  A434="",
  "",
  IF(
    F434=0,
    "sin stock",
    IF(
      NOT(OR(I434=0,I434=1)),
      "ERROR ESPECIAL",
      IF(
        NOT(ISNUMBER(MATCH(G434,{0;1;2;3;4;5;6;10;11;12;13;14},0))),
        "ERROR RELAMPAGO",
        IF(
          OR(H434&gt;70,AND(H434&gt;0,H434&lt;15)),
          "ERROR DESTACADA",
          IF(
            (I434=1)+(H434&gt;0)+(G434&gt;0)&gt;1,
            "ERROR DOBLE OFERTA",
            IF(
              I434=1,
              "especial",
              IF(
                H434&gt;0,
                "destacada",
                IF(
                  G434&gt;0,
                  IF(
                    OR(
                      AND(G434&lt;=6,F434&lt;(G434+1)),
                      AND(G434=10,F434&lt;2),
                      AND(G434&gt;=11,F434&lt;1)
                    ),
                    "REPONER "&amp;
                    IF(G434&lt;=6,G434+1-F434,
                       IF(G434=10,2-F434,
                          1-F434
                       )
                    )&amp;
                    " PARA PROMO",
                    IF(
                      G434&lt;=6,
                      "relampago "&amp;(G434+1)&amp;"x"&amp;G434,
                      IF(
                        G434=10,
                        "2da50off",
                        IF(
                          G434&gt;=11,
                          "relampago "&amp;CHOOSE(G434-10,10,15,20,25)&amp;"%",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sin stock</v>
      </c>
      <c r="K434" s="20" t="str">
        <f t="shared" ref="K434:K600" si="23">IF(AND(C434="PROMOS", F434&gt;=1),
   "COMBO ACTIVADO EN CAT. PROMOS",
   IF(OR(F434&lt;=0, B434&lt;=0),
      "SIN STOCK / CARGAR STOCK",
      IF(B434="",
         "CARGAR PRECIO",
         IF(AND(ISNUMBER(G434), G434&gt;0),
            B434 * VLOOKUP(G434, {1,0.5; 2,0.6667; 3,0.75; 4,0.8; 5,0.8333; 6,0.8571; 10,0.75}, 2, FALSE),
            IF(AND(ISNUMBER(H434), H434&gt;0),
               B434 * (1 - H434/100),
               IF(I434=1,
                  B434 * 0.9,
                  "NORMAL / SIN OFERTA"
               )
            )
         )
      )
   )
)</f>
        <v>SIN STOCK / CARGAR STOCK</v>
      </c>
      <c r="L434" s="15"/>
      <c r="M434" s="20"/>
      <c r="N434" s="21">
        <v>0.0</v>
      </c>
      <c r="O434" s="22">
        <v>2.0</v>
      </c>
      <c r="P434" s="23" t="str">
        <f>IFERROR(__xludf.DUMMYFUNCTION("IFERROR(
  INDEX(
    QUERY(
      Historial!A:I,
      ""select I where B = '""&amp;A434&amp;""' order by A desc limit 1"",
      0
    ),
    1
  ),
  """"
)"),"")</f>
        <v/>
      </c>
      <c r="Q434" s="19" t="s">
        <v>63</v>
      </c>
      <c r="R434" s="24">
        <v>46106.0</v>
      </c>
      <c r="S434" s="20">
        <f>IFERROR(__xludf.DUMMYFUNCTION("IFERROR(
  INDEX(
    QUERY(
      Historial!A:G,
      ""select G where B = '""&amp;A434&amp;""' order by A desc limit 1"",
      0
    ),
    1
  ),
  """"
)"),2875.0)</f>
        <v>2875</v>
      </c>
      <c r="T434" s="20" t="str">
        <f t="shared" si="3"/>
        <v/>
      </c>
      <c r="U434" s="20" t="str">
        <f t="shared" si="4"/>
        <v/>
      </c>
      <c r="V434" s="25">
        <v>0.0</v>
      </c>
      <c r="W434" s="26">
        <v>0.0</v>
      </c>
      <c r="X434" s="26">
        <v>0.0</v>
      </c>
      <c r="Y434" s="27"/>
      <c r="Z434" s="26">
        <v>14.0</v>
      </c>
      <c r="AA434" s="26">
        <v>0.0</v>
      </c>
      <c r="AB434" s="26">
        <v>0.0</v>
      </c>
      <c r="AC434" s="27"/>
      <c r="AD434" s="27"/>
      <c r="AE434" s="10" t="s">
        <v>38</v>
      </c>
      <c r="AF434" s="10" t="s">
        <v>44</v>
      </c>
      <c r="AG434" s="27"/>
    </row>
    <row r="435" ht="15.75" customHeight="1">
      <c r="A435" s="34" t="s">
        <v>947</v>
      </c>
      <c r="B435" s="35">
        <v>5000.0</v>
      </c>
      <c r="C435" s="15" t="s">
        <v>87</v>
      </c>
      <c r="D435" s="15" t="s">
        <v>948</v>
      </c>
      <c r="E435" s="15"/>
      <c r="F435" s="44">
        <v>0.0</v>
      </c>
      <c r="G435" s="33">
        <v>0.0</v>
      </c>
      <c r="H435" s="33">
        <v>0.0</v>
      </c>
      <c r="I435" s="29">
        <v>0.0</v>
      </c>
      <c r="J435" s="19" t="str">
        <f t="shared" ref="J435:J494" si="24">IF(
A435="",
"",
IF(
F435=0,
"sin stock",
IF(
NOT(OR(I435=0,I435=1)),
"ERROR ESPECIAL",
IF(
NOT(ISNUMBER(MATCH(G435,{0;1;2;3;4;5;6;10;11;12;13;14},0))),
"ERROR RELAMPAGO",
IF(
OR(H435&gt;70,AND(H435&gt;0,H435&lt;15)),
"ERROR DESTACADA",
IF(
(I435=1)+(H435&gt;0)+(G435&gt;0)&gt;1,
"ERROR DOBLE OFERTA",
IF(
I435=1,
"especial",
IF(
H435&gt;0,
"destacada",
IF(
G435&gt;0,
IF(
OR(
AND(G435&lt;=6,F435&lt;(G435+1)),
AND(G435=10,F435&lt;2),
AND(G435&gt;=11,F435&lt;1)
),
"REPONER "&amp;
IF(G435&lt;=6,G435+1-F435,
IF(G435=10,2-F435,
1-
F435)
)&amp;
" PARA PROMO",
IF(
G435&lt;=6,
"relampago "&amp;(G435+1)&amp;"x"&amp;G435,
IF(
G435=10,
"2da50off",
IF(
G435&gt;=11,
"relampago "&amp;CHOOSE(G435-10,10,15,20,25)&amp;"%",
"relampago"
)
)
)
),
"sin oferta"
)
)
)
)
)
)
)
)
)</f>
        <v>sin stock</v>
      </c>
      <c r="K435" s="20" t="str">
        <f t="shared" si="23"/>
        <v>SIN STOCK / CARGAR STOCK</v>
      </c>
      <c r="L435" s="15"/>
      <c r="M435" s="80"/>
      <c r="N435" s="21">
        <v>0.0</v>
      </c>
      <c r="O435" s="22">
        <v>2.0</v>
      </c>
      <c r="P435" s="23" t="str">
        <f>IFERROR(__xludf.DUMMYFUNCTION("IFERROR(
  INDEX(
    QUERY(
      Historial!A:I,
      ""select I where B = '""&amp;A435&amp;""' order by A desc limit 1"",
      0
    ),
    1
  ),
  """"
)"),"")</f>
        <v/>
      </c>
      <c r="Q435" s="19" t="s">
        <v>37</v>
      </c>
      <c r="R435" s="24">
        <v>46128.0</v>
      </c>
      <c r="S435" s="20">
        <f>IFERROR(__xludf.DUMMYFUNCTION("IFERROR(
  INDEX(
    QUERY(
      Historial!A:G,
      ""select G where B = '""&amp;A435&amp;""' order by A desc limit 1"",
      0
    ),
    1
  ),
  """"
)"),4000.0)</f>
        <v>4000</v>
      </c>
      <c r="T435" s="20" t="str">
        <f t="shared" si="3"/>
        <v/>
      </c>
      <c r="U435" s="20" t="str">
        <f t="shared" si="4"/>
        <v/>
      </c>
      <c r="V435" s="25">
        <v>0.0</v>
      </c>
      <c r="W435" s="26">
        <v>0.0</v>
      </c>
      <c r="X435" s="26">
        <v>0.0</v>
      </c>
      <c r="Y435" s="27"/>
      <c r="Z435" s="26">
        <v>14.0</v>
      </c>
      <c r="AA435" s="26">
        <v>0.0</v>
      </c>
      <c r="AB435" s="26">
        <v>0.0</v>
      </c>
      <c r="AC435" s="27"/>
      <c r="AD435" s="27"/>
      <c r="AE435" s="10" t="s">
        <v>38</v>
      </c>
      <c r="AF435" s="10" t="s">
        <v>44</v>
      </c>
      <c r="AG435" s="27"/>
    </row>
    <row r="436" ht="15.75" customHeight="1">
      <c r="A436" s="28" t="s">
        <v>949</v>
      </c>
      <c r="B436" s="29">
        <v>3500.0</v>
      </c>
      <c r="C436" s="19" t="s">
        <v>87</v>
      </c>
      <c r="D436" s="15" t="s">
        <v>950</v>
      </c>
      <c r="E436" s="19"/>
      <c r="F436" s="30">
        <v>2.0</v>
      </c>
      <c r="G436" s="33">
        <v>0.0</v>
      </c>
      <c r="H436" s="33">
        <v>0.0</v>
      </c>
      <c r="I436" s="29">
        <v>1.0</v>
      </c>
      <c r="J436" s="19" t="str">
        <f t="shared" si="24"/>
        <v>especial</v>
      </c>
      <c r="K436" s="20">
        <f t="shared" si="23"/>
        <v>3150</v>
      </c>
      <c r="L436" s="15"/>
      <c r="M436" s="20"/>
      <c r="N436" s="21">
        <v>0.0</v>
      </c>
      <c r="O436" s="22">
        <v>3.0</v>
      </c>
      <c r="P436" s="23" t="str">
        <f>IFERROR(__xludf.DUMMYFUNCTION("IFERROR(
  INDEX(
    QUERY(
      Historial!A:I,
      ""select I where B = '""&amp;A436&amp;""' order by A desc limit 1"",
      0
    ),
    1
  ),
  """"
)"),"")</f>
        <v/>
      </c>
      <c r="Q436" s="19" t="s">
        <v>37</v>
      </c>
      <c r="R436" s="24">
        <v>46135.0</v>
      </c>
      <c r="S436" s="20" t="str">
        <f>IFERROR(__xludf.DUMMYFUNCTION("IFERROR(
  INDEX(
    QUERY(
      Historial!A:G,
      ""select G where B = '""&amp;A436&amp;""' order by A desc limit 1"",
      0
    ),
    1
  ),
  """"
)"),"")</f>
        <v/>
      </c>
      <c r="T436" s="20" t="str">
        <f t="shared" si="3"/>
        <v/>
      </c>
      <c r="U436" s="20" t="str">
        <f t="shared" si="4"/>
        <v/>
      </c>
      <c r="V436" s="25">
        <v>0.0</v>
      </c>
      <c r="W436" s="26">
        <v>0.0</v>
      </c>
      <c r="X436" s="26">
        <v>0.0</v>
      </c>
      <c r="Y436" s="27"/>
      <c r="Z436" s="26">
        <v>10.0</v>
      </c>
      <c r="AA436" s="26">
        <v>0.0</v>
      </c>
      <c r="AB436" s="26">
        <v>0.0</v>
      </c>
      <c r="AC436" s="27"/>
      <c r="AD436" s="27"/>
      <c r="AE436" s="10" t="s">
        <v>38</v>
      </c>
      <c r="AF436" s="10" t="s">
        <v>44</v>
      </c>
      <c r="AG436" s="27"/>
    </row>
    <row r="437" ht="15.75" customHeight="1">
      <c r="A437" s="34" t="s">
        <v>951</v>
      </c>
      <c r="B437" s="35">
        <v>3500.0</v>
      </c>
      <c r="C437" s="15" t="s">
        <v>87</v>
      </c>
      <c r="D437" s="15" t="s">
        <v>952</v>
      </c>
      <c r="E437" s="15"/>
      <c r="F437" s="41">
        <v>0.0</v>
      </c>
      <c r="G437" s="33">
        <v>0.0</v>
      </c>
      <c r="H437" s="33">
        <v>0.0</v>
      </c>
      <c r="I437" s="29">
        <v>0.0</v>
      </c>
      <c r="J437" s="19" t="str">
        <f t="shared" si="24"/>
        <v>sin stock</v>
      </c>
      <c r="K437" s="20" t="str">
        <f t="shared" si="23"/>
        <v>SIN STOCK / CARGAR STOCK</v>
      </c>
      <c r="L437" s="15"/>
      <c r="M437" s="20"/>
      <c r="N437" s="21">
        <v>0.0</v>
      </c>
      <c r="O437" s="22">
        <v>2.0</v>
      </c>
      <c r="P437" s="23" t="str">
        <f>IFERROR(__xludf.DUMMYFUNCTION("IFERROR(
  INDEX(
    QUERY(
      Historial!A:I,
      ""select I where B = '""&amp;A437&amp;""' order by A desc limit 1"",
      0
    ),
    1
  ),
  """"
)"),"")</f>
        <v/>
      </c>
      <c r="Q437" s="19" t="s">
        <v>43</v>
      </c>
      <c r="R437" s="24">
        <v>46157.0</v>
      </c>
      <c r="S437" s="20" t="str">
        <f>IFERROR(__xludf.DUMMYFUNCTION("IFERROR(
  INDEX(
    QUERY(
      Historial!A:G,
      ""select G where B = '""&amp;A437&amp;""' order by A desc limit 1"",
      0
    ),
    1
  ),
  """"
)"),"")</f>
        <v/>
      </c>
      <c r="T437" s="20" t="str">
        <f t="shared" si="3"/>
        <v/>
      </c>
      <c r="U437" s="20" t="str">
        <f t="shared" si="4"/>
        <v/>
      </c>
      <c r="V437" s="25">
        <v>0.0</v>
      </c>
      <c r="W437" s="26">
        <v>0.0</v>
      </c>
      <c r="X437" s="26">
        <v>0.0</v>
      </c>
      <c r="Y437" s="27"/>
      <c r="Z437" s="26">
        <v>14.0</v>
      </c>
      <c r="AA437" s="26">
        <v>0.0</v>
      </c>
      <c r="AB437" s="26">
        <v>0.0</v>
      </c>
      <c r="AC437" s="27"/>
      <c r="AD437" s="27"/>
      <c r="AE437" s="10" t="s">
        <v>38</v>
      </c>
      <c r="AF437" s="10" t="s">
        <v>44</v>
      </c>
      <c r="AG437" s="27"/>
    </row>
    <row r="438" ht="15.75" customHeight="1">
      <c r="A438" s="34" t="s">
        <v>953</v>
      </c>
      <c r="B438" s="35">
        <v>3500.0</v>
      </c>
      <c r="C438" s="15" t="s">
        <v>87</v>
      </c>
      <c r="D438" s="15" t="s">
        <v>954</v>
      </c>
      <c r="E438" s="15"/>
      <c r="F438" s="41">
        <v>0.0</v>
      </c>
      <c r="G438" s="33">
        <v>0.0</v>
      </c>
      <c r="H438" s="33">
        <v>0.0</v>
      </c>
      <c r="I438" s="29">
        <v>0.0</v>
      </c>
      <c r="J438" s="19" t="str">
        <f t="shared" si="24"/>
        <v>sin stock</v>
      </c>
      <c r="K438" s="20" t="str">
        <f t="shared" si="23"/>
        <v>SIN STOCK / CARGAR STOCK</v>
      </c>
      <c r="L438" s="15"/>
      <c r="M438" s="20"/>
      <c r="N438" s="21">
        <v>0.0</v>
      </c>
      <c r="O438" s="22">
        <v>2.0</v>
      </c>
      <c r="P438" s="23" t="str">
        <f>IFERROR(__xludf.DUMMYFUNCTION("IFERROR(
  INDEX(
    QUERY(
      Historial!A:I,
      ""select I where B = '""&amp;A438&amp;""' order by A desc limit 1"",
      0
    ),
    1
  ),
  """"
)"),"")</f>
        <v/>
      </c>
      <c r="Q438" s="19" t="s">
        <v>48</v>
      </c>
      <c r="R438" s="24">
        <v>46158.0</v>
      </c>
      <c r="S438" s="20" t="str">
        <f>IFERROR(__xludf.DUMMYFUNCTION("IFERROR(
  INDEX(
    QUERY(
      Historial!A:G,
      ""select G where B = '""&amp;A438&amp;""' order by A desc limit 1"",
      0
    ),
    1
  ),
  """"
)"),"")</f>
        <v/>
      </c>
      <c r="T438" s="20" t="str">
        <f t="shared" si="3"/>
        <v/>
      </c>
      <c r="U438" s="20" t="str">
        <f t="shared" si="4"/>
        <v/>
      </c>
      <c r="V438" s="25">
        <v>0.0</v>
      </c>
      <c r="W438" s="26">
        <v>0.0</v>
      </c>
      <c r="X438" s="26">
        <v>0.0</v>
      </c>
      <c r="Y438" s="27"/>
      <c r="Z438" s="26">
        <v>14.0</v>
      </c>
      <c r="AA438" s="26">
        <v>0.0</v>
      </c>
      <c r="AB438" s="26">
        <v>0.0</v>
      </c>
      <c r="AC438" s="27"/>
      <c r="AD438" s="27"/>
      <c r="AE438" s="10" t="s">
        <v>38</v>
      </c>
      <c r="AF438" s="10" t="s">
        <v>44</v>
      </c>
      <c r="AG438" s="27"/>
    </row>
    <row r="439" ht="15.75" customHeight="1">
      <c r="A439" s="45" t="s">
        <v>955</v>
      </c>
      <c r="B439" s="46">
        <v>700.0</v>
      </c>
      <c r="C439" s="47" t="s">
        <v>87</v>
      </c>
      <c r="D439" s="15" t="s">
        <v>956</v>
      </c>
      <c r="E439" s="47" t="s">
        <v>114</v>
      </c>
      <c r="F439" s="36">
        <v>0.0</v>
      </c>
      <c r="G439" s="33">
        <v>0.0</v>
      </c>
      <c r="H439" s="33">
        <v>0.0</v>
      </c>
      <c r="I439" s="29">
        <v>0.0</v>
      </c>
      <c r="J439" s="19" t="str">
        <f t="shared" si="24"/>
        <v>sin stock</v>
      </c>
      <c r="K439" s="20" t="str">
        <f t="shared" si="23"/>
        <v>SIN STOCK / CARGAR STOCK</v>
      </c>
      <c r="L439" s="15"/>
      <c r="M439" s="20"/>
      <c r="N439" s="21">
        <v>3.0</v>
      </c>
      <c r="O439" s="22">
        <v>2.0</v>
      </c>
      <c r="P439" s="23" t="str">
        <f>IFERROR(__xludf.DUMMYFUNCTION("IFERROR(
  INDEX(
    QUERY(
      Historial!A:I,
      ""select I where B = '""&amp;A439&amp;""' order by A desc limit 1"",
      0
    ),
    1
  ),
  """"
)"),"")</f>
        <v/>
      </c>
      <c r="Q439" s="19" t="s">
        <v>63</v>
      </c>
      <c r="R439" s="24">
        <v>46176.0</v>
      </c>
      <c r="S439" s="20" t="str">
        <f>IFERROR(__xludf.DUMMYFUNCTION("IFERROR(
  INDEX(
    QUERY(
      Historial!A:G,
      ""select G where B = '""&amp;A439&amp;""' order by A desc limit 1"",
      0
    ),
    1
  ),
  """"
)"),"")</f>
        <v/>
      </c>
      <c r="T439" s="20" t="str">
        <f t="shared" si="3"/>
        <v/>
      </c>
      <c r="U439" s="20" t="str">
        <f t="shared" si="4"/>
        <v/>
      </c>
      <c r="V439" s="25">
        <v>2.0</v>
      </c>
      <c r="W439" s="26">
        <v>2.0</v>
      </c>
      <c r="X439" s="26">
        <v>0.198</v>
      </c>
      <c r="Y439" s="26">
        <v>0.0</v>
      </c>
      <c r="Z439" s="26">
        <v>14.0</v>
      </c>
      <c r="AA439" s="26">
        <v>1.98</v>
      </c>
      <c r="AB439" s="26">
        <v>3.0</v>
      </c>
      <c r="AC439" s="27"/>
      <c r="AD439" s="26">
        <v>0.0</v>
      </c>
      <c r="AE439" s="10" t="s">
        <v>38</v>
      </c>
      <c r="AF439" s="10" t="s">
        <v>44</v>
      </c>
      <c r="AG439" s="27"/>
    </row>
    <row r="440" ht="15.75" customHeight="1">
      <c r="A440" s="31" t="s">
        <v>957</v>
      </c>
      <c r="B440" s="40">
        <v>600.0</v>
      </c>
      <c r="C440" s="20" t="s">
        <v>87</v>
      </c>
      <c r="D440" s="15" t="s">
        <v>958</v>
      </c>
      <c r="E440" s="20" t="s">
        <v>47</v>
      </c>
      <c r="F440" s="39">
        <v>2.0</v>
      </c>
      <c r="G440" s="40">
        <v>0.0</v>
      </c>
      <c r="H440" s="40">
        <v>0.0</v>
      </c>
      <c r="I440" s="40">
        <v>0.0</v>
      </c>
      <c r="J440" s="19" t="str">
        <f t="shared" si="24"/>
        <v>sin oferta</v>
      </c>
      <c r="K440" s="20" t="str">
        <f t="shared" si="23"/>
        <v>NORMAL / SIN OFERTA</v>
      </c>
      <c r="L440" s="20">
        <v>0.0</v>
      </c>
      <c r="M440" s="20">
        <v>0.0</v>
      </c>
      <c r="N440" s="21">
        <v>0.0</v>
      </c>
      <c r="O440" s="22">
        <v>3.0</v>
      </c>
      <c r="P440" s="23" t="str">
        <f>IFERROR(__xludf.DUMMYFUNCTION("IFERROR(
  INDEX(
    QUERY(
      Historial!A:I,
      ""select I where B = '""&amp;A440&amp;""' order by A desc limit 1"",
      0
    ),
    1
  ),
  """"
)"),"")</f>
        <v/>
      </c>
      <c r="Q440" s="19" t="s">
        <v>37</v>
      </c>
      <c r="R440" s="24">
        <v>46177.0</v>
      </c>
      <c r="S440" s="20" t="str">
        <f>IFERROR(__xludf.DUMMYFUNCTION("IFERROR(
  INDEX(
    QUERY(
      Historial!A:G,
      ""select G where B = '""&amp;A440&amp;""' order by A desc limit 1"",
      0
    ),
    1
  ),
  """"
)"),"")</f>
        <v/>
      </c>
      <c r="T440" s="20" t="str">
        <f t="shared" si="3"/>
        <v/>
      </c>
      <c r="U440" s="20" t="str">
        <f t="shared" si="4"/>
        <v/>
      </c>
      <c r="V440" s="25">
        <v>0.0</v>
      </c>
      <c r="W440" s="26">
        <v>0.0</v>
      </c>
      <c r="X440" s="26">
        <v>0.0</v>
      </c>
      <c r="Y440" s="27"/>
      <c r="Z440" s="26">
        <v>21.0</v>
      </c>
      <c r="AA440" s="26">
        <v>0.0</v>
      </c>
      <c r="AB440" s="26">
        <v>0.0</v>
      </c>
      <c r="AC440" s="27"/>
      <c r="AD440" s="27"/>
      <c r="AE440" s="10" t="s">
        <v>38</v>
      </c>
      <c r="AF440" s="10" t="s">
        <v>44</v>
      </c>
      <c r="AG440" s="27"/>
    </row>
    <row r="441" ht="15.75" customHeight="1">
      <c r="A441" s="34" t="s">
        <v>959</v>
      </c>
      <c r="B441" s="35">
        <v>600.0</v>
      </c>
      <c r="C441" s="15" t="s">
        <v>87</v>
      </c>
      <c r="D441" s="15" t="s">
        <v>960</v>
      </c>
      <c r="E441" s="15"/>
      <c r="F441" s="41">
        <v>0.0</v>
      </c>
      <c r="G441" s="33">
        <v>0.0</v>
      </c>
      <c r="H441" s="33">
        <v>0.0</v>
      </c>
      <c r="I441" s="29">
        <v>0.0</v>
      </c>
      <c r="J441" s="19" t="str">
        <f t="shared" si="24"/>
        <v>sin stock</v>
      </c>
      <c r="K441" s="20" t="str">
        <f t="shared" si="23"/>
        <v>SIN STOCK / CARGAR STOCK</v>
      </c>
      <c r="L441" s="15"/>
      <c r="M441" s="20"/>
      <c r="N441" s="21">
        <v>0.0</v>
      </c>
      <c r="O441" s="22">
        <v>2.0</v>
      </c>
      <c r="P441" s="23" t="str">
        <f>IFERROR(__xludf.DUMMYFUNCTION("IFERROR(
  INDEX(
    QUERY(
      Historial!A:I,
      ""select I where B = '""&amp;A441&amp;""' order by A desc limit 1"",
      0
    ),
    1
  ),
  """"
)"),"")</f>
        <v/>
      </c>
      <c r="Q441" s="19" t="s">
        <v>48</v>
      </c>
      <c r="R441" s="24">
        <v>46179.0</v>
      </c>
      <c r="S441" s="20" t="str">
        <f>IFERROR(__xludf.DUMMYFUNCTION("IFERROR(
  INDEX(
    QUERY(
      Historial!A:G,
      ""select G where B = '""&amp;A441&amp;""' order by A desc limit 1"",
      0
    ),
    1
  ),
  """"
)"),"")</f>
        <v/>
      </c>
      <c r="T441" s="20" t="str">
        <f t="shared" si="3"/>
        <v/>
      </c>
      <c r="U441" s="20" t="str">
        <f t="shared" si="4"/>
        <v/>
      </c>
      <c r="V441" s="25">
        <v>0.0</v>
      </c>
      <c r="W441" s="26">
        <v>0.0</v>
      </c>
      <c r="X441" s="26">
        <v>0.0</v>
      </c>
      <c r="Y441" s="27"/>
      <c r="Z441" s="26">
        <v>14.0</v>
      </c>
      <c r="AA441" s="26">
        <v>0.0</v>
      </c>
      <c r="AB441" s="26">
        <v>0.0</v>
      </c>
      <c r="AC441" s="27"/>
      <c r="AD441" s="27"/>
      <c r="AE441" s="10" t="s">
        <v>38</v>
      </c>
      <c r="AF441" s="10" t="s">
        <v>44</v>
      </c>
      <c r="AG441" s="27"/>
    </row>
    <row r="442" ht="15.75" customHeight="1">
      <c r="A442" s="34" t="s">
        <v>961</v>
      </c>
      <c r="B442" s="35">
        <v>600.0</v>
      </c>
      <c r="C442" s="15" t="s">
        <v>87</v>
      </c>
      <c r="D442" s="15" t="s">
        <v>962</v>
      </c>
      <c r="E442" s="15" t="s">
        <v>47</v>
      </c>
      <c r="F442" s="42">
        <v>0.0</v>
      </c>
      <c r="G442" s="15">
        <v>0.0</v>
      </c>
      <c r="H442" s="33">
        <v>0.0</v>
      </c>
      <c r="I442" s="19">
        <v>0.0</v>
      </c>
      <c r="J442" s="19" t="str">
        <f t="shared" si="24"/>
        <v>sin stock</v>
      </c>
      <c r="K442" s="20" t="str">
        <f t="shared" si="23"/>
        <v>SIN STOCK / CARGAR STOCK</v>
      </c>
      <c r="L442" s="20"/>
      <c r="M442" s="20"/>
      <c r="N442" s="21">
        <v>3.0</v>
      </c>
      <c r="O442" s="22">
        <v>3.0</v>
      </c>
      <c r="P442" s="23" t="str">
        <f>IFERROR(__xludf.DUMMYFUNCTION("IFERROR(
  INDEX(
    QUERY(
      Historial!A:I,
      ""select I where B = '""&amp;A442&amp;""' order by A desc limit 1"",
      0
    ),
    1
  ),
  """"
)"),"")</f>
        <v/>
      </c>
      <c r="Q442" s="19" t="s">
        <v>63</v>
      </c>
      <c r="R442" s="24">
        <v>46190.0</v>
      </c>
      <c r="S442" s="20">
        <f>IFERROR(__xludf.DUMMYFUNCTION("IFERROR(
  INDEX(
    QUERY(
      Historial!A:G,
      ""select G where B = '""&amp;A442&amp;""' order by A desc limit 1"",
      0
    ),
    1
  ),
  """"
)"),450.0)</f>
        <v>450</v>
      </c>
      <c r="T442" s="20" t="str">
        <f t="shared" si="3"/>
        <v/>
      </c>
      <c r="U442" s="20" t="str">
        <f t="shared" si="4"/>
        <v/>
      </c>
      <c r="V442" s="25">
        <v>2.0</v>
      </c>
      <c r="W442" s="26">
        <v>3.0</v>
      </c>
      <c r="X442" s="26">
        <v>0.211</v>
      </c>
      <c r="Y442" s="26">
        <v>0.0</v>
      </c>
      <c r="Z442" s="26">
        <v>10.0</v>
      </c>
      <c r="AA442" s="26">
        <v>2.9539999999999997</v>
      </c>
      <c r="AB442" s="26">
        <v>3.0</v>
      </c>
      <c r="AC442" s="27"/>
      <c r="AD442" s="26">
        <v>0.0</v>
      </c>
      <c r="AE442" s="10" t="s">
        <v>38</v>
      </c>
      <c r="AF442" s="10" t="s">
        <v>44</v>
      </c>
      <c r="AG442" s="27"/>
    </row>
    <row r="443" ht="15.75" customHeight="1">
      <c r="A443" s="34" t="s">
        <v>963</v>
      </c>
      <c r="B443" s="35">
        <v>1200.0</v>
      </c>
      <c r="C443" s="15" t="s">
        <v>87</v>
      </c>
      <c r="D443" s="15" t="s">
        <v>964</v>
      </c>
      <c r="E443" s="15"/>
      <c r="F443" s="41">
        <v>0.0</v>
      </c>
      <c r="G443" s="33">
        <v>0.0</v>
      </c>
      <c r="H443" s="33">
        <v>0.0</v>
      </c>
      <c r="I443" s="29">
        <v>1.0</v>
      </c>
      <c r="J443" s="19" t="str">
        <f t="shared" si="24"/>
        <v>sin stock</v>
      </c>
      <c r="K443" s="20" t="str">
        <f t="shared" si="23"/>
        <v>SIN STOCK / CARGAR STOCK</v>
      </c>
      <c r="L443" s="15"/>
      <c r="M443" s="20"/>
      <c r="N443" s="21">
        <v>0.0</v>
      </c>
      <c r="O443" s="22">
        <v>2.0</v>
      </c>
      <c r="P443" s="23" t="str">
        <f>IFERROR(__xludf.DUMMYFUNCTION("IFERROR(
  INDEX(
    QUERY(
      Historial!A:I,
      ""select I where B = '""&amp;A443&amp;""' order by A desc limit 1"",
      0
    ),
    1
  ),
  """"
)"),"")</f>
        <v/>
      </c>
      <c r="Q443" s="19" t="s">
        <v>48</v>
      </c>
      <c r="R443" s="24">
        <v>46207.0</v>
      </c>
      <c r="S443" s="20" t="str">
        <f>IFERROR(__xludf.DUMMYFUNCTION("IFERROR(
  INDEX(
    QUERY(
      Historial!A:G,
      ""select G where B = '""&amp;A443&amp;""' order by A desc limit 1"",
      0
    ),
    1
  ),
  """"
)"),"")</f>
        <v/>
      </c>
      <c r="T443" s="20" t="str">
        <f t="shared" si="3"/>
        <v/>
      </c>
      <c r="U443" s="20" t="str">
        <f t="shared" si="4"/>
        <v/>
      </c>
      <c r="V443" s="25">
        <v>0.0</v>
      </c>
      <c r="W443" s="26">
        <v>0.0</v>
      </c>
      <c r="X443" s="26">
        <v>0.0</v>
      </c>
      <c r="Y443" s="27"/>
      <c r="Z443" s="26">
        <v>21.0</v>
      </c>
      <c r="AA443" s="26">
        <v>0.0</v>
      </c>
      <c r="AB443" s="26">
        <v>0.0</v>
      </c>
      <c r="AC443" s="27"/>
      <c r="AD443" s="27"/>
      <c r="AE443" s="10" t="s">
        <v>38</v>
      </c>
      <c r="AF443" s="10" t="s">
        <v>44</v>
      </c>
      <c r="AG443" s="27"/>
    </row>
    <row r="444" ht="15.75" customHeight="1">
      <c r="A444" s="31" t="s">
        <v>965</v>
      </c>
      <c r="B444" s="20">
        <v>1800.0</v>
      </c>
      <c r="C444" s="15" t="s">
        <v>87</v>
      </c>
      <c r="D444" s="15" t="s">
        <v>966</v>
      </c>
      <c r="E444" s="15" t="s">
        <v>74</v>
      </c>
      <c r="F444" s="41">
        <v>0.0</v>
      </c>
      <c r="G444" s="33">
        <v>0.0</v>
      </c>
      <c r="H444" s="33">
        <v>0.0</v>
      </c>
      <c r="I444" s="29">
        <v>0.0</v>
      </c>
      <c r="J444" s="19" t="str">
        <f t="shared" si="24"/>
        <v>sin stock</v>
      </c>
      <c r="K444" s="20" t="str">
        <f t="shared" si="23"/>
        <v>SIN STOCK / CARGAR STOCK</v>
      </c>
      <c r="L444" s="15"/>
      <c r="M444" s="20"/>
      <c r="N444" s="21">
        <v>0.0</v>
      </c>
      <c r="O444" s="22">
        <v>2.0</v>
      </c>
      <c r="P444" s="23" t="str">
        <f>IFERROR(__xludf.DUMMYFUNCTION("IFERROR(
  INDEX(
    QUERY(
      Historial!A:I,
      ""select I where B = '""&amp;A444&amp;""' order by A desc limit 1"",
      0
    ),
    1
  ),
  """"
)"),"")</f>
        <v/>
      </c>
      <c r="Q444" s="19" t="s">
        <v>63</v>
      </c>
      <c r="R444" s="24">
        <v>46211.0</v>
      </c>
      <c r="S444" s="20" t="str">
        <f>IFERROR(__xludf.DUMMYFUNCTION("IFERROR(
  INDEX(
    QUERY(
      Historial!A:G,
      ""select G where B = '""&amp;A444&amp;""' order by A desc limit 1"",
      0
    ),
    1
  ),
  """"
)"),"")</f>
        <v/>
      </c>
      <c r="T444" s="20" t="str">
        <f t="shared" si="3"/>
        <v/>
      </c>
      <c r="U444" s="20" t="str">
        <f t="shared" si="4"/>
        <v/>
      </c>
      <c r="V444" s="25">
        <v>0.0</v>
      </c>
      <c r="W444" s="26">
        <v>0.0</v>
      </c>
      <c r="X444" s="26">
        <v>0.0</v>
      </c>
      <c r="Y444" s="27"/>
      <c r="Z444" s="26">
        <v>14.0</v>
      </c>
      <c r="AA444" s="26">
        <v>0.0</v>
      </c>
      <c r="AB444" s="26">
        <v>0.0</v>
      </c>
      <c r="AC444" s="27"/>
      <c r="AD444" s="27"/>
      <c r="AE444" s="10" t="s">
        <v>38</v>
      </c>
      <c r="AF444" s="10" t="s">
        <v>44</v>
      </c>
      <c r="AG444" s="27"/>
    </row>
    <row r="445" ht="15.75" customHeight="1">
      <c r="A445" s="34" t="s">
        <v>967</v>
      </c>
      <c r="B445" s="46">
        <v>1500.0</v>
      </c>
      <c r="C445" s="47" t="s">
        <v>87</v>
      </c>
      <c r="D445" s="15" t="s">
        <v>968</v>
      </c>
      <c r="E445" s="47" t="s">
        <v>74</v>
      </c>
      <c r="F445" s="36">
        <v>3.0</v>
      </c>
      <c r="G445" s="17">
        <v>10.0</v>
      </c>
      <c r="H445" s="33">
        <v>0.0</v>
      </c>
      <c r="I445" s="29">
        <v>0.0</v>
      </c>
      <c r="J445" s="19" t="str">
        <f t="shared" si="24"/>
        <v>2da50off</v>
      </c>
      <c r="K445" s="20">
        <f t="shared" si="23"/>
        <v>1125</v>
      </c>
      <c r="L445" s="15"/>
      <c r="M445" s="20"/>
      <c r="N445" s="21">
        <v>3.0</v>
      </c>
      <c r="O445" s="22">
        <v>4.0</v>
      </c>
      <c r="P445" s="23">
        <f>IFERROR(__xludf.DUMMYFUNCTION("IFERROR(
  INDEX(
    QUERY(
      Historial!A:I,
      ""select I where B = '""&amp;A445&amp;""' order by A desc limit 1"",
      0
    ),
    1
  ),
  """"
)"),47175.0)</f>
        <v>47175</v>
      </c>
      <c r="Q445" s="19" t="s">
        <v>43</v>
      </c>
      <c r="R445" s="24">
        <v>46227.0</v>
      </c>
      <c r="S445" s="20">
        <f>IFERROR(__xludf.DUMMYFUNCTION("IFERROR(
  INDEX(
    QUERY(
      Historial!A:G,
      ""select G where B = '""&amp;A445&amp;""' order by A desc limit 1"",
      0
    ),
    1
  ),
  """"
)"),841.0)</f>
        <v>841</v>
      </c>
      <c r="T445" s="20" t="str">
        <f t="shared" si="3"/>
        <v>✅ OK</v>
      </c>
      <c r="U445" s="20" t="str">
        <f t="shared" si="4"/>
        <v/>
      </c>
      <c r="V445" s="25">
        <v>3.0</v>
      </c>
      <c r="W445" s="26">
        <v>5.0</v>
      </c>
      <c r="X445" s="26">
        <v>0.324</v>
      </c>
      <c r="Y445" s="26">
        <v>9.25925925925926</v>
      </c>
      <c r="Z445" s="26">
        <v>7.0</v>
      </c>
      <c r="AA445" s="26">
        <v>5.832</v>
      </c>
      <c r="AB445" s="26">
        <v>3.0</v>
      </c>
      <c r="AC445" s="26">
        <v>1083.0</v>
      </c>
      <c r="AD445" s="26">
        <v>9.25925925925926</v>
      </c>
      <c r="AE445" s="10" t="s">
        <v>38</v>
      </c>
      <c r="AF445" s="10" t="s">
        <v>44</v>
      </c>
      <c r="AG445" s="27"/>
    </row>
    <row r="446" ht="15.75" customHeight="1">
      <c r="A446" s="58" t="s">
        <v>969</v>
      </c>
      <c r="B446" s="21">
        <v>1500.0</v>
      </c>
      <c r="C446" s="56" t="s">
        <v>87</v>
      </c>
      <c r="D446" s="56" t="s">
        <v>970</v>
      </c>
      <c r="E446" s="56" t="s">
        <v>74</v>
      </c>
      <c r="F446" s="32">
        <v>0.0</v>
      </c>
      <c r="G446" s="33">
        <v>0.0</v>
      </c>
      <c r="H446" s="33">
        <v>0.0</v>
      </c>
      <c r="I446" s="29">
        <v>0.0</v>
      </c>
      <c r="J446" s="19" t="str">
        <f t="shared" si="24"/>
        <v>sin stock</v>
      </c>
      <c r="K446" s="20" t="str">
        <f t="shared" si="23"/>
        <v>SIN STOCK / CARGAR STOCK</v>
      </c>
      <c r="L446" s="15"/>
      <c r="M446" s="20"/>
      <c r="N446" s="21">
        <v>0.0</v>
      </c>
      <c r="O446" s="22">
        <v>2.0</v>
      </c>
      <c r="P446" s="23" t="str">
        <f>IFERROR(__xludf.DUMMYFUNCTION("IFERROR(
  INDEX(
    QUERY(
      Historial!A:I,
      ""select I where B = '""&amp;A446&amp;""' order by A desc limit 1"",
      0
    ),
    1
  ),
  """"
)"),"")</f>
        <v/>
      </c>
      <c r="Q446" s="19" t="s">
        <v>60</v>
      </c>
      <c r="R446" s="24">
        <v>46280.0</v>
      </c>
      <c r="S446" s="20" t="str">
        <f>IFERROR(__xludf.DUMMYFUNCTION("IFERROR(
  INDEX(
    QUERY(
      Historial!A:G,
      ""select G where B = '""&amp;A446&amp;""' order by A desc limit 1"",
      0
    ),
    1
  ),
  """"
)"),"")</f>
        <v/>
      </c>
      <c r="T446" s="20" t="str">
        <f t="shared" si="3"/>
        <v/>
      </c>
      <c r="U446" s="20" t="str">
        <f t="shared" si="4"/>
        <v/>
      </c>
      <c r="V446" s="25">
        <v>0.0</v>
      </c>
      <c r="W446" s="26">
        <v>0.0</v>
      </c>
      <c r="X446" s="26">
        <v>0.0</v>
      </c>
      <c r="Y446" s="27"/>
      <c r="Z446" s="26">
        <v>21.0</v>
      </c>
      <c r="AA446" s="26">
        <v>0.0</v>
      </c>
      <c r="AB446" s="26">
        <v>0.0</v>
      </c>
      <c r="AC446" s="27"/>
      <c r="AD446" s="27"/>
      <c r="AE446" s="10" t="s">
        <v>38</v>
      </c>
      <c r="AF446" s="10" t="s">
        <v>44</v>
      </c>
      <c r="AG446" s="27"/>
    </row>
    <row r="447" ht="15.75" customHeight="1">
      <c r="A447" s="34" t="s">
        <v>971</v>
      </c>
      <c r="B447" s="35">
        <v>4500.0</v>
      </c>
      <c r="C447" s="15" t="s">
        <v>334</v>
      </c>
      <c r="D447" s="15" t="s">
        <v>972</v>
      </c>
      <c r="E447" s="15"/>
      <c r="F447" s="41">
        <v>0.0</v>
      </c>
      <c r="G447" s="33">
        <v>0.0</v>
      </c>
      <c r="H447" s="33">
        <v>0.0</v>
      </c>
      <c r="I447" s="29">
        <v>0.0</v>
      </c>
      <c r="J447" s="19" t="str">
        <f t="shared" si="24"/>
        <v>sin stock</v>
      </c>
      <c r="K447" s="20" t="str">
        <f t="shared" si="23"/>
        <v>SIN STOCK / CARGAR STOCK</v>
      </c>
      <c r="L447" s="15"/>
      <c r="M447" s="20"/>
      <c r="N447" s="21">
        <v>0.0</v>
      </c>
      <c r="O447" s="22">
        <v>2.0</v>
      </c>
      <c r="P447" s="23" t="str">
        <f>IFERROR(__xludf.DUMMYFUNCTION("IFERROR(
  INDEX(
    QUERY(
      Historial!A:I,
      ""select I where B = '""&amp;A447&amp;""' order by A desc limit 1"",
      0
    ),
    1
  ),
  """"
)"),"")</f>
        <v/>
      </c>
      <c r="Q447" s="19" t="s">
        <v>48</v>
      </c>
      <c r="R447" s="24">
        <v>46326.0</v>
      </c>
      <c r="S447" s="20">
        <f>IFERROR(__xludf.DUMMYFUNCTION("IFERROR(
  INDEX(
    QUERY(
      Historial!A:G,
      ""select G where B = '""&amp;A447&amp;""' order by A desc limit 1"",
      0
    ),
    1
  ),
  """"
)"),3000.0)</f>
        <v>3000</v>
      </c>
      <c r="T447" s="20" t="str">
        <f t="shared" si="3"/>
        <v/>
      </c>
      <c r="U447" s="20" t="str">
        <f t="shared" si="4"/>
        <v/>
      </c>
      <c r="V447" s="25">
        <v>0.0</v>
      </c>
      <c r="W447" s="26">
        <v>0.0</v>
      </c>
      <c r="X447" s="26">
        <v>0.0</v>
      </c>
      <c r="Y447" s="27"/>
      <c r="Z447" s="26">
        <v>14.0</v>
      </c>
      <c r="AA447" s="26">
        <v>0.0</v>
      </c>
      <c r="AB447" s="26">
        <v>0.0</v>
      </c>
      <c r="AC447" s="27"/>
      <c r="AD447" s="27"/>
      <c r="AE447" s="10" t="s">
        <v>38</v>
      </c>
      <c r="AF447" s="10" t="s">
        <v>44</v>
      </c>
      <c r="AG447" s="27"/>
    </row>
    <row r="448" ht="15.75" customHeight="1">
      <c r="A448" s="34" t="s">
        <v>973</v>
      </c>
      <c r="B448" s="35">
        <v>3500.0</v>
      </c>
      <c r="C448" s="15" t="s">
        <v>349</v>
      </c>
      <c r="D448" s="15" t="s">
        <v>974</v>
      </c>
      <c r="E448" s="15"/>
      <c r="F448" s="41">
        <v>0.0</v>
      </c>
      <c r="G448" s="33">
        <v>0.0</v>
      </c>
      <c r="H448" s="33">
        <v>0.0</v>
      </c>
      <c r="I448" s="29">
        <v>0.0</v>
      </c>
      <c r="J448" s="19" t="str">
        <f t="shared" si="24"/>
        <v>sin stock</v>
      </c>
      <c r="K448" s="20" t="str">
        <f t="shared" si="23"/>
        <v>SIN STOCK / CARGAR STOCK</v>
      </c>
      <c r="L448" s="15"/>
      <c r="M448" s="20"/>
      <c r="N448" s="21">
        <v>0.0</v>
      </c>
      <c r="O448" s="22">
        <v>2.0</v>
      </c>
      <c r="P448" s="23" t="str">
        <f>IFERROR(__xludf.DUMMYFUNCTION("IFERROR(
  INDEX(
    QUERY(
      Historial!A:I,
      ""select I where B = '""&amp;A448&amp;""' order by A desc limit 1"",
      0
    ),
    1
  ),
  """"
)"),"")</f>
        <v/>
      </c>
      <c r="Q448" s="19" t="s">
        <v>37</v>
      </c>
      <c r="R448" s="24">
        <v>46331.0</v>
      </c>
      <c r="S448" s="20">
        <f>IFERROR(__xludf.DUMMYFUNCTION("IFERROR(
  INDEX(
    QUERY(
      Historial!A:G,
      ""select G where B = '""&amp;A448&amp;""' order by A desc limit 1"",
      0
    ),
    1
  ),
  """"
)"),1900.0)</f>
        <v>1900</v>
      </c>
      <c r="T448" s="20" t="str">
        <f t="shared" si="3"/>
        <v/>
      </c>
      <c r="U448" s="20" t="str">
        <f t="shared" si="4"/>
        <v/>
      </c>
      <c r="V448" s="25">
        <v>0.0</v>
      </c>
      <c r="W448" s="26">
        <v>0.0</v>
      </c>
      <c r="X448" s="26">
        <v>0.0</v>
      </c>
      <c r="Y448" s="27"/>
      <c r="Z448" s="26">
        <v>14.0</v>
      </c>
      <c r="AA448" s="26">
        <v>0.0</v>
      </c>
      <c r="AB448" s="26">
        <v>0.0</v>
      </c>
      <c r="AC448" s="27"/>
      <c r="AD448" s="27"/>
      <c r="AE448" s="10" t="s">
        <v>38</v>
      </c>
      <c r="AF448" s="10" t="s">
        <v>44</v>
      </c>
      <c r="AG448" s="27"/>
    </row>
    <row r="449" ht="15.75" customHeight="1">
      <c r="A449" s="34" t="s">
        <v>975</v>
      </c>
      <c r="B449" s="35">
        <v>5500.0</v>
      </c>
      <c r="C449" s="15" t="s">
        <v>349</v>
      </c>
      <c r="D449" s="15" t="s">
        <v>976</v>
      </c>
      <c r="E449" s="15"/>
      <c r="F449" s="41">
        <v>0.0</v>
      </c>
      <c r="G449" s="33">
        <v>0.0</v>
      </c>
      <c r="H449" s="33">
        <v>0.0</v>
      </c>
      <c r="I449" s="29">
        <v>0.0</v>
      </c>
      <c r="J449" s="19" t="str">
        <f t="shared" si="24"/>
        <v>sin stock</v>
      </c>
      <c r="K449" s="20" t="str">
        <f t="shared" si="23"/>
        <v>SIN STOCK / CARGAR STOCK</v>
      </c>
      <c r="L449" s="15"/>
      <c r="M449" s="20"/>
      <c r="N449" s="21">
        <v>0.0</v>
      </c>
      <c r="O449" s="22">
        <v>2.0</v>
      </c>
      <c r="P449" s="23" t="str">
        <f>IFERROR(__xludf.DUMMYFUNCTION("IFERROR(
  INDEX(
    QUERY(
      Historial!A:I,
      ""select I where B = '""&amp;A449&amp;""' order by A desc limit 1"",
      0
    ),
    1
  ),
  """"
)"),"")</f>
        <v/>
      </c>
      <c r="Q449" s="19" t="s">
        <v>43</v>
      </c>
      <c r="R449" s="24">
        <v>46332.0</v>
      </c>
      <c r="S449" s="20">
        <f>IFERROR(__xludf.DUMMYFUNCTION("IFERROR(
  INDEX(
    QUERY(
      Historial!A:G,
      ""select G where B = '""&amp;A449&amp;""' order by A desc limit 1"",
      0
    ),
    1
  ),
  """"
)"),1900.0)</f>
        <v>1900</v>
      </c>
      <c r="T449" s="20" t="str">
        <f t="shared" si="3"/>
        <v/>
      </c>
      <c r="U449" s="20" t="str">
        <f t="shared" si="4"/>
        <v/>
      </c>
      <c r="V449" s="25">
        <v>0.0</v>
      </c>
      <c r="W449" s="26">
        <v>0.0</v>
      </c>
      <c r="X449" s="26">
        <v>0.0</v>
      </c>
      <c r="Y449" s="27"/>
      <c r="Z449" s="26">
        <v>14.0</v>
      </c>
      <c r="AA449" s="26">
        <v>0.0</v>
      </c>
      <c r="AB449" s="26">
        <v>0.0</v>
      </c>
      <c r="AC449" s="27"/>
      <c r="AD449" s="27"/>
      <c r="AE449" s="10" t="s">
        <v>38</v>
      </c>
      <c r="AF449" s="10" t="s">
        <v>44</v>
      </c>
      <c r="AG449" s="27"/>
    </row>
    <row r="450" ht="15.75" customHeight="1">
      <c r="A450" s="34" t="s">
        <v>977</v>
      </c>
      <c r="B450" s="35">
        <v>3500.0</v>
      </c>
      <c r="C450" s="15" t="s">
        <v>349</v>
      </c>
      <c r="D450" s="15" t="s">
        <v>978</v>
      </c>
      <c r="E450" s="15"/>
      <c r="F450" s="41">
        <v>0.0</v>
      </c>
      <c r="G450" s="33">
        <v>6.0</v>
      </c>
      <c r="H450" s="33">
        <v>0.0</v>
      </c>
      <c r="I450" s="29">
        <v>0.0</v>
      </c>
      <c r="J450" s="19" t="str">
        <f t="shared" si="24"/>
        <v>sin stock</v>
      </c>
      <c r="K450" s="20" t="str">
        <f t="shared" si="23"/>
        <v>SIN STOCK / CARGAR STOCK</v>
      </c>
      <c r="L450" s="15"/>
      <c r="M450" s="20"/>
      <c r="N450" s="21">
        <v>0.0</v>
      </c>
      <c r="O450" s="22">
        <v>2.0</v>
      </c>
      <c r="P450" s="23" t="str">
        <f>IFERROR(__xludf.DUMMYFUNCTION("IFERROR(
  INDEX(
    QUERY(
      Historial!A:I,
      ""select I where B = '""&amp;A450&amp;""' order by A desc limit 1"",
      0
    ),
    1
  ),
  """"
)"),"")</f>
        <v/>
      </c>
      <c r="Q450" s="19" t="s">
        <v>63</v>
      </c>
      <c r="R450" s="24">
        <v>46337.0</v>
      </c>
      <c r="S450" s="20">
        <f>IFERROR(__xludf.DUMMYFUNCTION("IFERROR(
  INDEX(
    QUERY(
      Historial!A:G,
      ""select G where B = '""&amp;A450&amp;""' order by A desc limit 1"",
      0
    ),
    1
  ),
  """"
)"),1900.0)</f>
        <v>1900</v>
      </c>
      <c r="T450" s="20" t="str">
        <f t="shared" si="3"/>
        <v/>
      </c>
      <c r="U450" s="20" t="str">
        <f t="shared" si="4"/>
        <v/>
      </c>
      <c r="V450" s="25">
        <v>0.0</v>
      </c>
      <c r="W450" s="26">
        <v>0.0</v>
      </c>
      <c r="X450" s="26">
        <v>0.0</v>
      </c>
      <c r="Y450" s="27"/>
      <c r="Z450" s="26">
        <v>14.0</v>
      </c>
      <c r="AA450" s="26">
        <v>0.0</v>
      </c>
      <c r="AB450" s="26">
        <v>0.0</v>
      </c>
      <c r="AC450" s="27"/>
      <c r="AD450" s="27"/>
      <c r="AE450" s="10" t="s">
        <v>38</v>
      </c>
      <c r="AF450" s="10" t="s">
        <v>44</v>
      </c>
      <c r="AG450" s="27"/>
    </row>
    <row r="451" ht="15.75" customHeight="1">
      <c r="A451" s="34" t="s">
        <v>979</v>
      </c>
      <c r="B451" s="35">
        <v>6000.0</v>
      </c>
      <c r="C451" s="15" t="s">
        <v>349</v>
      </c>
      <c r="D451" s="15" t="s">
        <v>980</v>
      </c>
      <c r="E451" s="15" t="s">
        <v>74</v>
      </c>
      <c r="F451" s="41">
        <v>2.0</v>
      </c>
      <c r="G451" s="33">
        <v>0.0</v>
      </c>
      <c r="H451" s="33">
        <v>0.0</v>
      </c>
      <c r="I451" s="29">
        <v>0.0</v>
      </c>
      <c r="J451" s="19" t="str">
        <f t="shared" si="24"/>
        <v>sin oferta</v>
      </c>
      <c r="K451" s="20" t="str">
        <f t="shared" si="23"/>
        <v>NORMAL / SIN OFERTA</v>
      </c>
      <c r="L451" s="15"/>
      <c r="M451" s="20"/>
      <c r="N451" s="21">
        <v>0.0</v>
      </c>
      <c r="O451" s="22">
        <v>3.0</v>
      </c>
      <c r="P451" s="23" t="str">
        <f>IFERROR(__xludf.DUMMYFUNCTION("IFERROR(
  INDEX(
    QUERY(
      Historial!A:I,
      ""select I where B = '""&amp;A451&amp;""' order by A desc limit 1"",
      0
    ),
    1
  ),
  """"
)"),"")</f>
        <v/>
      </c>
      <c r="Q451" s="19" t="s">
        <v>37</v>
      </c>
      <c r="R451" s="24">
        <v>46338.0</v>
      </c>
      <c r="S451" s="20">
        <f>IFERROR(__xludf.DUMMYFUNCTION("IFERROR(
  INDEX(
    QUERY(
      Historial!A:G,
      ""select G where B = '""&amp;A451&amp;""' order by A desc limit 1"",
      0
    ),
    1
  ),
  """"
)"),1900.0)</f>
        <v>1900</v>
      </c>
      <c r="T451" s="20" t="str">
        <f t="shared" si="3"/>
        <v/>
      </c>
      <c r="U451" s="20" t="str">
        <f t="shared" si="4"/>
        <v/>
      </c>
      <c r="V451" s="25">
        <v>0.0</v>
      </c>
      <c r="W451" s="26">
        <v>0.0</v>
      </c>
      <c r="X451" s="26">
        <v>0.0</v>
      </c>
      <c r="Y451" s="27"/>
      <c r="Z451" s="26">
        <v>10.0</v>
      </c>
      <c r="AA451" s="26">
        <v>0.0</v>
      </c>
      <c r="AB451" s="26">
        <v>0.0</v>
      </c>
      <c r="AC451" s="27"/>
      <c r="AD451" s="27"/>
      <c r="AE451" s="10" t="s">
        <v>38</v>
      </c>
      <c r="AF451" s="10" t="s">
        <v>44</v>
      </c>
      <c r="AG451" s="27"/>
    </row>
    <row r="452" ht="15.75" customHeight="1">
      <c r="A452" s="34" t="s">
        <v>981</v>
      </c>
      <c r="B452" s="35">
        <v>3500.0</v>
      </c>
      <c r="C452" s="15" t="s">
        <v>349</v>
      </c>
      <c r="D452" s="15" t="s">
        <v>982</v>
      </c>
      <c r="E452" s="15"/>
      <c r="F452" s="44">
        <v>2.0</v>
      </c>
      <c r="G452" s="33">
        <v>0.0</v>
      </c>
      <c r="H452" s="33">
        <v>0.0</v>
      </c>
      <c r="I452" s="29">
        <v>0.0</v>
      </c>
      <c r="J452" s="19" t="str">
        <f t="shared" si="24"/>
        <v>sin oferta</v>
      </c>
      <c r="K452" s="20" t="str">
        <f t="shared" si="23"/>
        <v>NORMAL / SIN OFERTA</v>
      </c>
      <c r="L452" s="15"/>
      <c r="M452" s="20"/>
      <c r="N452" s="21">
        <v>0.0</v>
      </c>
      <c r="O452" s="22">
        <v>3.0</v>
      </c>
      <c r="P452" s="23" t="str">
        <f>IFERROR(__xludf.DUMMYFUNCTION("IFERROR(
  INDEX(
    QUERY(
      Historial!A:I,
      ""select I where B = '""&amp;A452&amp;""' order by A desc limit 1"",
      0
    ),
    1
  ),
  """"
)"),"")</f>
        <v/>
      </c>
      <c r="Q452" s="19" t="s">
        <v>60</v>
      </c>
      <c r="R452" s="24">
        <v>46343.0</v>
      </c>
      <c r="S452" s="20" t="str">
        <f>IFERROR(__xludf.DUMMYFUNCTION("IFERROR(
  INDEX(
    QUERY(
      Historial!A:G,
      ""select G where B = '""&amp;A452&amp;""' order by A desc limit 1"",
      0
    ),
    1
  ),
  """"
)"),"")</f>
        <v/>
      </c>
      <c r="T452" s="20" t="str">
        <f t="shared" si="3"/>
        <v/>
      </c>
      <c r="U452" s="20" t="str">
        <f t="shared" si="4"/>
        <v/>
      </c>
      <c r="V452" s="25">
        <v>0.0</v>
      </c>
      <c r="W452" s="26">
        <v>0.0</v>
      </c>
      <c r="X452" s="26">
        <v>0.0</v>
      </c>
      <c r="Y452" s="27"/>
      <c r="Z452" s="26">
        <v>10.0</v>
      </c>
      <c r="AA452" s="26">
        <v>0.0</v>
      </c>
      <c r="AB452" s="26">
        <v>0.0</v>
      </c>
      <c r="AC452" s="27"/>
      <c r="AD452" s="27"/>
      <c r="AE452" s="10" t="s">
        <v>38</v>
      </c>
      <c r="AF452" s="10" t="s">
        <v>44</v>
      </c>
      <c r="AG452" s="27"/>
    </row>
    <row r="453" ht="15.75" customHeight="1">
      <c r="A453" s="34" t="s">
        <v>983</v>
      </c>
      <c r="B453" s="35">
        <v>2200.0</v>
      </c>
      <c r="C453" s="15" t="s">
        <v>364</v>
      </c>
      <c r="D453" s="15" t="s">
        <v>984</v>
      </c>
      <c r="E453" s="15"/>
      <c r="F453" s="41">
        <v>0.0</v>
      </c>
      <c r="G453" s="33">
        <v>0.0</v>
      </c>
      <c r="H453" s="33">
        <v>0.0</v>
      </c>
      <c r="I453" s="29">
        <v>0.0</v>
      </c>
      <c r="J453" s="19" t="str">
        <f t="shared" si="24"/>
        <v>sin stock</v>
      </c>
      <c r="K453" s="20" t="str">
        <f t="shared" si="23"/>
        <v>SIN STOCK / CARGAR STOCK</v>
      </c>
      <c r="L453" s="15"/>
      <c r="M453" s="20"/>
      <c r="N453" s="21">
        <v>0.0</v>
      </c>
      <c r="O453" s="22">
        <v>2.0</v>
      </c>
      <c r="P453" s="23" t="str">
        <f>IFERROR(__xludf.DUMMYFUNCTION("IFERROR(
  INDEX(
    QUERY(
      Historial!A:I,
      ""select I where B = '""&amp;A453&amp;""' order by A desc limit 1"",
      0
    ),
    1
  ),
  """"
)"),"")</f>
        <v/>
      </c>
      <c r="Q453" s="19" t="s">
        <v>48</v>
      </c>
      <c r="R453" s="24">
        <v>46354.0</v>
      </c>
      <c r="S453" s="20">
        <f>IFERROR(__xludf.DUMMYFUNCTION("IFERROR(
  INDEX(
    QUERY(
      Historial!A:G,
      ""select G where B = '""&amp;A453&amp;""' order by A desc limit 1"",
      0
    ),
    1
  ),
  """"
)"),1200.0)</f>
        <v>1200</v>
      </c>
      <c r="T453" s="20" t="str">
        <f t="shared" si="3"/>
        <v/>
      </c>
      <c r="U453" s="20" t="str">
        <f t="shared" si="4"/>
        <v/>
      </c>
      <c r="V453" s="25">
        <v>0.0</v>
      </c>
      <c r="W453" s="26">
        <v>0.0</v>
      </c>
      <c r="X453" s="26">
        <v>0.0</v>
      </c>
      <c r="Y453" s="27"/>
      <c r="Z453" s="26">
        <v>14.0</v>
      </c>
      <c r="AA453" s="26">
        <v>0.0</v>
      </c>
      <c r="AB453" s="26">
        <v>0.0</v>
      </c>
      <c r="AC453" s="27"/>
      <c r="AD453" s="27"/>
      <c r="AE453" s="10" t="s">
        <v>38</v>
      </c>
      <c r="AF453" s="10" t="s">
        <v>44</v>
      </c>
      <c r="AG453" s="27"/>
    </row>
    <row r="454" ht="15.75" customHeight="1">
      <c r="A454" s="34" t="s">
        <v>985</v>
      </c>
      <c r="B454" s="33">
        <v>2000.0</v>
      </c>
      <c r="C454" s="15" t="s">
        <v>986</v>
      </c>
      <c r="D454" s="15" t="s">
        <v>987</v>
      </c>
      <c r="E454" s="15"/>
      <c r="F454" s="41">
        <v>2.0</v>
      </c>
      <c r="G454" s="33">
        <v>0.0</v>
      </c>
      <c r="H454" s="33">
        <v>0.0</v>
      </c>
      <c r="I454" s="29">
        <v>0.0</v>
      </c>
      <c r="J454" s="19" t="str">
        <f t="shared" si="24"/>
        <v>sin oferta</v>
      </c>
      <c r="K454" s="20" t="str">
        <f t="shared" si="23"/>
        <v>NORMAL / SIN OFERTA</v>
      </c>
      <c r="L454" s="15"/>
      <c r="M454" s="20"/>
      <c r="N454" s="21">
        <v>0.0</v>
      </c>
      <c r="O454" s="22">
        <v>3.0</v>
      </c>
      <c r="P454" s="23" t="str">
        <f>IFERROR(__xludf.DUMMYFUNCTION("IFERROR(
  INDEX(
    QUERY(
      Historial!A:I,
      ""select I where B = '""&amp;A454&amp;""' order by A desc limit 1"",
      0
    ),
    1
  ),
  """"
)"),"")</f>
        <v/>
      </c>
      <c r="Q454" s="19" t="s">
        <v>48</v>
      </c>
      <c r="R454" s="24">
        <v>46375.0</v>
      </c>
      <c r="S454" s="20" t="str">
        <f>IFERROR(__xludf.DUMMYFUNCTION("IFERROR(
  INDEX(
    QUERY(
      Historial!A:G,
      ""select G where B = '""&amp;A454&amp;""' order by A desc limit 1"",
      0
    ),
    1
  ),
  """"
)"),"")</f>
        <v/>
      </c>
      <c r="T454" s="20" t="str">
        <f t="shared" si="3"/>
        <v/>
      </c>
      <c r="U454" s="20" t="str">
        <f t="shared" si="4"/>
        <v/>
      </c>
      <c r="V454" s="25">
        <v>0.0</v>
      </c>
      <c r="W454" s="26">
        <v>0.0</v>
      </c>
      <c r="X454" s="26">
        <v>0.0</v>
      </c>
      <c r="Y454" s="27"/>
      <c r="Z454" s="26">
        <v>10.0</v>
      </c>
      <c r="AA454" s="26">
        <v>0.0</v>
      </c>
      <c r="AB454" s="26">
        <v>0.0</v>
      </c>
      <c r="AC454" s="27"/>
      <c r="AD454" s="27"/>
      <c r="AE454" s="10" t="s">
        <v>38</v>
      </c>
      <c r="AF454" s="10" t="s">
        <v>44</v>
      </c>
      <c r="AG454" s="27"/>
    </row>
    <row r="455" ht="15.75" customHeight="1">
      <c r="A455" s="34" t="s">
        <v>988</v>
      </c>
      <c r="B455" s="46">
        <v>1400.0</v>
      </c>
      <c r="C455" s="47" t="s">
        <v>383</v>
      </c>
      <c r="D455" s="15" t="s">
        <v>989</v>
      </c>
      <c r="E455" s="47" t="s">
        <v>385</v>
      </c>
      <c r="F455" s="36">
        <v>0.0</v>
      </c>
      <c r="G455" s="33">
        <v>0.0</v>
      </c>
      <c r="H455" s="33">
        <v>0.0</v>
      </c>
      <c r="I455" s="29">
        <v>0.0</v>
      </c>
      <c r="J455" s="19" t="str">
        <f t="shared" si="24"/>
        <v>sin stock</v>
      </c>
      <c r="K455" s="20" t="str">
        <f t="shared" si="23"/>
        <v>SIN STOCK / CARGAR STOCK</v>
      </c>
      <c r="L455" s="15"/>
      <c r="M455" s="20"/>
      <c r="N455" s="21">
        <v>0.0</v>
      </c>
      <c r="O455" s="22">
        <v>2.0</v>
      </c>
      <c r="P455" s="23" t="str">
        <f>IFERROR(__xludf.DUMMYFUNCTION("IFERROR(
  INDEX(
    QUERY(
      Historial!A:I,
      ""select I where B = '""&amp;A455&amp;""' order by A desc limit 1"",
      0
    ),
    1
  ),
  """"
)"),"")</f>
        <v/>
      </c>
      <c r="Q455" s="19" t="s">
        <v>60</v>
      </c>
      <c r="R455" s="24">
        <v>46427.0</v>
      </c>
      <c r="S455" s="20">
        <f>IFERROR(__xludf.DUMMYFUNCTION("IFERROR(
  INDEX(
    QUERY(
      Historial!A:G,
      ""select G where B = '""&amp;A455&amp;""' order by A desc limit 1"",
      0
    ),
    1
  ),
  """"
)"),700.0)</f>
        <v>700</v>
      </c>
      <c r="T455" s="20" t="str">
        <f t="shared" si="3"/>
        <v/>
      </c>
      <c r="U455" s="20" t="str">
        <f t="shared" si="4"/>
        <v/>
      </c>
      <c r="V455" s="25">
        <v>0.0</v>
      </c>
      <c r="W455" s="26">
        <v>0.0</v>
      </c>
      <c r="X455" s="26">
        <v>0.0</v>
      </c>
      <c r="Y455" s="27"/>
      <c r="Z455" s="26">
        <v>14.0</v>
      </c>
      <c r="AA455" s="26">
        <v>0.0</v>
      </c>
      <c r="AB455" s="26">
        <v>0.0</v>
      </c>
      <c r="AC455" s="27"/>
      <c r="AD455" s="27"/>
      <c r="AE455" s="10" t="s">
        <v>38</v>
      </c>
      <c r="AF455" s="10" t="s">
        <v>44</v>
      </c>
      <c r="AG455" s="27"/>
    </row>
    <row r="456" ht="15.75" customHeight="1">
      <c r="A456" s="34" t="s">
        <v>990</v>
      </c>
      <c r="B456" s="46">
        <v>2100.0</v>
      </c>
      <c r="C456" s="47" t="s">
        <v>383</v>
      </c>
      <c r="D456" s="15" t="s">
        <v>991</v>
      </c>
      <c r="E456" s="47" t="s">
        <v>385</v>
      </c>
      <c r="F456" s="36">
        <v>0.5</v>
      </c>
      <c r="G456" s="33">
        <v>0.0</v>
      </c>
      <c r="H456" s="33">
        <v>0.0</v>
      </c>
      <c r="I456" s="29">
        <v>0.0</v>
      </c>
      <c r="J456" s="19" t="str">
        <f t="shared" si="24"/>
        <v>sin oferta</v>
      </c>
      <c r="K456" s="20" t="str">
        <f t="shared" si="23"/>
        <v>NORMAL / SIN OFERTA</v>
      </c>
      <c r="L456" s="15"/>
      <c r="M456" s="20"/>
      <c r="N456" s="21">
        <v>0.0</v>
      </c>
      <c r="O456" s="22">
        <v>2.0</v>
      </c>
      <c r="P456" s="23" t="str">
        <f>IFERROR(__xludf.DUMMYFUNCTION("IFERROR(
  INDEX(
    QUERY(
      Historial!A:I,
      ""select I where B = '""&amp;A456&amp;""' order by A desc limit 1"",
      0
    ),
    1
  ),
  """"
)"),"")</f>
        <v/>
      </c>
      <c r="Q456" s="19" t="s">
        <v>63</v>
      </c>
      <c r="R456" s="24">
        <v>46428.0</v>
      </c>
      <c r="S456" s="20">
        <f>IFERROR(__xludf.DUMMYFUNCTION("IFERROR(
  INDEX(
    QUERY(
      Historial!A:G,
      ""select G where B = '""&amp;A456&amp;""' order by A desc limit 1"",
      0
    ),
    1
  ),
  """"
)"),1300.0)</f>
        <v>1300</v>
      </c>
      <c r="T456" s="20" t="str">
        <f t="shared" si="3"/>
        <v/>
      </c>
      <c r="U456" s="20" t="str">
        <f t="shared" si="4"/>
        <v/>
      </c>
      <c r="V456" s="25">
        <v>0.0</v>
      </c>
      <c r="W456" s="26">
        <v>0.0</v>
      </c>
      <c r="X456" s="26">
        <v>0.0</v>
      </c>
      <c r="Y456" s="27"/>
      <c r="Z456" s="26">
        <v>14.0</v>
      </c>
      <c r="AA456" s="26">
        <v>0.0</v>
      </c>
      <c r="AB456" s="26">
        <v>0.0</v>
      </c>
      <c r="AC456" s="27"/>
      <c r="AD456" s="27"/>
      <c r="AE456" s="10" t="s">
        <v>38</v>
      </c>
      <c r="AF456" s="10" t="s">
        <v>44</v>
      </c>
      <c r="AG456" s="27"/>
    </row>
    <row r="457" ht="15.75" customHeight="1">
      <c r="A457" s="34" t="s">
        <v>992</v>
      </c>
      <c r="B457" s="35">
        <v>3500.0</v>
      </c>
      <c r="C457" s="15" t="s">
        <v>383</v>
      </c>
      <c r="D457" s="15" t="s">
        <v>993</v>
      </c>
      <c r="E457" s="15"/>
      <c r="F457" s="36">
        <v>0.286</v>
      </c>
      <c r="G457" s="15">
        <v>0.0</v>
      </c>
      <c r="H457" s="33">
        <v>0.0</v>
      </c>
      <c r="I457" s="19">
        <v>0.0</v>
      </c>
      <c r="J457" s="19" t="str">
        <f t="shared" si="24"/>
        <v>sin oferta</v>
      </c>
      <c r="K457" s="20" t="str">
        <f t="shared" si="23"/>
        <v>NORMAL / SIN OFERTA</v>
      </c>
      <c r="L457" s="20"/>
      <c r="M457" s="20"/>
      <c r="N457" s="21">
        <v>0.0</v>
      </c>
      <c r="O457" s="22">
        <v>2.0</v>
      </c>
      <c r="P457" s="23" t="str">
        <f>IFERROR(__xludf.DUMMYFUNCTION("IFERROR(
  INDEX(
    QUERY(
      Historial!A:I,
      ""select I where B = '""&amp;A457&amp;""' order by A desc limit 1"",
      0
    ),
    1
  ),
  """"
)"),"")</f>
        <v/>
      </c>
      <c r="Q457" s="19" t="s">
        <v>48</v>
      </c>
      <c r="R457" s="24">
        <v>46431.0</v>
      </c>
      <c r="S457" s="20" t="str">
        <f>IFERROR(__xludf.DUMMYFUNCTION("IFERROR(
  INDEX(
    QUERY(
      Historial!A:G,
      ""select G where B = '""&amp;A457&amp;""' order by A desc limit 1"",
      0
    ),
    1
  ),
  """"
)"),"")</f>
        <v/>
      </c>
      <c r="T457" s="20" t="str">
        <f t="shared" si="3"/>
        <v/>
      </c>
      <c r="U457" s="20" t="str">
        <f t="shared" si="4"/>
        <v/>
      </c>
      <c r="V457" s="25">
        <v>0.0</v>
      </c>
      <c r="W457" s="26">
        <v>0.0</v>
      </c>
      <c r="X457" s="26">
        <v>0.0</v>
      </c>
      <c r="Y457" s="27"/>
      <c r="Z457" s="26">
        <v>14.0</v>
      </c>
      <c r="AA457" s="26">
        <v>0.0</v>
      </c>
      <c r="AB457" s="26">
        <v>0.0</v>
      </c>
      <c r="AC457" s="27"/>
      <c r="AD457" s="27"/>
      <c r="AE457" s="10" t="s">
        <v>38</v>
      </c>
      <c r="AF457" s="10" t="s">
        <v>44</v>
      </c>
      <c r="AG457" s="27"/>
    </row>
    <row r="458" ht="15.75" customHeight="1">
      <c r="A458" s="34" t="s">
        <v>994</v>
      </c>
      <c r="B458" s="35">
        <v>3000.0</v>
      </c>
      <c r="C458" s="15" t="s">
        <v>383</v>
      </c>
      <c r="D458" s="15" t="s">
        <v>995</v>
      </c>
      <c r="E458" s="15"/>
      <c r="F458" s="41">
        <v>2.0</v>
      </c>
      <c r="G458" s="33">
        <v>0.0</v>
      </c>
      <c r="H458" s="33">
        <v>0.0</v>
      </c>
      <c r="I458" s="29">
        <v>0.0</v>
      </c>
      <c r="J458" s="19" t="str">
        <f t="shared" si="24"/>
        <v>sin oferta</v>
      </c>
      <c r="K458" s="20" t="str">
        <f t="shared" si="23"/>
        <v>NORMAL / SIN OFERTA</v>
      </c>
      <c r="L458" s="15"/>
      <c r="M458" s="20"/>
      <c r="N458" s="21">
        <v>0.0</v>
      </c>
      <c r="O458" s="22">
        <v>3.0</v>
      </c>
      <c r="P458" s="23" t="str">
        <f>IFERROR(__xludf.DUMMYFUNCTION("IFERROR(
  INDEX(
    QUERY(
      Historial!A:I,
      ""select I where B = '""&amp;A458&amp;""' order by A desc limit 1"",
      0
    ),
    1
  ),
  """"
)"),"")</f>
        <v/>
      </c>
      <c r="Q458" s="19" t="s">
        <v>43</v>
      </c>
      <c r="R458" s="24">
        <v>46437.0</v>
      </c>
      <c r="S458" s="20" t="str">
        <f>IFERROR(__xludf.DUMMYFUNCTION("IFERROR(
  INDEX(
    QUERY(
      Historial!A:G,
      ""select G where B = '""&amp;A458&amp;""' order by A desc limit 1"",
      0
    ),
    1
  ),
  """"
)"),"")</f>
        <v/>
      </c>
      <c r="T458" s="20" t="str">
        <f t="shared" si="3"/>
        <v/>
      </c>
      <c r="U458" s="20" t="str">
        <f t="shared" si="4"/>
        <v/>
      </c>
      <c r="V458" s="25">
        <v>0.0</v>
      </c>
      <c r="W458" s="26">
        <v>0.0</v>
      </c>
      <c r="X458" s="26">
        <v>0.0</v>
      </c>
      <c r="Y458" s="27"/>
      <c r="Z458" s="26">
        <v>10.0</v>
      </c>
      <c r="AA458" s="26">
        <v>0.0</v>
      </c>
      <c r="AB458" s="26">
        <v>0.0</v>
      </c>
      <c r="AC458" s="27"/>
      <c r="AD458" s="27"/>
      <c r="AE458" s="10" t="s">
        <v>38</v>
      </c>
      <c r="AF458" s="10" t="s">
        <v>44</v>
      </c>
      <c r="AG458" s="27"/>
    </row>
    <row r="459" ht="15.75" customHeight="1">
      <c r="A459" s="31" t="s">
        <v>996</v>
      </c>
      <c r="B459" s="35">
        <v>2000.0</v>
      </c>
      <c r="C459" s="15" t="s">
        <v>403</v>
      </c>
      <c r="D459" s="15" t="s">
        <v>997</v>
      </c>
      <c r="E459" s="15" t="s">
        <v>74</v>
      </c>
      <c r="F459" s="39">
        <v>0.0</v>
      </c>
      <c r="G459" s="40">
        <v>0.0</v>
      </c>
      <c r="H459" s="40">
        <v>0.0</v>
      </c>
      <c r="I459" s="40">
        <v>0.0</v>
      </c>
      <c r="J459" s="19" t="str">
        <f t="shared" si="24"/>
        <v>sin stock</v>
      </c>
      <c r="K459" s="20" t="str">
        <f t="shared" si="23"/>
        <v>SIN STOCK / CARGAR STOCK</v>
      </c>
      <c r="L459" s="20">
        <v>0.0</v>
      </c>
      <c r="M459" s="20">
        <v>0.0</v>
      </c>
      <c r="N459" s="21">
        <v>0.0</v>
      </c>
      <c r="O459" s="22">
        <v>2.0</v>
      </c>
      <c r="P459" s="23" t="str">
        <f>IFERROR(__xludf.DUMMYFUNCTION("IFERROR(
  INDEX(
    QUERY(
      Historial!A:I,
      ""select I where B = '""&amp;A459&amp;""' order by A desc limit 1"",
      0
    ),
    1
  ),
  """"
)"),"")</f>
        <v/>
      </c>
      <c r="Q459" s="19" t="s">
        <v>57</v>
      </c>
      <c r="R459" s="24">
        <v>46454.0</v>
      </c>
      <c r="S459" s="20">
        <f>IFERROR(__xludf.DUMMYFUNCTION("IFERROR(
  INDEX(
    QUERY(
      Historial!A:G,
      ""select G where B = '""&amp;A459&amp;""' order by A desc limit 1"",
      0
    ),
    1
  ),
  """"
)"),1300.0)</f>
        <v>1300</v>
      </c>
      <c r="T459" s="20" t="str">
        <f t="shared" si="3"/>
        <v/>
      </c>
      <c r="U459" s="20" t="str">
        <f t="shared" si="4"/>
        <v/>
      </c>
      <c r="V459" s="25">
        <v>0.0</v>
      </c>
      <c r="W459" s="26">
        <v>0.0</v>
      </c>
      <c r="X459" s="26">
        <v>0.0</v>
      </c>
      <c r="Y459" s="27"/>
      <c r="Z459" s="26">
        <v>14.0</v>
      </c>
      <c r="AA459" s="26">
        <v>0.0</v>
      </c>
      <c r="AB459" s="26">
        <v>0.0</v>
      </c>
      <c r="AC459" s="27"/>
      <c r="AD459" s="27"/>
      <c r="AE459" s="10" t="s">
        <v>38</v>
      </c>
      <c r="AF459" s="10" t="s">
        <v>44</v>
      </c>
      <c r="AG459" s="27"/>
    </row>
    <row r="460" ht="15.75" customHeight="1">
      <c r="A460" s="34" t="s">
        <v>998</v>
      </c>
      <c r="B460" s="35">
        <v>4500.0</v>
      </c>
      <c r="C460" s="15" t="s">
        <v>458</v>
      </c>
      <c r="D460" s="15" t="s">
        <v>999</v>
      </c>
      <c r="E460" s="15" t="s">
        <v>480</v>
      </c>
      <c r="F460" s="36">
        <v>3.0</v>
      </c>
      <c r="G460" s="33">
        <v>0.0</v>
      </c>
      <c r="H460" s="33">
        <v>0.0</v>
      </c>
      <c r="I460" s="29">
        <v>0.0</v>
      </c>
      <c r="J460" s="19" t="str">
        <f t="shared" si="24"/>
        <v>sin oferta</v>
      </c>
      <c r="K460" s="20" t="str">
        <f t="shared" si="23"/>
        <v>NORMAL / SIN OFERTA</v>
      </c>
      <c r="L460" s="15"/>
      <c r="M460" s="20"/>
      <c r="N460" s="21">
        <v>5.0</v>
      </c>
      <c r="O460" s="22">
        <v>3.0</v>
      </c>
      <c r="P460" s="23" t="str">
        <f>IFERROR(__xludf.DUMMYFUNCTION("IFERROR(
  INDEX(
    QUERY(
      Historial!A:I,
      ""select I where B = '""&amp;A460&amp;""' order by A desc limit 1"",
      0
    ),
    1
  ),
  """"
)"),"")</f>
        <v/>
      </c>
      <c r="Q460" s="19" t="s">
        <v>48</v>
      </c>
      <c r="R460" s="24">
        <v>46515.0</v>
      </c>
      <c r="S460" s="20">
        <f>IFERROR(__xludf.DUMMYFUNCTION("IFERROR(
  INDEX(
    QUERY(
      Historial!A:G,
      ""select G where B = '""&amp;A460&amp;""' order by A desc limit 1"",
      0
    ),
    1
  ),
  """"
)"),2500.0)</f>
        <v>2500</v>
      </c>
      <c r="T460" s="20" t="str">
        <f t="shared" si="3"/>
        <v/>
      </c>
      <c r="U460" s="20" t="str">
        <f t="shared" si="4"/>
        <v/>
      </c>
      <c r="V460" s="25">
        <v>4.0</v>
      </c>
      <c r="W460" s="26">
        <v>6.0</v>
      </c>
      <c r="X460" s="26">
        <v>0.423</v>
      </c>
      <c r="Y460" s="26">
        <v>7.092198581560284</v>
      </c>
      <c r="Z460" s="26">
        <v>10.0</v>
      </c>
      <c r="AA460" s="26">
        <v>5.922</v>
      </c>
      <c r="AB460" s="26">
        <v>3.0</v>
      </c>
      <c r="AC460" s="27"/>
      <c r="AD460" s="26">
        <v>7.092198581560284</v>
      </c>
      <c r="AE460" s="10" t="s">
        <v>38</v>
      </c>
      <c r="AF460" s="10" t="s">
        <v>44</v>
      </c>
      <c r="AG460" s="27"/>
    </row>
    <row r="461" ht="15.75" customHeight="1">
      <c r="A461" s="34" t="s">
        <v>1000</v>
      </c>
      <c r="B461" s="35">
        <v>3500.0</v>
      </c>
      <c r="C461" s="15" t="s">
        <v>458</v>
      </c>
      <c r="D461" s="15" t="s">
        <v>1001</v>
      </c>
      <c r="E461" s="15"/>
      <c r="F461" s="44">
        <v>0.0</v>
      </c>
      <c r="G461" s="33">
        <v>0.0</v>
      </c>
      <c r="H461" s="33">
        <v>0.0</v>
      </c>
      <c r="I461" s="29">
        <v>0.0</v>
      </c>
      <c r="J461" s="19" t="str">
        <f t="shared" si="24"/>
        <v>sin stock</v>
      </c>
      <c r="K461" s="20" t="str">
        <f t="shared" si="23"/>
        <v>SIN STOCK / CARGAR STOCK</v>
      </c>
      <c r="L461" s="15"/>
      <c r="M461" s="20"/>
      <c r="N461" s="21">
        <v>0.0</v>
      </c>
      <c r="O461" s="22">
        <v>2.0</v>
      </c>
      <c r="P461" s="23" t="str">
        <f>IFERROR(__xludf.DUMMYFUNCTION("IFERROR(
  INDEX(
    QUERY(
      Historial!A:I,
      ""select I where B = '""&amp;A461&amp;""' order by A desc limit 1"",
      0
    ),
    1
  ),
  """"
)"),"")</f>
        <v/>
      </c>
      <c r="Q461" s="19" t="s">
        <v>43</v>
      </c>
      <c r="R461" s="24">
        <v>46528.0</v>
      </c>
      <c r="S461" s="20" t="str">
        <f>IFERROR(__xludf.DUMMYFUNCTION("IFERROR(
  INDEX(
    QUERY(
      Historial!A:G,
      ""select G where B = '""&amp;A461&amp;""' order by A desc limit 1"",
      0
    ),
    1
  ),
  """"
)"),"")</f>
        <v/>
      </c>
      <c r="T461" s="20" t="str">
        <f t="shared" si="3"/>
        <v/>
      </c>
      <c r="U461" s="20" t="str">
        <f t="shared" si="4"/>
        <v/>
      </c>
      <c r="V461" s="25">
        <v>0.0</v>
      </c>
      <c r="W461" s="26">
        <v>0.0</v>
      </c>
      <c r="X461" s="26">
        <v>0.0</v>
      </c>
      <c r="Y461" s="27"/>
      <c r="Z461" s="26">
        <v>14.0</v>
      </c>
      <c r="AA461" s="26">
        <v>0.0</v>
      </c>
      <c r="AB461" s="26">
        <v>0.0</v>
      </c>
      <c r="AC461" s="27"/>
      <c r="AD461" s="27"/>
      <c r="AE461" s="10" t="s">
        <v>38</v>
      </c>
      <c r="AF461" s="10" t="s">
        <v>44</v>
      </c>
      <c r="AG461" s="27"/>
    </row>
    <row r="462" ht="15.75" customHeight="1">
      <c r="A462" s="34" t="s">
        <v>1002</v>
      </c>
      <c r="B462" s="35">
        <v>3500.0</v>
      </c>
      <c r="C462" s="15" t="s">
        <v>458</v>
      </c>
      <c r="D462" s="15" t="s">
        <v>1003</v>
      </c>
      <c r="E462" s="15"/>
      <c r="F462" s="41">
        <v>0.0</v>
      </c>
      <c r="G462" s="33">
        <v>0.0</v>
      </c>
      <c r="H462" s="33">
        <v>0.0</v>
      </c>
      <c r="I462" s="29">
        <v>1.0</v>
      </c>
      <c r="J462" s="19" t="str">
        <f t="shared" si="24"/>
        <v>sin stock</v>
      </c>
      <c r="K462" s="20" t="str">
        <f t="shared" si="23"/>
        <v>SIN STOCK / CARGAR STOCK</v>
      </c>
      <c r="L462" s="15"/>
      <c r="M462" s="20"/>
      <c r="N462" s="21">
        <v>0.0</v>
      </c>
      <c r="O462" s="22">
        <v>2.0</v>
      </c>
      <c r="P462" s="23" t="str">
        <f>IFERROR(__xludf.DUMMYFUNCTION("IFERROR(
  INDEX(
    QUERY(
      Historial!A:I,
      ""select I where B = '""&amp;A462&amp;""' order by A desc limit 1"",
      0
    ),
    1
  ),
  """"
)"),"")</f>
        <v/>
      </c>
      <c r="Q462" s="19" t="s">
        <v>48</v>
      </c>
      <c r="R462" s="24">
        <v>46529.0</v>
      </c>
      <c r="S462" s="20" t="str">
        <f>IFERROR(__xludf.DUMMYFUNCTION("IFERROR(
  INDEX(
    QUERY(
      Historial!A:G,
      ""select G where B = '""&amp;A462&amp;""' order by A desc limit 1"",
      0
    ),
    1
  ),
  """"
)"),"")</f>
        <v/>
      </c>
      <c r="T462" s="20" t="str">
        <f t="shared" si="3"/>
        <v/>
      </c>
      <c r="U462" s="20" t="str">
        <f t="shared" si="4"/>
        <v/>
      </c>
      <c r="V462" s="25">
        <v>0.0</v>
      </c>
      <c r="W462" s="26">
        <v>0.0</v>
      </c>
      <c r="X462" s="26">
        <v>0.0</v>
      </c>
      <c r="Y462" s="27"/>
      <c r="Z462" s="26">
        <v>14.0</v>
      </c>
      <c r="AA462" s="26">
        <v>0.0</v>
      </c>
      <c r="AB462" s="26">
        <v>0.0</v>
      </c>
      <c r="AC462" s="27"/>
      <c r="AD462" s="27"/>
      <c r="AE462" s="10" t="s">
        <v>38</v>
      </c>
      <c r="AF462" s="10" t="s">
        <v>44</v>
      </c>
      <c r="AG462" s="27"/>
    </row>
    <row r="463" ht="15.75" customHeight="1">
      <c r="A463" s="34" t="s">
        <v>1004</v>
      </c>
      <c r="B463" s="35">
        <v>1500.0</v>
      </c>
      <c r="C463" s="15" t="s">
        <v>502</v>
      </c>
      <c r="D463" s="15" t="s">
        <v>1005</v>
      </c>
      <c r="E463" s="15"/>
      <c r="F463" s="41">
        <v>2.0</v>
      </c>
      <c r="G463" s="33">
        <v>0.0</v>
      </c>
      <c r="H463" s="33">
        <v>0.0</v>
      </c>
      <c r="I463" s="29">
        <v>0.0</v>
      </c>
      <c r="J463" s="19" t="str">
        <f t="shared" si="24"/>
        <v>sin oferta</v>
      </c>
      <c r="K463" s="20" t="str">
        <f t="shared" si="23"/>
        <v>NORMAL / SIN OFERTA</v>
      </c>
      <c r="L463" s="15"/>
      <c r="M463" s="20"/>
      <c r="N463" s="21">
        <v>0.0</v>
      </c>
      <c r="O463" s="22">
        <v>3.0</v>
      </c>
      <c r="P463" s="23" t="str">
        <f>IFERROR(__xludf.DUMMYFUNCTION("IFERROR(
  INDEX(
    QUERY(
      Historial!A:I,
      ""select I where B = '""&amp;A463&amp;""' order by A desc limit 1"",
      0
    ),
    1
  ),
  """"
)"),"")</f>
        <v/>
      </c>
      <c r="Q463" s="19" t="s">
        <v>37</v>
      </c>
      <c r="R463" s="24">
        <v>46548.0</v>
      </c>
      <c r="S463" s="20" t="str">
        <f>IFERROR(__xludf.DUMMYFUNCTION("IFERROR(
  INDEX(
    QUERY(
      Historial!A:G,
      ""select G where B = '""&amp;A463&amp;""' order by A desc limit 1"",
      0
    ),
    1
  ),
  """"
)"),"")</f>
        <v/>
      </c>
      <c r="T463" s="20" t="str">
        <f t="shared" si="3"/>
        <v/>
      </c>
      <c r="U463" s="20" t="str">
        <f t="shared" si="4"/>
        <v/>
      </c>
      <c r="V463" s="25">
        <v>0.0</v>
      </c>
      <c r="W463" s="26">
        <v>0.0</v>
      </c>
      <c r="X463" s="26">
        <v>0.0</v>
      </c>
      <c r="Y463" s="27"/>
      <c r="Z463" s="26">
        <v>10.0</v>
      </c>
      <c r="AA463" s="26">
        <v>0.0</v>
      </c>
      <c r="AB463" s="26">
        <v>0.0</v>
      </c>
      <c r="AC463" s="27"/>
      <c r="AD463" s="27"/>
      <c r="AE463" s="10" t="s">
        <v>38</v>
      </c>
      <c r="AF463" s="10" t="s">
        <v>44</v>
      </c>
      <c r="AG463" s="27"/>
    </row>
    <row r="464" ht="15.75" customHeight="1">
      <c r="A464" s="34" t="s">
        <v>1006</v>
      </c>
      <c r="B464" s="35">
        <v>3500.0</v>
      </c>
      <c r="C464" s="15" t="s">
        <v>502</v>
      </c>
      <c r="D464" s="15" t="s">
        <v>1007</v>
      </c>
      <c r="E464" s="15"/>
      <c r="F464" s="44">
        <v>2.0</v>
      </c>
      <c r="G464" s="33">
        <v>0.0</v>
      </c>
      <c r="H464" s="33">
        <v>0.0</v>
      </c>
      <c r="I464" s="29">
        <v>0.0</v>
      </c>
      <c r="J464" s="19" t="str">
        <f t="shared" si="24"/>
        <v>sin oferta</v>
      </c>
      <c r="K464" s="20" t="str">
        <f t="shared" si="23"/>
        <v>NORMAL / SIN OFERTA</v>
      </c>
      <c r="L464" s="15"/>
      <c r="M464" s="20"/>
      <c r="N464" s="21">
        <v>0.0</v>
      </c>
      <c r="O464" s="22">
        <v>3.0</v>
      </c>
      <c r="P464" s="23" t="str">
        <f>IFERROR(__xludf.DUMMYFUNCTION("IFERROR(
  INDEX(
    QUERY(
      Historial!A:I,
      ""select I where B = '""&amp;A464&amp;""' order by A desc limit 1"",
      0
    ),
    1
  ),
  """"
)"),"")</f>
        <v/>
      </c>
      <c r="Q464" s="19" t="s">
        <v>57</v>
      </c>
      <c r="R464" s="24">
        <v>46552.0</v>
      </c>
      <c r="S464" s="20" t="str">
        <f>IFERROR(__xludf.DUMMYFUNCTION("IFERROR(
  INDEX(
    QUERY(
      Historial!A:G,
      ""select G where B = '""&amp;A464&amp;""' order by A desc limit 1"",
      0
    ),
    1
  ),
  """"
)"),"")</f>
        <v/>
      </c>
      <c r="T464" s="20" t="str">
        <f t="shared" si="3"/>
        <v/>
      </c>
      <c r="U464" s="20" t="str">
        <f t="shared" si="4"/>
        <v/>
      </c>
      <c r="V464" s="25">
        <v>0.0</v>
      </c>
      <c r="W464" s="26">
        <v>0.0</v>
      </c>
      <c r="X464" s="26">
        <v>0.0</v>
      </c>
      <c r="Y464" s="27"/>
      <c r="Z464" s="26">
        <v>10.0</v>
      </c>
      <c r="AA464" s="26">
        <v>0.0</v>
      </c>
      <c r="AB464" s="26">
        <v>0.0</v>
      </c>
      <c r="AC464" s="27"/>
      <c r="AD464" s="27"/>
      <c r="AE464" s="10" t="s">
        <v>38</v>
      </c>
      <c r="AF464" s="10" t="s">
        <v>44</v>
      </c>
      <c r="AG464" s="27"/>
    </row>
    <row r="465" ht="15.75" customHeight="1">
      <c r="A465" s="34" t="s">
        <v>1008</v>
      </c>
      <c r="B465" s="35">
        <v>7000.0</v>
      </c>
      <c r="C465" s="15" t="s">
        <v>297</v>
      </c>
      <c r="D465" s="15" t="s">
        <v>1009</v>
      </c>
      <c r="E465" s="15" t="s">
        <v>74</v>
      </c>
      <c r="F465" s="41">
        <v>0.0</v>
      </c>
      <c r="G465" s="33">
        <v>0.0</v>
      </c>
      <c r="H465" s="33">
        <v>0.0</v>
      </c>
      <c r="I465" s="29">
        <v>0.0</v>
      </c>
      <c r="J465" s="19" t="str">
        <f t="shared" si="24"/>
        <v>sin stock</v>
      </c>
      <c r="K465" s="20" t="str">
        <f t="shared" si="23"/>
        <v>SIN STOCK / CARGAR STOCK</v>
      </c>
      <c r="L465" s="15"/>
      <c r="M465" s="20"/>
      <c r="N465" s="21">
        <v>0.0</v>
      </c>
      <c r="O465" s="22">
        <v>2.0</v>
      </c>
      <c r="P465" s="23">
        <f>IFERROR(__xludf.DUMMYFUNCTION("IFERROR(
  INDEX(
    QUERY(
      Historial!A:I,
      ""select I where B = '""&amp;A465&amp;""' order by A desc limit 1"",
      0
    ),
    1
  ),
  """"
)"),46096.0)</f>
        <v>46096</v>
      </c>
      <c r="Q465" s="19" t="s">
        <v>51</v>
      </c>
      <c r="R465" s="24">
        <v>46586.0</v>
      </c>
      <c r="S465" s="20" t="str">
        <f>IFERROR(__xludf.DUMMYFUNCTION("IFERROR(
  INDEX(
    QUERY(
      Historial!A:G,
      ""select G where B = '""&amp;A465&amp;""' order by A desc limit 1"",
      0
    ),
    1
  ),
  """"
)"),"")</f>
        <v/>
      </c>
      <c r="T465" s="20" t="str">
        <f t="shared" si="3"/>
        <v>⚠️ PRONTO</v>
      </c>
      <c r="U465" s="20" t="str">
        <f t="shared" si="4"/>
        <v>4 días</v>
      </c>
      <c r="V465" s="25">
        <v>0.0</v>
      </c>
      <c r="W465" s="26">
        <v>0.0</v>
      </c>
      <c r="X465" s="26">
        <v>0.0</v>
      </c>
      <c r="Y465" s="27"/>
      <c r="Z465" s="26">
        <v>14.0</v>
      </c>
      <c r="AA465" s="26">
        <v>0.0</v>
      </c>
      <c r="AB465" s="26">
        <v>0.0</v>
      </c>
      <c r="AC465" s="26">
        <v>4.0</v>
      </c>
      <c r="AD465" s="27"/>
      <c r="AE465" s="10" t="s">
        <v>38</v>
      </c>
      <c r="AF465" s="10" t="s">
        <v>44</v>
      </c>
      <c r="AG465" s="27"/>
    </row>
    <row r="466" ht="15.75" customHeight="1">
      <c r="A466" s="34" t="s">
        <v>1010</v>
      </c>
      <c r="B466" s="35">
        <v>5800.0</v>
      </c>
      <c r="C466" s="15" t="s">
        <v>582</v>
      </c>
      <c r="D466" s="15" t="s">
        <v>1011</v>
      </c>
      <c r="E466" s="15"/>
      <c r="F466" s="44">
        <v>2.0</v>
      </c>
      <c r="G466" s="33">
        <v>0.0</v>
      </c>
      <c r="H466" s="33">
        <v>0.0</v>
      </c>
      <c r="I466" s="29">
        <v>0.0</v>
      </c>
      <c r="J466" s="19" t="str">
        <f t="shared" si="24"/>
        <v>sin oferta</v>
      </c>
      <c r="K466" s="20" t="str">
        <f t="shared" si="23"/>
        <v>NORMAL / SIN OFERTA</v>
      </c>
      <c r="L466" s="15"/>
      <c r="M466" s="20"/>
      <c r="N466" s="21">
        <v>0.0</v>
      </c>
      <c r="O466" s="22">
        <v>3.0</v>
      </c>
      <c r="P466" s="23" t="str">
        <f>IFERROR(__xludf.DUMMYFUNCTION("IFERROR(
  INDEX(
    QUERY(
      Historial!A:I,
      ""select I where B = '""&amp;A466&amp;""' order by A desc limit 1"",
      0
    ),
    1
  ),
  """"
)"),"")</f>
        <v/>
      </c>
      <c r="Q466" s="19" t="s">
        <v>57</v>
      </c>
      <c r="R466" s="24">
        <v>46608.0</v>
      </c>
      <c r="S466" s="20" t="str">
        <f>IFERROR(__xludf.DUMMYFUNCTION("IFERROR(
  INDEX(
    QUERY(
      Historial!A:G,
      ""select G where B = '""&amp;A466&amp;""' order by A desc limit 1"",
      0
    ),
    1
  ),
  """"
)"),"")</f>
        <v/>
      </c>
      <c r="T466" s="20" t="str">
        <f t="shared" si="3"/>
        <v/>
      </c>
      <c r="U466" s="20" t="str">
        <f t="shared" si="4"/>
        <v/>
      </c>
      <c r="V466" s="25">
        <v>0.0</v>
      </c>
      <c r="W466" s="26">
        <v>0.0</v>
      </c>
      <c r="X466" s="26">
        <v>0.0</v>
      </c>
      <c r="Y466" s="27"/>
      <c r="Z466" s="26">
        <v>10.0</v>
      </c>
      <c r="AA466" s="26">
        <v>0.0</v>
      </c>
      <c r="AB466" s="26">
        <v>0.0</v>
      </c>
      <c r="AC466" s="27"/>
      <c r="AD466" s="27"/>
      <c r="AE466" s="10" t="s">
        <v>38</v>
      </c>
      <c r="AF466" s="10" t="s">
        <v>44</v>
      </c>
      <c r="AG466" s="27"/>
    </row>
    <row r="467" ht="15.75" customHeight="1">
      <c r="A467" s="34" t="s">
        <v>1012</v>
      </c>
      <c r="B467" s="35">
        <v>3000.0</v>
      </c>
      <c r="C467" s="15" t="s">
        <v>582</v>
      </c>
      <c r="D467" s="15" t="s">
        <v>1013</v>
      </c>
      <c r="E467" s="15"/>
      <c r="F467" s="44">
        <v>2.0</v>
      </c>
      <c r="G467" s="33">
        <v>0.0</v>
      </c>
      <c r="H467" s="33">
        <v>0.0</v>
      </c>
      <c r="I467" s="29">
        <v>0.0</v>
      </c>
      <c r="J467" s="19" t="str">
        <f t="shared" si="24"/>
        <v>sin oferta</v>
      </c>
      <c r="K467" s="20" t="str">
        <f t="shared" si="23"/>
        <v>NORMAL / SIN OFERTA</v>
      </c>
      <c r="L467" s="15"/>
      <c r="M467" s="20"/>
      <c r="N467" s="21">
        <v>0.0</v>
      </c>
      <c r="O467" s="22">
        <v>3.0</v>
      </c>
      <c r="P467" s="23" t="str">
        <f>IFERROR(__xludf.DUMMYFUNCTION("IFERROR(
  INDEX(
    QUERY(
      Historial!A:I,
      ""select I where B = '""&amp;A467&amp;""' order by A desc limit 1"",
      0
    ),
    1
  ),
  """"
)"),"")</f>
        <v/>
      </c>
      <c r="Q467" s="19" t="s">
        <v>37</v>
      </c>
      <c r="R467" s="24">
        <v>46611.0</v>
      </c>
      <c r="S467" s="20" t="str">
        <f>IFERROR(__xludf.DUMMYFUNCTION("IFERROR(
  INDEX(
    QUERY(
      Historial!A:G,
      ""select G where B = '""&amp;A467&amp;""' order by A desc limit 1"",
      0
    ),
    1
  ),
  """"
)"),"")</f>
        <v/>
      </c>
      <c r="T467" s="20" t="str">
        <f t="shared" si="3"/>
        <v/>
      </c>
      <c r="U467" s="20" t="str">
        <f t="shared" si="4"/>
        <v/>
      </c>
      <c r="V467" s="25">
        <v>0.0</v>
      </c>
      <c r="W467" s="26">
        <v>0.0</v>
      </c>
      <c r="X467" s="26">
        <v>0.0</v>
      </c>
      <c r="Y467" s="27"/>
      <c r="Z467" s="26">
        <v>10.0</v>
      </c>
      <c r="AA467" s="26">
        <v>0.0</v>
      </c>
      <c r="AB467" s="26">
        <v>0.0</v>
      </c>
      <c r="AC467" s="27"/>
      <c r="AD467" s="27"/>
      <c r="AE467" s="10" t="s">
        <v>38</v>
      </c>
      <c r="AF467" s="10" t="s">
        <v>44</v>
      </c>
      <c r="AG467" s="27"/>
    </row>
    <row r="468" ht="15.75" customHeight="1">
      <c r="A468" s="34" t="s">
        <v>1014</v>
      </c>
      <c r="B468" s="29">
        <v>6000.0</v>
      </c>
      <c r="C468" s="19" t="s">
        <v>582</v>
      </c>
      <c r="D468" s="15" t="s">
        <v>1015</v>
      </c>
      <c r="E468" s="19"/>
      <c r="F468" s="30">
        <v>2.0</v>
      </c>
      <c r="G468" s="33">
        <v>0.0</v>
      </c>
      <c r="H468" s="33">
        <v>0.0</v>
      </c>
      <c r="I468" s="29">
        <v>0.0</v>
      </c>
      <c r="J468" s="19" t="str">
        <f t="shared" si="24"/>
        <v>sin oferta</v>
      </c>
      <c r="K468" s="20" t="str">
        <f t="shared" si="23"/>
        <v>NORMAL / SIN OFERTA</v>
      </c>
      <c r="L468" s="15"/>
      <c r="M468" s="20"/>
      <c r="N468" s="21">
        <v>0.0</v>
      </c>
      <c r="O468" s="22">
        <v>3.0</v>
      </c>
      <c r="P468" s="23" t="str">
        <f>IFERROR(__xludf.DUMMYFUNCTION("IFERROR(
  INDEX(
    QUERY(
      Historial!A:I,
      ""select I where B = '""&amp;A468&amp;""' order by A desc limit 1"",
      0
    ),
    1
  ),
  """"
)"),"")</f>
        <v/>
      </c>
      <c r="Q468" s="19" t="s">
        <v>60</v>
      </c>
      <c r="R468" s="24">
        <v>46623.0</v>
      </c>
      <c r="S468" s="20" t="str">
        <f>IFERROR(__xludf.DUMMYFUNCTION("IFERROR(
  INDEX(
    QUERY(
      Historial!A:G,
      ""select G where B = '""&amp;A468&amp;""' order by A desc limit 1"",
      0
    ),
    1
  ),
  """"
)"),"")</f>
        <v/>
      </c>
      <c r="T468" s="20" t="str">
        <f t="shared" si="3"/>
        <v/>
      </c>
      <c r="U468" s="20" t="str">
        <f t="shared" si="4"/>
        <v/>
      </c>
      <c r="V468" s="25">
        <v>0.0</v>
      </c>
      <c r="W468" s="26">
        <v>0.0</v>
      </c>
      <c r="X468" s="26">
        <v>0.0</v>
      </c>
      <c r="Y468" s="27"/>
      <c r="Z468" s="26">
        <v>10.0</v>
      </c>
      <c r="AA468" s="26">
        <v>0.0</v>
      </c>
      <c r="AB468" s="26">
        <v>0.0</v>
      </c>
      <c r="AC468" s="27"/>
      <c r="AD468" s="27"/>
      <c r="AE468" s="10" t="s">
        <v>38</v>
      </c>
      <c r="AF468" s="10" t="s">
        <v>44</v>
      </c>
      <c r="AG468" s="27"/>
    </row>
    <row r="469" ht="15.75" customHeight="1">
      <c r="A469" s="34" t="s">
        <v>1016</v>
      </c>
      <c r="B469" s="35">
        <v>4500.0</v>
      </c>
      <c r="C469" s="15" t="s">
        <v>605</v>
      </c>
      <c r="D469" s="15" t="s">
        <v>1017</v>
      </c>
      <c r="E469" s="15"/>
      <c r="F469" s="41">
        <v>2.0</v>
      </c>
      <c r="G469" s="33">
        <v>0.0</v>
      </c>
      <c r="H469" s="33">
        <v>0.0</v>
      </c>
      <c r="I469" s="29">
        <v>0.0</v>
      </c>
      <c r="J469" s="19" t="str">
        <f t="shared" si="24"/>
        <v>sin oferta</v>
      </c>
      <c r="K469" s="20" t="str">
        <f t="shared" si="23"/>
        <v>NORMAL / SIN OFERTA</v>
      </c>
      <c r="L469" s="15"/>
      <c r="M469" s="20"/>
      <c r="N469" s="21">
        <v>0.0</v>
      </c>
      <c r="O469" s="22">
        <v>3.0</v>
      </c>
      <c r="P469" s="23" t="str">
        <f>IFERROR(__xludf.DUMMYFUNCTION("IFERROR(
  INDEX(
    QUERY(
      Historial!A:I,
      ""select I where B = '""&amp;A469&amp;""' order by A desc limit 1"",
      0
    ),
    1
  ),
  """"
)"),"")</f>
        <v/>
      </c>
      <c r="Q469" s="19" t="s">
        <v>51</v>
      </c>
      <c r="R469" s="24">
        <v>46635.0</v>
      </c>
      <c r="S469" s="20" t="str">
        <f>IFERROR(__xludf.DUMMYFUNCTION("IFERROR(
  INDEX(
    QUERY(
      Historial!A:G,
      ""select G where B = '""&amp;A469&amp;""' order by A desc limit 1"",
      0
    ),
    1
  ),
  """"
)"),"")</f>
        <v/>
      </c>
      <c r="T469" s="20" t="str">
        <f t="shared" si="3"/>
        <v/>
      </c>
      <c r="U469" s="20" t="str">
        <f t="shared" si="4"/>
        <v/>
      </c>
      <c r="V469" s="25">
        <v>0.0</v>
      </c>
      <c r="W469" s="26">
        <v>0.0</v>
      </c>
      <c r="X469" s="26">
        <v>0.0</v>
      </c>
      <c r="Y469" s="27"/>
      <c r="Z469" s="26">
        <v>10.0</v>
      </c>
      <c r="AA469" s="26">
        <v>0.0</v>
      </c>
      <c r="AB469" s="26">
        <v>0.0</v>
      </c>
      <c r="AC469" s="27"/>
      <c r="AD469" s="27"/>
      <c r="AE469" s="10" t="s">
        <v>38</v>
      </c>
      <c r="AF469" s="10" t="s">
        <v>44</v>
      </c>
      <c r="AG469" s="27"/>
    </row>
    <row r="470" ht="15.75" customHeight="1">
      <c r="A470" s="34" t="s">
        <v>1018</v>
      </c>
      <c r="B470" s="35">
        <v>15999.0</v>
      </c>
      <c r="C470" s="15" t="s">
        <v>1019</v>
      </c>
      <c r="D470" s="15" t="s">
        <v>1020</v>
      </c>
      <c r="E470" s="15"/>
      <c r="F470" s="42">
        <v>0.0</v>
      </c>
      <c r="G470" s="33">
        <v>0.0</v>
      </c>
      <c r="H470" s="33">
        <v>0.0</v>
      </c>
      <c r="I470" s="29">
        <v>0.0</v>
      </c>
      <c r="J470" s="19" t="str">
        <f t="shared" si="24"/>
        <v>sin stock</v>
      </c>
      <c r="K470" s="20" t="str">
        <f t="shared" si="23"/>
        <v>SIN STOCK / CARGAR STOCK</v>
      </c>
      <c r="L470" s="15">
        <v>17000.0</v>
      </c>
      <c r="M470" s="20"/>
      <c r="N470" s="21">
        <v>0.0</v>
      </c>
      <c r="O470" s="22">
        <v>2.0</v>
      </c>
      <c r="P470" s="23" t="str">
        <f>IFERROR(__xludf.DUMMYFUNCTION("IFERROR(
  INDEX(
    QUERY(
      Historial!A:I,
      ""select I where B = '""&amp;A470&amp;""' order by A desc limit 1"",
      0
    ),
    1
  ),
  """"
)"),"")</f>
        <v/>
      </c>
      <c r="Q470" s="19" t="s">
        <v>60</v>
      </c>
      <c r="R470" s="24">
        <v>46651.0</v>
      </c>
      <c r="S470" s="20">
        <f>IFERROR(__xludf.DUMMYFUNCTION("IFERROR(
  INDEX(
    QUERY(
      Historial!A:G,
      ""select G where B = '""&amp;A470&amp;""' order by A desc limit 1"",
      0
    ),
    1
  ),
  """"
)"),10600.0)</f>
        <v>10600</v>
      </c>
      <c r="T470" s="20" t="str">
        <f t="shared" si="3"/>
        <v/>
      </c>
      <c r="U470" s="20" t="str">
        <f t="shared" si="4"/>
        <v/>
      </c>
      <c r="V470" s="25">
        <v>0.0</v>
      </c>
      <c r="W470" s="26">
        <v>0.0</v>
      </c>
      <c r="X470" s="26">
        <v>0.0</v>
      </c>
      <c r="Y470" s="27"/>
      <c r="Z470" s="26">
        <v>14.0</v>
      </c>
      <c r="AA470" s="26">
        <v>0.0</v>
      </c>
      <c r="AB470" s="26">
        <v>0.0</v>
      </c>
      <c r="AC470" s="27"/>
      <c r="AD470" s="27"/>
      <c r="AE470" s="10" t="s">
        <v>38</v>
      </c>
      <c r="AF470" s="10" t="s">
        <v>44</v>
      </c>
      <c r="AG470" s="10">
        <v>2.0</v>
      </c>
      <c r="AH470" s="11" t="s">
        <v>1021</v>
      </c>
    </row>
    <row r="471" ht="15.75" customHeight="1">
      <c r="A471" s="31" t="s">
        <v>1022</v>
      </c>
      <c r="B471" s="20">
        <v>3000.0</v>
      </c>
      <c r="C471" s="20" t="s">
        <v>625</v>
      </c>
      <c r="D471" s="15" t="s">
        <v>1023</v>
      </c>
      <c r="E471" s="15"/>
      <c r="F471" s="41">
        <v>2.0</v>
      </c>
      <c r="G471" s="33">
        <v>0.0</v>
      </c>
      <c r="H471" s="33">
        <v>0.0</v>
      </c>
      <c r="I471" s="29">
        <v>0.0</v>
      </c>
      <c r="J471" s="19" t="str">
        <f t="shared" si="24"/>
        <v>sin oferta</v>
      </c>
      <c r="K471" s="20" t="str">
        <f t="shared" si="23"/>
        <v>NORMAL / SIN OFERTA</v>
      </c>
      <c r="L471" s="15">
        <v>0.0</v>
      </c>
      <c r="M471" s="20"/>
      <c r="N471" s="21">
        <v>0.0</v>
      </c>
      <c r="O471" s="22">
        <v>3.0</v>
      </c>
      <c r="P471" s="23" t="str">
        <f>IFERROR(__xludf.DUMMYFUNCTION("IFERROR(
  INDEX(
    QUERY(
      Historial!A:I,
      ""select I where B = '""&amp;A471&amp;""' order by A desc limit 1"",
      0
    ),
    1
  ),
  """"
)"),"")</f>
        <v/>
      </c>
      <c r="Q471" s="19" t="s">
        <v>51</v>
      </c>
      <c r="R471" s="24">
        <v>46656.0</v>
      </c>
      <c r="S471" s="20" t="str">
        <f>IFERROR(__xludf.DUMMYFUNCTION("IFERROR(
  INDEX(
    QUERY(
      Historial!A:G,
      ""select G where B = '""&amp;A471&amp;""' order by A desc limit 1"",
      0
    ),
    1
  ),
  """"
)"),"")</f>
        <v/>
      </c>
      <c r="T471" s="20" t="str">
        <f t="shared" si="3"/>
        <v/>
      </c>
      <c r="U471" s="20" t="str">
        <f t="shared" si="4"/>
        <v/>
      </c>
      <c r="V471" s="25">
        <v>0.0</v>
      </c>
      <c r="W471" s="26">
        <v>0.0</v>
      </c>
      <c r="X471" s="26">
        <v>0.0</v>
      </c>
      <c r="Y471" s="27"/>
      <c r="Z471" s="26">
        <v>10.0</v>
      </c>
      <c r="AA471" s="26">
        <v>0.0</v>
      </c>
      <c r="AB471" s="26">
        <v>0.0</v>
      </c>
      <c r="AC471" s="27"/>
      <c r="AD471" s="27"/>
      <c r="AE471" s="10" t="s">
        <v>38</v>
      </c>
      <c r="AF471" s="10" t="s">
        <v>44</v>
      </c>
      <c r="AG471" s="27"/>
    </row>
    <row r="472" ht="15.75" customHeight="1">
      <c r="A472" s="34" t="s">
        <v>1024</v>
      </c>
      <c r="B472" s="35">
        <v>7000.0</v>
      </c>
      <c r="C472" s="15" t="s">
        <v>638</v>
      </c>
      <c r="D472" s="15" t="s">
        <v>1025</v>
      </c>
      <c r="E472" s="15"/>
      <c r="F472" s="41">
        <v>2.0</v>
      </c>
      <c r="G472" s="33">
        <v>0.0</v>
      </c>
      <c r="H472" s="33">
        <v>0.0</v>
      </c>
      <c r="I472" s="29">
        <v>0.0</v>
      </c>
      <c r="J472" s="19" t="str">
        <f t="shared" si="24"/>
        <v>sin oferta</v>
      </c>
      <c r="K472" s="20" t="str">
        <f t="shared" si="23"/>
        <v>NORMAL / SIN OFERTA</v>
      </c>
      <c r="L472" s="15"/>
      <c r="M472" s="20"/>
      <c r="N472" s="21">
        <v>0.0</v>
      </c>
      <c r="O472" s="22">
        <v>3.0</v>
      </c>
      <c r="P472" s="23" t="str">
        <f>IFERROR(__xludf.DUMMYFUNCTION("IFERROR(
  INDEX(
    QUERY(
      Historial!A:I,
      ""select I where B = '""&amp;A472&amp;""' order by A desc limit 1"",
      0
    ),
    1
  ),
  """"
)"),"")</f>
        <v/>
      </c>
      <c r="Q472" s="19" t="s">
        <v>43</v>
      </c>
      <c r="R472" s="24">
        <v>46668.0</v>
      </c>
      <c r="S472" s="20" t="str">
        <f>IFERROR(__xludf.DUMMYFUNCTION("IFERROR(
  INDEX(
    QUERY(
      Historial!A:G,
      ""select G where B = '""&amp;A472&amp;""' order by A desc limit 1"",
      0
    ),
    1
  ),
  """"
)"),"")</f>
        <v/>
      </c>
      <c r="T472" s="20" t="str">
        <f t="shared" si="3"/>
        <v/>
      </c>
      <c r="U472" s="20" t="str">
        <f t="shared" si="4"/>
        <v/>
      </c>
      <c r="V472" s="25">
        <v>0.0</v>
      </c>
      <c r="W472" s="26">
        <v>0.0</v>
      </c>
      <c r="X472" s="26">
        <v>0.0</v>
      </c>
      <c r="Y472" s="27"/>
      <c r="Z472" s="26">
        <v>10.0</v>
      </c>
      <c r="AA472" s="26">
        <v>0.0</v>
      </c>
      <c r="AB472" s="26">
        <v>0.0</v>
      </c>
      <c r="AC472" s="27"/>
      <c r="AD472" s="27"/>
      <c r="AE472" s="10" t="s">
        <v>38</v>
      </c>
      <c r="AF472" s="10" t="s">
        <v>44</v>
      </c>
      <c r="AG472" s="27"/>
    </row>
    <row r="473" ht="15.75" customHeight="1">
      <c r="A473" s="34" t="s">
        <v>1026</v>
      </c>
      <c r="B473" s="35">
        <v>7000.0</v>
      </c>
      <c r="C473" s="15" t="s">
        <v>638</v>
      </c>
      <c r="D473" s="15" t="s">
        <v>1027</v>
      </c>
      <c r="E473" s="15"/>
      <c r="F473" s="41">
        <v>2.0</v>
      </c>
      <c r="G473" s="33">
        <v>0.0</v>
      </c>
      <c r="H473" s="33">
        <v>0.0</v>
      </c>
      <c r="I473" s="29">
        <v>0.0</v>
      </c>
      <c r="J473" s="19" t="str">
        <f t="shared" si="24"/>
        <v>sin oferta</v>
      </c>
      <c r="K473" s="20" t="str">
        <f t="shared" si="23"/>
        <v>NORMAL / SIN OFERTA</v>
      </c>
      <c r="L473" s="15"/>
      <c r="M473" s="20"/>
      <c r="N473" s="21">
        <v>0.0</v>
      </c>
      <c r="O473" s="22">
        <v>3.0</v>
      </c>
      <c r="P473" s="23" t="str">
        <f>IFERROR(__xludf.DUMMYFUNCTION("IFERROR(
  INDEX(
    QUERY(
      Historial!A:I,
      ""select I where B = '""&amp;A473&amp;""' order by A desc limit 1"",
      0
    ),
    1
  ),
  """"
)"),"")</f>
        <v/>
      </c>
      <c r="Q473" s="19" t="s">
        <v>48</v>
      </c>
      <c r="R473" s="24">
        <v>46669.0</v>
      </c>
      <c r="S473" s="20" t="str">
        <f>IFERROR(__xludf.DUMMYFUNCTION("IFERROR(
  INDEX(
    QUERY(
      Historial!A:G,
      ""select G where B = '""&amp;A473&amp;""' order by A desc limit 1"",
      0
    ),
    1
  ),
  """"
)"),"")</f>
        <v/>
      </c>
      <c r="T473" s="20" t="str">
        <f t="shared" si="3"/>
        <v/>
      </c>
      <c r="U473" s="20" t="str">
        <f t="shared" si="4"/>
        <v/>
      </c>
      <c r="V473" s="25">
        <v>0.0</v>
      </c>
      <c r="W473" s="26">
        <v>0.0</v>
      </c>
      <c r="X473" s="26">
        <v>0.0</v>
      </c>
      <c r="Y473" s="27"/>
      <c r="Z473" s="26">
        <v>10.0</v>
      </c>
      <c r="AA473" s="26">
        <v>0.0</v>
      </c>
      <c r="AB473" s="26">
        <v>0.0</v>
      </c>
      <c r="AC473" s="27"/>
      <c r="AD473" s="27"/>
      <c r="AE473" s="10" t="s">
        <v>38</v>
      </c>
      <c r="AF473" s="10" t="s">
        <v>44</v>
      </c>
      <c r="AG473" s="27"/>
    </row>
    <row r="474" ht="15.75" customHeight="1">
      <c r="A474" s="34" t="s">
        <v>1028</v>
      </c>
      <c r="B474" s="35">
        <v>7000.0</v>
      </c>
      <c r="C474" s="15" t="s">
        <v>638</v>
      </c>
      <c r="D474" s="15" t="s">
        <v>1029</v>
      </c>
      <c r="E474" s="15"/>
      <c r="F474" s="41">
        <v>2.0</v>
      </c>
      <c r="G474" s="33">
        <v>0.0</v>
      </c>
      <c r="H474" s="33">
        <v>0.0</v>
      </c>
      <c r="I474" s="29">
        <v>0.0</v>
      </c>
      <c r="J474" s="19" t="str">
        <f t="shared" si="24"/>
        <v>sin oferta</v>
      </c>
      <c r="K474" s="20" t="str">
        <f t="shared" si="23"/>
        <v>NORMAL / SIN OFERTA</v>
      </c>
      <c r="L474" s="15"/>
      <c r="M474" s="20"/>
      <c r="N474" s="21">
        <v>0.0</v>
      </c>
      <c r="O474" s="22">
        <v>3.0</v>
      </c>
      <c r="P474" s="23" t="str">
        <f>IFERROR(__xludf.DUMMYFUNCTION("IFERROR(
  INDEX(
    QUERY(
      Historial!A:I,
      ""select I where B = '""&amp;A474&amp;""' order by A desc limit 1"",
      0
    ),
    1
  ),
  """"
)"),"")</f>
        <v/>
      </c>
      <c r="Q474" s="19" t="s">
        <v>51</v>
      </c>
      <c r="R474" s="24">
        <v>46670.0</v>
      </c>
      <c r="S474" s="20" t="str">
        <f>IFERROR(__xludf.DUMMYFUNCTION("IFERROR(
  INDEX(
    QUERY(
      Historial!A:G,
      ""select G where B = '""&amp;A474&amp;""' order by A desc limit 1"",
      0
    ),
    1
  ),
  """"
)"),"")</f>
        <v/>
      </c>
      <c r="T474" s="20" t="str">
        <f t="shared" si="3"/>
        <v/>
      </c>
      <c r="U474" s="20" t="str">
        <f t="shared" si="4"/>
        <v/>
      </c>
      <c r="V474" s="25">
        <v>0.0</v>
      </c>
      <c r="W474" s="26">
        <v>0.0</v>
      </c>
      <c r="X474" s="26">
        <v>0.0</v>
      </c>
      <c r="Y474" s="27"/>
      <c r="Z474" s="26">
        <v>10.0</v>
      </c>
      <c r="AA474" s="26">
        <v>0.0</v>
      </c>
      <c r="AB474" s="26">
        <v>0.0</v>
      </c>
      <c r="AC474" s="27"/>
      <c r="AD474" s="27"/>
      <c r="AE474" s="10" t="s">
        <v>38</v>
      </c>
      <c r="AF474" s="10" t="s">
        <v>44</v>
      </c>
      <c r="AG474" s="27"/>
    </row>
    <row r="475" ht="15.75" customHeight="1">
      <c r="A475" s="34" t="s">
        <v>1030</v>
      </c>
      <c r="B475" s="35">
        <v>3000.0</v>
      </c>
      <c r="C475" s="15" t="s">
        <v>87</v>
      </c>
      <c r="D475" s="15" t="s">
        <v>1031</v>
      </c>
      <c r="E475" s="15"/>
      <c r="F475" s="41">
        <v>1.0</v>
      </c>
      <c r="G475" s="33">
        <v>0.0</v>
      </c>
      <c r="H475" s="33">
        <v>0.0</v>
      </c>
      <c r="I475" s="29">
        <v>0.0</v>
      </c>
      <c r="J475" s="19" t="str">
        <f t="shared" si="24"/>
        <v>sin oferta</v>
      </c>
      <c r="K475" s="20" t="str">
        <f t="shared" si="23"/>
        <v>NORMAL / SIN OFERTA</v>
      </c>
      <c r="L475" s="15"/>
      <c r="M475" s="20"/>
      <c r="N475" s="21">
        <v>0.0</v>
      </c>
      <c r="O475" s="22">
        <v>3.0</v>
      </c>
      <c r="P475" s="23" t="str">
        <f>IFERROR(__xludf.DUMMYFUNCTION("IFERROR(
  INDEX(
    QUERY(
      Historial!A:I,
      ""select I where B = '""&amp;A475&amp;""' order by A desc limit 1"",
      0
    ),
    1
  ),
  """"
)"),"")</f>
        <v/>
      </c>
      <c r="Q475" s="19" t="s">
        <v>63</v>
      </c>
      <c r="R475" s="24">
        <v>46141.0</v>
      </c>
      <c r="S475" s="20" t="str">
        <f>IFERROR(__xludf.DUMMYFUNCTION("IFERROR(
  INDEX(
    QUERY(
      Historial!A:G,
      ""select G where B = '""&amp;A475&amp;""' order by A desc limit 1"",
      0
    ),
    1
  ),
  """"
)"),"")</f>
        <v/>
      </c>
      <c r="T475" s="20" t="str">
        <f t="shared" si="3"/>
        <v/>
      </c>
      <c r="U475" s="20" t="str">
        <f t="shared" si="4"/>
        <v/>
      </c>
      <c r="V475" s="25">
        <v>0.0</v>
      </c>
      <c r="W475" s="26">
        <v>0.0</v>
      </c>
      <c r="X475" s="26">
        <v>0.0</v>
      </c>
      <c r="Y475" s="27"/>
      <c r="Z475" s="26">
        <v>10.0</v>
      </c>
      <c r="AA475" s="26">
        <v>0.0</v>
      </c>
      <c r="AB475" s="26">
        <v>0.0</v>
      </c>
      <c r="AC475" s="27"/>
      <c r="AD475" s="27"/>
      <c r="AE475" s="10" t="s">
        <v>38</v>
      </c>
      <c r="AF475" s="10" t="s">
        <v>44</v>
      </c>
      <c r="AG475" s="27"/>
    </row>
    <row r="476" ht="15.75" customHeight="1">
      <c r="A476" s="34" t="s">
        <v>1032</v>
      </c>
      <c r="B476" s="35">
        <v>3000.0</v>
      </c>
      <c r="C476" s="15" t="s">
        <v>87</v>
      </c>
      <c r="D476" s="15" t="s">
        <v>1033</v>
      </c>
      <c r="E476" s="15"/>
      <c r="F476" s="41">
        <v>1.0</v>
      </c>
      <c r="G476" s="33">
        <v>0.0</v>
      </c>
      <c r="H476" s="33">
        <v>0.0</v>
      </c>
      <c r="I476" s="29">
        <v>0.0</v>
      </c>
      <c r="J476" s="19" t="str">
        <f t="shared" si="24"/>
        <v>sin oferta</v>
      </c>
      <c r="K476" s="20" t="str">
        <f t="shared" si="23"/>
        <v>NORMAL / SIN OFERTA</v>
      </c>
      <c r="L476" s="15"/>
      <c r="M476" s="20"/>
      <c r="N476" s="21">
        <v>0.0</v>
      </c>
      <c r="O476" s="22">
        <v>3.0</v>
      </c>
      <c r="P476" s="23" t="str">
        <f>IFERROR(__xludf.DUMMYFUNCTION("IFERROR(
  INDEX(
    QUERY(
      Historial!A:I,
      ""select I where B = '""&amp;A476&amp;""' order by A desc limit 1"",
      0
    ),
    1
  ),
  """"
)"),"")</f>
        <v/>
      </c>
      <c r="Q476" s="19" t="s">
        <v>37</v>
      </c>
      <c r="R476" s="24">
        <v>46142.0</v>
      </c>
      <c r="S476" s="20" t="str">
        <f>IFERROR(__xludf.DUMMYFUNCTION("IFERROR(
  INDEX(
    QUERY(
      Historial!A:G,
      ""select G where B = '""&amp;A476&amp;""' order by A desc limit 1"",
      0
    ),
    1
  ),
  """"
)"),"")</f>
        <v/>
      </c>
      <c r="T476" s="20" t="str">
        <f t="shared" si="3"/>
        <v/>
      </c>
      <c r="U476" s="20" t="str">
        <f t="shared" si="4"/>
        <v/>
      </c>
      <c r="V476" s="25">
        <v>0.0</v>
      </c>
      <c r="W476" s="26">
        <v>0.0</v>
      </c>
      <c r="X476" s="26">
        <v>0.0</v>
      </c>
      <c r="Y476" s="27"/>
      <c r="Z476" s="26">
        <v>10.0</v>
      </c>
      <c r="AA476" s="26">
        <v>0.0</v>
      </c>
      <c r="AB476" s="26">
        <v>0.0</v>
      </c>
      <c r="AC476" s="27"/>
      <c r="AD476" s="27"/>
      <c r="AE476" s="10" t="s">
        <v>38</v>
      </c>
      <c r="AF476" s="10" t="s">
        <v>44</v>
      </c>
      <c r="AG476" s="27"/>
    </row>
    <row r="477" ht="15.75" customHeight="1">
      <c r="A477" s="31" t="s">
        <v>1034</v>
      </c>
      <c r="B477" s="40">
        <v>600.0</v>
      </c>
      <c r="C477" s="20" t="s">
        <v>87</v>
      </c>
      <c r="D477" s="15" t="s">
        <v>1035</v>
      </c>
      <c r="E477" s="20" t="s">
        <v>47</v>
      </c>
      <c r="F477" s="39">
        <v>1.0</v>
      </c>
      <c r="G477" s="40">
        <v>0.0</v>
      </c>
      <c r="H477" s="40">
        <v>0.0</v>
      </c>
      <c r="I477" s="40">
        <v>0.0</v>
      </c>
      <c r="J477" s="19" t="str">
        <f t="shared" si="24"/>
        <v>sin oferta</v>
      </c>
      <c r="K477" s="20" t="str">
        <f t="shared" si="23"/>
        <v>NORMAL / SIN OFERTA</v>
      </c>
      <c r="L477" s="20">
        <v>0.0</v>
      </c>
      <c r="M477" s="20">
        <v>0.0</v>
      </c>
      <c r="N477" s="21">
        <v>0.0</v>
      </c>
      <c r="O477" s="22">
        <v>3.0</v>
      </c>
      <c r="P477" s="23" t="str">
        <f>IFERROR(__xludf.DUMMYFUNCTION("IFERROR(
  INDEX(
    QUERY(
      Historial!A:I,
      ""select I where B = '""&amp;A477&amp;""' order by A desc limit 1"",
      0
    ),
    1
  ),
  """"
)"),"")</f>
        <v/>
      </c>
      <c r="Q477" s="19" t="s">
        <v>51</v>
      </c>
      <c r="R477" s="24">
        <v>46180.0</v>
      </c>
      <c r="S477" s="20" t="str">
        <f>IFERROR(__xludf.DUMMYFUNCTION("IFERROR(
  INDEX(
    QUERY(
      Historial!A:G,
      ""select G where B = '""&amp;A477&amp;""' order by A desc limit 1"",
      0
    ),
    1
  ),
  """"
)"),"")</f>
        <v/>
      </c>
      <c r="T477" s="20" t="str">
        <f t="shared" si="3"/>
        <v/>
      </c>
      <c r="U477" s="20" t="str">
        <f t="shared" si="4"/>
        <v/>
      </c>
      <c r="V477" s="25">
        <v>0.0</v>
      </c>
      <c r="W477" s="26">
        <v>0.0</v>
      </c>
      <c r="X477" s="26">
        <v>0.0</v>
      </c>
      <c r="Y477" s="27"/>
      <c r="Z477" s="26">
        <v>10.0</v>
      </c>
      <c r="AA477" s="26">
        <v>0.0</v>
      </c>
      <c r="AB477" s="26">
        <v>0.0</v>
      </c>
      <c r="AC477" s="27"/>
      <c r="AD477" s="27"/>
      <c r="AE477" s="10" t="s">
        <v>38</v>
      </c>
      <c r="AF477" s="10" t="s">
        <v>44</v>
      </c>
      <c r="AG477" s="27"/>
    </row>
    <row r="478" ht="15.75" customHeight="1">
      <c r="A478" s="31" t="s">
        <v>1036</v>
      </c>
      <c r="B478" s="40">
        <v>600.0</v>
      </c>
      <c r="C478" s="20" t="s">
        <v>87</v>
      </c>
      <c r="D478" s="15" t="s">
        <v>1037</v>
      </c>
      <c r="E478" s="20" t="s">
        <v>47</v>
      </c>
      <c r="F478" s="39">
        <v>1.0</v>
      </c>
      <c r="G478" s="40">
        <v>0.0</v>
      </c>
      <c r="H478" s="40">
        <v>0.0</v>
      </c>
      <c r="I478" s="40">
        <v>0.0</v>
      </c>
      <c r="J478" s="19" t="str">
        <f t="shared" si="24"/>
        <v>sin oferta</v>
      </c>
      <c r="K478" s="20" t="str">
        <f t="shared" si="23"/>
        <v>NORMAL / SIN OFERTA</v>
      </c>
      <c r="L478" s="20">
        <v>0.0</v>
      </c>
      <c r="M478" s="20">
        <v>0.0</v>
      </c>
      <c r="N478" s="21">
        <v>0.0</v>
      </c>
      <c r="O478" s="22">
        <v>3.0</v>
      </c>
      <c r="P478" s="23" t="str">
        <f>IFERROR(__xludf.DUMMYFUNCTION("IFERROR(
  INDEX(
    QUERY(
      Historial!A:I,
      ""select I where B = '""&amp;A478&amp;""' order by A desc limit 1"",
      0
    ),
    1
  ),
  """"
)"),"")</f>
        <v/>
      </c>
      <c r="Q478" s="19" t="s">
        <v>57</v>
      </c>
      <c r="R478" s="24">
        <v>46181.0</v>
      </c>
      <c r="S478" s="20" t="str">
        <f>IFERROR(__xludf.DUMMYFUNCTION("IFERROR(
  INDEX(
    QUERY(
      Historial!A:G,
      ""select G where B = '""&amp;A478&amp;""' order by A desc limit 1"",
      0
    ),
    1
  ),
  """"
)"),"")</f>
        <v/>
      </c>
      <c r="T478" s="20" t="str">
        <f t="shared" si="3"/>
        <v/>
      </c>
      <c r="U478" s="20" t="str">
        <f t="shared" si="4"/>
        <v/>
      </c>
      <c r="V478" s="25">
        <v>0.0</v>
      </c>
      <c r="W478" s="26">
        <v>0.0</v>
      </c>
      <c r="X478" s="26">
        <v>0.0</v>
      </c>
      <c r="Y478" s="27"/>
      <c r="Z478" s="26">
        <v>10.0</v>
      </c>
      <c r="AA478" s="26">
        <v>0.0</v>
      </c>
      <c r="AB478" s="26">
        <v>0.0</v>
      </c>
      <c r="AC478" s="27"/>
      <c r="AD478" s="27"/>
      <c r="AE478" s="10" t="s">
        <v>38</v>
      </c>
      <c r="AF478" s="10" t="s">
        <v>44</v>
      </c>
      <c r="AG478" s="27"/>
    </row>
    <row r="479" ht="15.75" customHeight="1">
      <c r="A479" s="31" t="s">
        <v>1038</v>
      </c>
      <c r="B479" s="40">
        <v>600.0</v>
      </c>
      <c r="C479" s="20" t="s">
        <v>87</v>
      </c>
      <c r="D479" s="15" t="s">
        <v>1039</v>
      </c>
      <c r="E479" s="20" t="s">
        <v>47</v>
      </c>
      <c r="F479" s="39">
        <v>1.0</v>
      </c>
      <c r="G479" s="40">
        <v>0.0</v>
      </c>
      <c r="H479" s="40">
        <v>0.0</v>
      </c>
      <c r="I479" s="40">
        <v>0.0</v>
      </c>
      <c r="J479" s="19" t="str">
        <f t="shared" si="24"/>
        <v>sin oferta</v>
      </c>
      <c r="K479" s="20" t="str">
        <f t="shared" si="23"/>
        <v>NORMAL / SIN OFERTA</v>
      </c>
      <c r="L479" s="20">
        <v>0.0</v>
      </c>
      <c r="M479" s="20">
        <v>0.0</v>
      </c>
      <c r="N479" s="21">
        <v>0.0</v>
      </c>
      <c r="O479" s="22">
        <v>3.0</v>
      </c>
      <c r="P479" s="23" t="str">
        <f>IFERROR(__xludf.DUMMYFUNCTION("IFERROR(
  INDEX(
    QUERY(
      Historial!A:I,
      ""select I where B = '""&amp;A479&amp;""' order by A desc limit 1"",
      0
    ),
    1
  ),
  """"
)"),"")</f>
        <v/>
      </c>
      <c r="Q479" s="19" t="s">
        <v>60</v>
      </c>
      <c r="R479" s="24">
        <v>46182.0</v>
      </c>
      <c r="S479" s="20" t="str">
        <f>IFERROR(__xludf.DUMMYFUNCTION("IFERROR(
  INDEX(
    QUERY(
      Historial!A:G,
      ""select G where B = '""&amp;A479&amp;""' order by A desc limit 1"",
      0
    ),
    1
  ),
  """"
)"),"")</f>
        <v/>
      </c>
      <c r="T479" s="20" t="str">
        <f t="shared" si="3"/>
        <v/>
      </c>
      <c r="U479" s="20" t="str">
        <f t="shared" si="4"/>
        <v/>
      </c>
      <c r="V479" s="25">
        <v>0.0</v>
      </c>
      <c r="W479" s="26">
        <v>0.0</v>
      </c>
      <c r="X479" s="26">
        <v>0.0</v>
      </c>
      <c r="Y479" s="27"/>
      <c r="Z479" s="26">
        <v>10.0</v>
      </c>
      <c r="AA479" s="26">
        <v>0.0</v>
      </c>
      <c r="AB479" s="26">
        <v>0.0</v>
      </c>
      <c r="AC479" s="27"/>
      <c r="AD479" s="27"/>
      <c r="AE479" s="10" t="s">
        <v>38</v>
      </c>
      <c r="AF479" s="10" t="s">
        <v>44</v>
      </c>
      <c r="AG479" s="27"/>
    </row>
    <row r="480" ht="15.75" customHeight="1">
      <c r="A480" s="34" t="s">
        <v>1040</v>
      </c>
      <c r="B480" s="35">
        <v>3000.0</v>
      </c>
      <c r="C480" s="15" t="s">
        <v>87</v>
      </c>
      <c r="D480" s="15" t="s">
        <v>1041</v>
      </c>
      <c r="E480" s="15"/>
      <c r="F480" s="44">
        <v>1.0</v>
      </c>
      <c r="G480" s="33">
        <v>0.0</v>
      </c>
      <c r="H480" s="33">
        <v>0.0</v>
      </c>
      <c r="I480" s="29">
        <v>0.0</v>
      </c>
      <c r="J480" s="19" t="str">
        <f t="shared" si="24"/>
        <v>sin oferta</v>
      </c>
      <c r="K480" s="20" t="str">
        <f t="shared" si="23"/>
        <v>NORMAL / SIN OFERTA</v>
      </c>
      <c r="L480" s="15"/>
      <c r="M480" s="20"/>
      <c r="N480" s="21">
        <v>0.0</v>
      </c>
      <c r="O480" s="22">
        <v>3.0</v>
      </c>
      <c r="P480" s="23" t="str">
        <f>IFERROR(__xludf.DUMMYFUNCTION("IFERROR(
  INDEX(
    QUERY(
      Historial!A:I,
      ""select I where B = '""&amp;A480&amp;""' order by A desc limit 1"",
      0
    ),
    1
  ),
  """"
)"),"")</f>
        <v/>
      </c>
      <c r="Q480" s="19" t="s">
        <v>57</v>
      </c>
      <c r="R480" s="24">
        <v>46195.0</v>
      </c>
      <c r="S480" s="20" t="str">
        <f>IFERROR(__xludf.DUMMYFUNCTION("IFERROR(
  INDEX(
    QUERY(
      Historial!A:G,
      ""select G where B = '""&amp;A480&amp;""' order by A desc limit 1"",
      0
    ),
    1
  ),
  """"
)"),"")</f>
        <v/>
      </c>
      <c r="T480" s="20" t="str">
        <f t="shared" si="3"/>
        <v/>
      </c>
      <c r="U480" s="20" t="str">
        <f t="shared" si="4"/>
        <v/>
      </c>
      <c r="V480" s="25">
        <v>0.0</v>
      </c>
      <c r="W480" s="26">
        <v>0.0</v>
      </c>
      <c r="X480" s="26">
        <v>0.0</v>
      </c>
      <c r="Y480" s="27"/>
      <c r="Z480" s="26">
        <v>10.0</v>
      </c>
      <c r="AA480" s="26">
        <v>0.0</v>
      </c>
      <c r="AB480" s="26">
        <v>0.0</v>
      </c>
      <c r="AC480" s="27"/>
      <c r="AD480" s="27"/>
      <c r="AE480" s="10" t="s">
        <v>38</v>
      </c>
      <c r="AF480" s="10" t="s">
        <v>44</v>
      </c>
      <c r="AG480" s="27"/>
    </row>
    <row r="481" ht="15.75" customHeight="1">
      <c r="A481" s="31" t="s">
        <v>1042</v>
      </c>
      <c r="B481" s="55">
        <v>3300.0</v>
      </c>
      <c r="C481" s="20" t="s">
        <v>87</v>
      </c>
      <c r="D481" s="15" t="s">
        <v>1043</v>
      </c>
      <c r="E481" s="20" t="s">
        <v>147</v>
      </c>
      <c r="F481" s="32">
        <v>3.0</v>
      </c>
      <c r="G481" s="33">
        <v>0.0</v>
      </c>
      <c r="H481" s="33">
        <v>0.0</v>
      </c>
      <c r="I481" s="29">
        <v>0.0</v>
      </c>
      <c r="J481" s="19" t="str">
        <f t="shared" si="24"/>
        <v>sin oferta</v>
      </c>
      <c r="K481" s="20" t="str">
        <f t="shared" si="23"/>
        <v>NORMAL / SIN OFERTA</v>
      </c>
      <c r="L481" s="15">
        <v>0.0</v>
      </c>
      <c r="M481" s="20"/>
      <c r="N481" s="21">
        <v>3.0</v>
      </c>
      <c r="O481" s="22">
        <v>4.0</v>
      </c>
      <c r="P481" s="23" t="str">
        <f>IFERROR(__xludf.DUMMYFUNCTION("IFERROR(
  INDEX(
    QUERY(
      Historial!A:I,
      ""select I where B = '""&amp;A481&amp;""' order by A desc limit 1"",
      0
    ),
    1
  ),
  """"
)"),"")</f>
        <v/>
      </c>
      <c r="Q481" s="19" t="s">
        <v>51</v>
      </c>
      <c r="R481" s="24">
        <v>46215.0</v>
      </c>
      <c r="S481" s="20" t="str">
        <f>IFERROR(__xludf.DUMMYFUNCTION("IFERROR(
  INDEX(
    QUERY(
      Historial!A:G,
      ""select G where B = '""&amp;A481&amp;""' order by A desc limit 1"",
      0
    ),
    1
  ),
  """"
)"),"")</f>
        <v/>
      </c>
      <c r="T481" s="20" t="str">
        <f t="shared" si="3"/>
        <v/>
      </c>
      <c r="U481" s="20" t="str">
        <f t="shared" si="4"/>
        <v/>
      </c>
      <c r="V481" s="25">
        <v>3.0</v>
      </c>
      <c r="W481" s="26">
        <v>6.0</v>
      </c>
      <c r="X481" s="26">
        <v>0.337</v>
      </c>
      <c r="Y481" s="26">
        <v>8.90207715133531</v>
      </c>
      <c r="Z481" s="26">
        <v>7.0</v>
      </c>
      <c r="AA481" s="26">
        <v>6.066000000000001</v>
      </c>
      <c r="AB481" s="26">
        <v>4.0</v>
      </c>
      <c r="AC481" s="27"/>
      <c r="AD481" s="26">
        <v>8.90207715133531</v>
      </c>
      <c r="AE481" s="10" t="s">
        <v>38</v>
      </c>
      <c r="AF481" s="10" t="s">
        <v>44</v>
      </c>
      <c r="AG481" s="27"/>
    </row>
    <row r="482" ht="15.75" customHeight="1">
      <c r="A482" s="28" t="s">
        <v>1044</v>
      </c>
      <c r="B482" s="29">
        <v>4500.0</v>
      </c>
      <c r="C482" s="19" t="s">
        <v>87</v>
      </c>
      <c r="D482" s="15" t="s">
        <v>1045</v>
      </c>
      <c r="E482" s="19"/>
      <c r="F482" s="43">
        <v>1.0</v>
      </c>
      <c r="G482" s="33">
        <v>0.0</v>
      </c>
      <c r="H482" s="33">
        <v>0.0</v>
      </c>
      <c r="I482" s="29">
        <v>0.0</v>
      </c>
      <c r="J482" s="19" t="str">
        <f t="shared" si="24"/>
        <v>sin oferta</v>
      </c>
      <c r="K482" s="20" t="str">
        <f t="shared" si="23"/>
        <v>NORMAL / SIN OFERTA</v>
      </c>
      <c r="L482" s="15"/>
      <c r="M482" s="20"/>
      <c r="N482" s="21">
        <v>0.0</v>
      </c>
      <c r="O482" s="22">
        <v>3.0</v>
      </c>
      <c r="P482" s="23" t="str">
        <f>IFERROR(__xludf.DUMMYFUNCTION("IFERROR(
  INDEX(
    QUERY(
      Historial!A:I,
      ""select I where B = '""&amp;A482&amp;""' order by A desc limit 1"",
      0
    ),
    1
  ),
  """"
)"),"")</f>
        <v/>
      </c>
      <c r="Q482" s="19" t="s">
        <v>60</v>
      </c>
      <c r="R482" s="24">
        <v>46217.0</v>
      </c>
      <c r="S482" s="20" t="str">
        <f>IFERROR(__xludf.DUMMYFUNCTION("IFERROR(
  INDEX(
    QUERY(
      Historial!A:G,
      ""select G where B = '""&amp;A482&amp;""' order by A desc limit 1"",
      0
    ),
    1
  ),
  """"
)"),"")</f>
        <v/>
      </c>
      <c r="T482" s="20" t="str">
        <f t="shared" si="3"/>
        <v/>
      </c>
      <c r="U482" s="20" t="str">
        <f t="shared" si="4"/>
        <v/>
      </c>
      <c r="V482" s="25">
        <v>0.0</v>
      </c>
      <c r="W482" s="26">
        <v>0.0</v>
      </c>
      <c r="X482" s="26">
        <v>0.0</v>
      </c>
      <c r="Y482" s="27"/>
      <c r="Z482" s="26">
        <v>14.0</v>
      </c>
      <c r="AA482" s="26">
        <v>0.0</v>
      </c>
      <c r="AB482" s="26">
        <v>0.0</v>
      </c>
      <c r="AC482" s="27"/>
      <c r="AD482" s="27"/>
      <c r="AE482" s="10" t="s">
        <v>38</v>
      </c>
      <c r="AF482" s="10" t="s">
        <v>44</v>
      </c>
      <c r="AG482" s="27"/>
    </row>
    <row r="483" ht="15.75" customHeight="1">
      <c r="A483" s="34" t="s">
        <v>1046</v>
      </c>
      <c r="B483" s="35">
        <v>2500.0</v>
      </c>
      <c r="C483" s="15" t="s">
        <v>87</v>
      </c>
      <c r="D483" s="15" t="s">
        <v>1047</v>
      </c>
      <c r="E483" s="15"/>
      <c r="F483" s="41">
        <v>1.0</v>
      </c>
      <c r="G483" s="33">
        <v>0.0</v>
      </c>
      <c r="H483" s="33">
        <v>0.0</v>
      </c>
      <c r="I483" s="29">
        <v>0.0</v>
      </c>
      <c r="J483" s="19" t="str">
        <f t="shared" si="24"/>
        <v>sin oferta</v>
      </c>
      <c r="K483" s="20" t="str">
        <f t="shared" si="23"/>
        <v>NORMAL / SIN OFERTA</v>
      </c>
      <c r="L483" s="15"/>
      <c r="M483" s="20"/>
      <c r="N483" s="21">
        <v>0.0</v>
      </c>
      <c r="O483" s="22">
        <v>3.0</v>
      </c>
      <c r="P483" s="23" t="str">
        <f>IFERROR(__xludf.DUMMYFUNCTION("IFERROR(
  INDEX(
    QUERY(
      Historial!A:I,
      ""select I where B = '""&amp;A483&amp;""' order by A desc limit 1"",
      0
    ),
    1
  ),
  """"
)"),"")</f>
        <v/>
      </c>
      <c r="Q483" s="19" t="s">
        <v>48</v>
      </c>
      <c r="R483" s="24">
        <v>46235.0</v>
      </c>
      <c r="S483" s="20" t="str">
        <f>IFERROR(__xludf.DUMMYFUNCTION("IFERROR(
  INDEX(
    QUERY(
      Historial!A:G,
      ""select G where B = '""&amp;A483&amp;""' order by A desc limit 1"",
      0
    ),
    1
  ),
  """"
)"),"")</f>
        <v/>
      </c>
      <c r="T483" s="20" t="str">
        <f t="shared" si="3"/>
        <v/>
      </c>
      <c r="U483" s="20" t="str">
        <f t="shared" si="4"/>
        <v/>
      </c>
      <c r="V483" s="25">
        <v>0.0</v>
      </c>
      <c r="W483" s="26">
        <v>0.0</v>
      </c>
      <c r="X483" s="26">
        <v>0.0</v>
      </c>
      <c r="Y483" s="27"/>
      <c r="Z483" s="26">
        <v>10.0</v>
      </c>
      <c r="AA483" s="26">
        <v>0.0</v>
      </c>
      <c r="AB483" s="26">
        <v>0.0</v>
      </c>
      <c r="AC483" s="27"/>
      <c r="AD483" s="27"/>
      <c r="AE483" s="10" t="s">
        <v>38</v>
      </c>
      <c r="AF483" s="10" t="s">
        <v>44</v>
      </c>
      <c r="AG483" s="27"/>
    </row>
    <row r="484" ht="15.75" customHeight="1">
      <c r="A484" s="34" t="s">
        <v>1048</v>
      </c>
      <c r="B484" s="35">
        <v>2500.0</v>
      </c>
      <c r="C484" s="15" t="s">
        <v>87</v>
      </c>
      <c r="D484" s="15" t="s">
        <v>1049</v>
      </c>
      <c r="E484" s="15" t="s">
        <v>114</v>
      </c>
      <c r="F484" s="36">
        <v>0.0</v>
      </c>
      <c r="G484" s="17">
        <v>2.0</v>
      </c>
      <c r="H484" s="17">
        <v>0.0</v>
      </c>
      <c r="I484" s="18">
        <v>0.0</v>
      </c>
      <c r="J484" s="19" t="str">
        <f t="shared" si="24"/>
        <v>sin stock</v>
      </c>
      <c r="K484" s="20" t="str">
        <f t="shared" si="23"/>
        <v>SIN STOCK / CARGAR STOCK</v>
      </c>
      <c r="L484" s="15"/>
      <c r="M484" s="20"/>
      <c r="N484" s="21">
        <v>3.0</v>
      </c>
      <c r="O484" s="22">
        <v>3.0</v>
      </c>
      <c r="P484" s="23" t="str">
        <f>IFERROR(__xludf.DUMMYFUNCTION("IFERROR(
  INDEX(
    QUERY(
      Historial!A:I,
      ""select I where B = '""&amp;A484&amp;""' order by A desc limit 1"",
      0
    ),
    1
  ),
  """"
)"),"")</f>
        <v/>
      </c>
      <c r="Q484" s="19" t="s">
        <v>43</v>
      </c>
      <c r="R484" s="24">
        <v>46241.0</v>
      </c>
      <c r="S484" s="20" t="str">
        <f>IFERROR(__xludf.DUMMYFUNCTION("IFERROR(
  INDEX(
    QUERY(
      Historial!A:G,
      ""select G where B = '""&amp;A484&amp;""' order by A desc limit 1"",
      0
    ),
    1
  ),
  """"
)"),"")</f>
        <v/>
      </c>
      <c r="T484" s="20" t="str">
        <f t="shared" si="3"/>
        <v/>
      </c>
      <c r="U484" s="20" t="str">
        <f t="shared" si="4"/>
        <v/>
      </c>
      <c r="V484" s="25">
        <v>2.0</v>
      </c>
      <c r="W484" s="26">
        <v>5.0</v>
      </c>
      <c r="X484" s="26">
        <v>0.238</v>
      </c>
      <c r="Y484" s="26">
        <v>0.0</v>
      </c>
      <c r="Z484" s="26">
        <v>10.0</v>
      </c>
      <c r="AA484" s="26">
        <v>3.332</v>
      </c>
      <c r="AB484" s="26">
        <v>4.0</v>
      </c>
      <c r="AC484" s="27"/>
      <c r="AD484" s="26">
        <v>0.0</v>
      </c>
      <c r="AE484" s="10" t="s">
        <v>38</v>
      </c>
      <c r="AF484" s="10" t="s">
        <v>44</v>
      </c>
      <c r="AG484" s="27"/>
    </row>
    <row r="485" ht="15.75" customHeight="1">
      <c r="A485" s="34" t="s">
        <v>1050</v>
      </c>
      <c r="B485" s="35">
        <v>3500.0</v>
      </c>
      <c r="C485" s="15" t="s">
        <v>87</v>
      </c>
      <c r="D485" s="15" t="s">
        <v>1051</v>
      </c>
      <c r="E485" s="15"/>
      <c r="F485" s="41">
        <v>1.0</v>
      </c>
      <c r="G485" s="33">
        <v>0.0</v>
      </c>
      <c r="H485" s="33">
        <v>0.0</v>
      </c>
      <c r="I485" s="29">
        <v>0.0</v>
      </c>
      <c r="J485" s="19" t="str">
        <f t="shared" si="24"/>
        <v>sin oferta</v>
      </c>
      <c r="K485" s="20" t="str">
        <f t="shared" si="23"/>
        <v>NORMAL / SIN OFERTA</v>
      </c>
      <c r="L485" s="15"/>
      <c r="M485" s="20"/>
      <c r="N485" s="21">
        <v>0.0</v>
      </c>
      <c r="O485" s="22">
        <v>3.0</v>
      </c>
      <c r="P485" s="23" t="str">
        <f>IFERROR(__xludf.DUMMYFUNCTION("IFERROR(
  INDEX(
    QUERY(
      Historial!A:I,
      ""select I where B = '""&amp;A485&amp;""' order by A desc limit 1"",
      0
    ),
    1
  ),
  """"
)"),"")</f>
        <v/>
      </c>
      <c r="Q485" s="19" t="s">
        <v>51</v>
      </c>
      <c r="R485" s="24">
        <v>46264.0</v>
      </c>
      <c r="S485" s="20" t="str">
        <f>IFERROR(__xludf.DUMMYFUNCTION("IFERROR(
  INDEX(
    QUERY(
      Historial!A:G,
      ""select G where B = '""&amp;A485&amp;""' order by A desc limit 1"",
      0
    ),
    1
  ),
  """"
)"),"")</f>
        <v/>
      </c>
      <c r="T485" s="20" t="str">
        <f t="shared" si="3"/>
        <v/>
      </c>
      <c r="U485" s="20" t="str">
        <f t="shared" si="4"/>
        <v/>
      </c>
      <c r="V485" s="25">
        <v>0.0</v>
      </c>
      <c r="W485" s="26">
        <v>0.0</v>
      </c>
      <c r="X485" s="26">
        <v>0.0</v>
      </c>
      <c r="Y485" s="27"/>
      <c r="Z485" s="26">
        <v>21.0</v>
      </c>
      <c r="AA485" s="26">
        <v>0.0</v>
      </c>
      <c r="AB485" s="26">
        <v>0.0</v>
      </c>
      <c r="AC485" s="27"/>
      <c r="AD485" s="27"/>
      <c r="AE485" s="10" t="s">
        <v>38</v>
      </c>
      <c r="AF485" s="10" t="s">
        <v>44</v>
      </c>
      <c r="AG485" s="27"/>
    </row>
    <row r="486" ht="15.75" customHeight="1">
      <c r="A486" s="34" t="s">
        <v>1052</v>
      </c>
      <c r="B486" s="35">
        <v>3500.0</v>
      </c>
      <c r="C486" s="15" t="s">
        <v>87</v>
      </c>
      <c r="D486" s="15" t="s">
        <v>1053</v>
      </c>
      <c r="E486" s="15"/>
      <c r="F486" s="41">
        <v>1.0</v>
      </c>
      <c r="G486" s="33">
        <v>0.0</v>
      </c>
      <c r="H486" s="33">
        <v>0.0</v>
      </c>
      <c r="I486" s="29">
        <v>0.0</v>
      </c>
      <c r="J486" s="19" t="str">
        <f t="shared" si="24"/>
        <v>sin oferta</v>
      </c>
      <c r="K486" s="20" t="str">
        <f t="shared" si="23"/>
        <v>NORMAL / SIN OFERTA</v>
      </c>
      <c r="L486" s="15"/>
      <c r="M486" s="20"/>
      <c r="N486" s="21">
        <v>0.0</v>
      </c>
      <c r="O486" s="22">
        <v>3.0</v>
      </c>
      <c r="P486" s="23" t="str">
        <f>IFERROR(__xludf.DUMMYFUNCTION("IFERROR(
  INDEX(
    QUERY(
      Historial!A:I,
      ""select I where B = '""&amp;A486&amp;""' order by A desc limit 1"",
      0
    ),
    1
  ),
  """"
)"),"")</f>
        <v/>
      </c>
      <c r="Q486" s="19" t="s">
        <v>48</v>
      </c>
      <c r="R486" s="24">
        <v>46270.0</v>
      </c>
      <c r="S486" s="20" t="str">
        <f>IFERROR(__xludf.DUMMYFUNCTION("IFERROR(
  INDEX(
    QUERY(
      Historial!A:G,
      ""select G where B = '""&amp;A486&amp;""' order by A desc limit 1"",
      0
    ),
    1
  ),
  """"
)"),"")</f>
        <v/>
      </c>
      <c r="T486" s="20" t="str">
        <f t="shared" si="3"/>
        <v/>
      </c>
      <c r="U486" s="20" t="str">
        <f t="shared" si="4"/>
        <v/>
      </c>
      <c r="V486" s="25">
        <v>0.0</v>
      </c>
      <c r="W486" s="26">
        <v>0.0</v>
      </c>
      <c r="X486" s="26">
        <v>0.0</v>
      </c>
      <c r="Y486" s="27"/>
      <c r="Z486" s="26">
        <v>10.0</v>
      </c>
      <c r="AA486" s="26">
        <v>0.0</v>
      </c>
      <c r="AB486" s="26">
        <v>0.0</v>
      </c>
      <c r="AC486" s="27"/>
      <c r="AD486" s="27"/>
      <c r="AE486" s="10" t="s">
        <v>38</v>
      </c>
      <c r="AF486" s="10" t="s">
        <v>44</v>
      </c>
      <c r="AG486" s="27"/>
    </row>
    <row r="487" ht="15.75" customHeight="1">
      <c r="A487" s="58" t="s">
        <v>1054</v>
      </c>
      <c r="B487" s="21">
        <v>5000.0</v>
      </c>
      <c r="C487" s="56" t="s">
        <v>87</v>
      </c>
      <c r="D487" s="56" t="s">
        <v>1055</v>
      </c>
      <c r="E487" s="56" t="s">
        <v>147</v>
      </c>
      <c r="F487" s="32">
        <v>2.0</v>
      </c>
      <c r="G487" s="33">
        <v>0.0</v>
      </c>
      <c r="H487" s="33">
        <v>0.0</v>
      </c>
      <c r="I487" s="29">
        <v>0.0</v>
      </c>
      <c r="J487" s="19" t="str">
        <f t="shared" si="24"/>
        <v>sin oferta</v>
      </c>
      <c r="K487" s="20" t="str">
        <f t="shared" si="23"/>
        <v>NORMAL / SIN OFERTA</v>
      </c>
      <c r="L487" s="15"/>
      <c r="M487" s="20"/>
      <c r="N487" s="21">
        <v>4.0</v>
      </c>
      <c r="O487" s="22">
        <v>3.0</v>
      </c>
      <c r="P487" s="23" t="str">
        <f>IFERROR(__xludf.DUMMYFUNCTION("IFERROR(
  INDEX(
    QUERY(
      Historial!A:I,
      ""select I where B = '""&amp;A487&amp;""' order by A desc limit 1"",
      0
    ),
    1
  ),
  """"
)"),"")</f>
        <v/>
      </c>
      <c r="Q487" s="19" t="s">
        <v>51</v>
      </c>
      <c r="R487" s="24">
        <v>46292.0</v>
      </c>
      <c r="S487" s="20">
        <f>IFERROR(__xludf.DUMMYFUNCTION("IFERROR(
  INDEX(
    QUERY(
      Historial!A:G,
      ""select G where B = '""&amp;A487&amp;""' order by A desc limit 1"",
      0
    ),
    1
  ),
  """"
)"),2300.0)</f>
        <v>2300</v>
      </c>
      <c r="T487" s="20" t="str">
        <f t="shared" si="3"/>
        <v/>
      </c>
      <c r="U487" s="20" t="str">
        <f t="shared" si="4"/>
        <v/>
      </c>
      <c r="V487" s="25">
        <v>4.0</v>
      </c>
      <c r="W487" s="26">
        <v>4.0</v>
      </c>
      <c r="X487" s="26">
        <v>0.396</v>
      </c>
      <c r="Y487" s="26">
        <v>5.05050505050505</v>
      </c>
      <c r="Z487" s="26">
        <v>10.0</v>
      </c>
      <c r="AA487" s="26">
        <v>5.5440000000000005</v>
      </c>
      <c r="AB487" s="26">
        <v>4.0</v>
      </c>
      <c r="AC487" s="27"/>
      <c r="AD487" s="26">
        <v>5.05050505050505</v>
      </c>
      <c r="AE487" s="10" t="s">
        <v>38</v>
      </c>
      <c r="AF487" s="10" t="s">
        <v>44</v>
      </c>
      <c r="AG487" s="27"/>
    </row>
    <row r="488" ht="15.75" customHeight="1">
      <c r="A488" s="34" t="s">
        <v>1056</v>
      </c>
      <c r="B488" s="35">
        <v>7000.0</v>
      </c>
      <c r="C488" s="15" t="s">
        <v>334</v>
      </c>
      <c r="D488" s="15" t="s">
        <v>1057</v>
      </c>
      <c r="E488" s="15"/>
      <c r="F488" s="41">
        <v>1.0</v>
      </c>
      <c r="G488" s="33">
        <v>0.0</v>
      </c>
      <c r="H488" s="33">
        <v>0.0</v>
      </c>
      <c r="I488" s="29">
        <v>0.0</v>
      </c>
      <c r="J488" s="19" t="str">
        <f t="shared" si="24"/>
        <v>sin oferta</v>
      </c>
      <c r="K488" s="20" t="str">
        <f t="shared" si="23"/>
        <v>NORMAL / SIN OFERTA</v>
      </c>
      <c r="L488" s="15"/>
      <c r="M488" s="20"/>
      <c r="N488" s="21">
        <v>0.0</v>
      </c>
      <c r="O488" s="22">
        <v>3.0</v>
      </c>
      <c r="P488" s="23" t="str">
        <f>IFERROR(__xludf.DUMMYFUNCTION("IFERROR(
  INDEX(
    QUERY(
      Historial!A:I,
      ""select I where B = '""&amp;A488&amp;""' order by A desc limit 1"",
      0
    ),
    1
  ),
  """"
)"),"")</f>
        <v/>
      </c>
      <c r="Q488" s="19" t="s">
        <v>37</v>
      </c>
      <c r="R488" s="24">
        <v>46324.0</v>
      </c>
      <c r="S488" s="20" t="str">
        <f>IFERROR(__xludf.DUMMYFUNCTION("IFERROR(
  INDEX(
    QUERY(
      Historial!A:G,
      ""select G where B = '""&amp;A488&amp;""' order by A desc limit 1"",
      0
    ),
    1
  ),
  """"
)"),"")</f>
        <v/>
      </c>
      <c r="T488" s="20" t="str">
        <f t="shared" si="3"/>
        <v/>
      </c>
      <c r="U488" s="20" t="str">
        <f t="shared" si="4"/>
        <v/>
      </c>
      <c r="V488" s="25">
        <v>0.0</v>
      </c>
      <c r="W488" s="26">
        <v>0.0</v>
      </c>
      <c r="X488" s="26">
        <v>0.0</v>
      </c>
      <c r="Y488" s="27"/>
      <c r="Z488" s="26">
        <v>21.0</v>
      </c>
      <c r="AA488" s="26">
        <v>0.0</v>
      </c>
      <c r="AB488" s="26">
        <v>0.0</v>
      </c>
      <c r="AC488" s="27"/>
      <c r="AD488" s="27"/>
      <c r="AE488" s="10" t="s">
        <v>38</v>
      </c>
      <c r="AF488" s="10" t="s">
        <v>44</v>
      </c>
      <c r="AG488" s="27"/>
    </row>
    <row r="489" ht="15.75" customHeight="1">
      <c r="A489" s="34" t="s">
        <v>1058</v>
      </c>
      <c r="B489" s="35">
        <v>12000.0</v>
      </c>
      <c r="C489" s="15" t="s">
        <v>703</v>
      </c>
      <c r="D489" s="15" t="s">
        <v>1059</v>
      </c>
      <c r="E489" s="15"/>
      <c r="F489" s="41">
        <v>1.0</v>
      </c>
      <c r="G489" s="33">
        <v>0.0</v>
      </c>
      <c r="H489" s="33">
        <v>0.0</v>
      </c>
      <c r="I489" s="29">
        <v>0.0</v>
      </c>
      <c r="J489" s="19" t="str">
        <f t="shared" si="24"/>
        <v>sin oferta</v>
      </c>
      <c r="K489" s="20" t="str">
        <f t="shared" si="23"/>
        <v>NORMAL / SIN OFERTA</v>
      </c>
      <c r="L489" s="15"/>
      <c r="M489" s="20"/>
      <c r="N489" s="21">
        <v>0.0</v>
      </c>
      <c r="O489" s="22">
        <v>3.0</v>
      </c>
      <c r="P489" s="23" t="str">
        <f>IFERROR(__xludf.DUMMYFUNCTION("IFERROR(
  INDEX(
    QUERY(
      Historial!A:I,
      ""select I where B = '""&amp;A489&amp;""' order by A desc limit 1"",
      0
    ),
    1
  ),
  """"
)"),"")</f>
        <v/>
      </c>
      <c r="Q489" s="19" t="s">
        <v>51</v>
      </c>
      <c r="R489" s="24">
        <v>46376.0</v>
      </c>
      <c r="S489" s="20" t="str">
        <f>IFERROR(__xludf.DUMMYFUNCTION("IFERROR(
  INDEX(
    QUERY(
      Historial!A:G,
      ""select G where B = '""&amp;A489&amp;""' order by A desc limit 1"",
      0
    ),
    1
  ),
  """"
)"),"")</f>
        <v/>
      </c>
      <c r="T489" s="20" t="str">
        <f t="shared" si="3"/>
        <v/>
      </c>
      <c r="U489" s="20" t="str">
        <f t="shared" si="4"/>
        <v/>
      </c>
      <c r="V489" s="25">
        <v>0.0</v>
      </c>
      <c r="W489" s="26">
        <v>0.0</v>
      </c>
      <c r="X489" s="26">
        <v>0.0</v>
      </c>
      <c r="Y489" s="27"/>
      <c r="Z489" s="26">
        <v>10.0</v>
      </c>
      <c r="AA489" s="26">
        <v>0.0</v>
      </c>
      <c r="AB489" s="26">
        <v>0.0</v>
      </c>
      <c r="AC489" s="27"/>
      <c r="AD489" s="27"/>
      <c r="AE489" s="10" t="s">
        <v>38</v>
      </c>
      <c r="AF489" s="10" t="s">
        <v>44</v>
      </c>
      <c r="AG489" s="27"/>
    </row>
    <row r="490" ht="15.75" customHeight="1">
      <c r="A490" s="31" t="s">
        <v>1060</v>
      </c>
      <c r="B490" s="20">
        <v>12000.0</v>
      </c>
      <c r="C490" s="20" t="s">
        <v>703</v>
      </c>
      <c r="D490" s="15" t="s">
        <v>1061</v>
      </c>
      <c r="E490" s="15"/>
      <c r="F490" s="41">
        <v>1.0</v>
      </c>
      <c r="G490" s="33">
        <v>0.0</v>
      </c>
      <c r="H490" s="33">
        <v>0.0</v>
      </c>
      <c r="I490" s="29">
        <v>0.0</v>
      </c>
      <c r="J490" s="19" t="str">
        <f t="shared" si="24"/>
        <v>sin oferta</v>
      </c>
      <c r="K490" s="20" t="str">
        <f t="shared" si="23"/>
        <v>NORMAL / SIN OFERTA</v>
      </c>
      <c r="L490" s="15"/>
      <c r="M490" s="20"/>
      <c r="N490" s="21">
        <v>0.0</v>
      </c>
      <c r="O490" s="22">
        <v>3.0</v>
      </c>
      <c r="P490" s="23" t="str">
        <f>IFERROR(__xludf.DUMMYFUNCTION("IFERROR(
  INDEX(
    QUERY(
      Historial!A:I,
      ""select I where B = '""&amp;A490&amp;""' order by A desc limit 1"",
      0
    ),
    1
  ),
  """"
)"),"")</f>
        <v/>
      </c>
      <c r="Q490" s="19" t="s">
        <v>57</v>
      </c>
      <c r="R490" s="24">
        <v>46377.0</v>
      </c>
      <c r="S490" s="20" t="str">
        <f>IFERROR(__xludf.DUMMYFUNCTION("IFERROR(
  INDEX(
    QUERY(
      Historial!A:G,
      ""select G where B = '""&amp;A490&amp;""' order by A desc limit 1"",
      0
    ),
    1
  ),
  """"
)"),"")</f>
        <v/>
      </c>
      <c r="T490" s="20" t="str">
        <f t="shared" si="3"/>
        <v/>
      </c>
      <c r="U490" s="20" t="str">
        <f t="shared" si="4"/>
        <v/>
      </c>
      <c r="V490" s="25">
        <v>0.0</v>
      </c>
      <c r="W490" s="26">
        <v>0.0</v>
      </c>
      <c r="X490" s="26">
        <v>0.0</v>
      </c>
      <c r="Y490" s="27"/>
      <c r="Z490" s="26">
        <v>10.0</v>
      </c>
      <c r="AA490" s="26">
        <v>0.0</v>
      </c>
      <c r="AB490" s="26">
        <v>0.0</v>
      </c>
      <c r="AC490" s="27"/>
      <c r="AD490" s="27"/>
      <c r="AE490" s="10" t="s">
        <v>38</v>
      </c>
      <c r="AF490" s="10" t="s">
        <v>44</v>
      </c>
      <c r="AG490" s="27"/>
    </row>
    <row r="491" ht="15.75" customHeight="1">
      <c r="A491" s="34" t="s">
        <v>1062</v>
      </c>
      <c r="B491" s="35">
        <v>5000.0</v>
      </c>
      <c r="C491" s="15" t="s">
        <v>703</v>
      </c>
      <c r="D491" s="15" t="s">
        <v>1063</v>
      </c>
      <c r="E491" s="15"/>
      <c r="F491" s="41">
        <v>1.0</v>
      </c>
      <c r="G491" s="33">
        <v>0.0</v>
      </c>
      <c r="H491" s="33">
        <v>0.0</v>
      </c>
      <c r="I491" s="29">
        <v>0.0</v>
      </c>
      <c r="J491" s="19" t="str">
        <f t="shared" si="24"/>
        <v>sin oferta</v>
      </c>
      <c r="K491" s="20" t="str">
        <f t="shared" si="23"/>
        <v>NORMAL / SIN OFERTA</v>
      </c>
      <c r="L491" s="15"/>
      <c r="M491" s="20"/>
      <c r="N491" s="21">
        <v>0.0</v>
      </c>
      <c r="O491" s="22">
        <v>3.0</v>
      </c>
      <c r="P491" s="23" t="str">
        <f>IFERROR(__xludf.DUMMYFUNCTION("IFERROR(
  INDEX(
    QUERY(
      Historial!A:I,
      ""select I where B = '""&amp;A491&amp;""' order by A desc limit 1"",
      0
    ),
    1
  ),
  """"
)"),"")</f>
        <v/>
      </c>
      <c r="Q491" s="19" t="s">
        <v>60</v>
      </c>
      <c r="R491" s="24">
        <v>46378.0</v>
      </c>
      <c r="S491" s="20" t="str">
        <f>IFERROR(__xludf.DUMMYFUNCTION("IFERROR(
  INDEX(
    QUERY(
      Historial!A:G,
      ""select G where B = '""&amp;A491&amp;""' order by A desc limit 1"",
      0
    ),
    1
  ),
  """"
)"),"")</f>
        <v/>
      </c>
      <c r="T491" s="20" t="str">
        <f t="shared" si="3"/>
        <v/>
      </c>
      <c r="U491" s="20" t="str">
        <f t="shared" si="4"/>
        <v/>
      </c>
      <c r="V491" s="25">
        <v>0.0</v>
      </c>
      <c r="W491" s="26">
        <v>0.0</v>
      </c>
      <c r="X491" s="26">
        <v>0.0</v>
      </c>
      <c r="Y491" s="27"/>
      <c r="Z491" s="26">
        <v>10.0</v>
      </c>
      <c r="AA491" s="26">
        <v>0.0</v>
      </c>
      <c r="AB491" s="26">
        <v>0.0</v>
      </c>
      <c r="AC491" s="27"/>
      <c r="AD491" s="27"/>
      <c r="AE491" s="10" t="s">
        <v>38</v>
      </c>
      <c r="AF491" s="10" t="s">
        <v>44</v>
      </c>
      <c r="AG491" s="27"/>
    </row>
    <row r="492" ht="15.75" customHeight="1">
      <c r="A492" s="31" t="s">
        <v>1064</v>
      </c>
      <c r="B492" s="20">
        <v>12000.0</v>
      </c>
      <c r="C492" s="20" t="s">
        <v>703</v>
      </c>
      <c r="D492" s="15" t="s">
        <v>1065</v>
      </c>
      <c r="E492" s="15"/>
      <c r="F492" s="41">
        <v>1.0</v>
      </c>
      <c r="G492" s="33">
        <v>0.0</v>
      </c>
      <c r="H492" s="33">
        <v>0.0</v>
      </c>
      <c r="I492" s="29">
        <v>0.0</v>
      </c>
      <c r="J492" s="19" t="str">
        <f t="shared" si="24"/>
        <v>sin oferta</v>
      </c>
      <c r="K492" s="20" t="str">
        <f t="shared" si="23"/>
        <v>NORMAL / SIN OFERTA</v>
      </c>
      <c r="L492" s="15"/>
      <c r="M492" s="20"/>
      <c r="N492" s="21">
        <v>0.0</v>
      </c>
      <c r="O492" s="22">
        <v>3.0</v>
      </c>
      <c r="P492" s="23" t="str">
        <f>IFERROR(__xludf.DUMMYFUNCTION("IFERROR(
  INDEX(
    QUERY(
      Historial!A:I,
      ""select I where B = '""&amp;A492&amp;""' order by A desc limit 1"",
      0
    ),
    1
  ),
  """"
)"),"")</f>
        <v/>
      </c>
      <c r="Q492" s="19" t="s">
        <v>63</v>
      </c>
      <c r="R492" s="24">
        <v>46379.0</v>
      </c>
      <c r="S492" s="20" t="str">
        <f>IFERROR(__xludf.DUMMYFUNCTION("IFERROR(
  INDEX(
    QUERY(
      Historial!A:G,
      ""select G where B = '""&amp;A492&amp;""' order by A desc limit 1"",
      0
    ),
    1
  ),
  """"
)"),"")</f>
        <v/>
      </c>
      <c r="T492" s="20" t="str">
        <f t="shared" si="3"/>
        <v/>
      </c>
      <c r="U492" s="20" t="str">
        <f t="shared" si="4"/>
        <v/>
      </c>
      <c r="V492" s="25">
        <v>0.0</v>
      </c>
      <c r="W492" s="26">
        <v>0.0</v>
      </c>
      <c r="X492" s="26">
        <v>0.0</v>
      </c>
      <c r="Y492" s="27"/>
      <c r="Z492" s="26">
        <v>10.0</v>
      </c>
      <c r="AA492" s="26">
        <v>0.0</v>
      </c>
      <c r="AB492" s="26">
        <v>0.0</v>
      </c>
      <c r="AC492" s="27"/>
      <c r="AD492" s="27"/>
      <c r="AE492" s="10" t="s">
        <v>38</v>
      </c>
      <c r="AF492" s="10" t="s">
        <v>44</v>
      </c>
      <c r="AG492" s="27"/>
    </row>
    <row r="493" ht="15.75" customHeight="1">
      <c r="A493" s="34" t="s">
        <v>1066</v>
      </c>
      <c r="B493" s="35">
        <v>12000.0</v>
      </c>
      <c r="C493" s="15" t="s">
        <v>703</v>
      </c>
      <c r="D493" s="15" t="s">
        <v>1067</v>
      </c>
      <c r="E493" s="15"/>
      <c r="F493" s="41">
        <v>1.0</v>
      </c>
      <c r="G493" s="33">
        <v>0.0</v>
      </c>
      <c r="H493" s="33">
        <v>0.0</v>
      </c>
      <c r="I493" s="29">
        <v>0.0</v>
      </c>
      <c r="J493" s="19" t="str">
        <f t="shared" si="24"/>
        <v>sin oferta</v>
      </c>
      <c r="K493" s="20" t="str">
        <f t="shared" si="23"/>
        <v>NORMAL / SIN OFERTA</v>
      </c>
      <c r="L493" s="15"/>
      <c r="M493" s="20"/>
      <c r="N493" s="21">
        <v>0.0</v>
      </c>
      <c r="O493" s="22">
        <v>3.0</v>
      </c>
      <c r="P493" s="23" t="str">
        <f>IFERROR(__xludf.DUMMYFUNCTION("IFERROR(
  INDEX(
    QUERY(
      Historial!A:I,
      ""select I where B = '""&amp;A493&amp;""' order by A desc limit 1"",
      0
    ),
    1
  ),
  """"
)"),"")</f>
        <v/>
      </c>
      <c r="Q493" s="19" t="s">
        <v>43</v>
      </c>
      <c r="R493" s="24">
        <v>46381.0</v>
      </c>
      <c r="S493" s="20" t="str">
        <f>IFERROR(__xludf.DUMMYFUNCTION("IFERROR(
  INDEX(
    QUERY(
      Historial!A:G,
      ""select G where B = '""&amp;A493&amp;""' order by A desc limit 1"",
      0
    ),
    1
  ),
  """"
)"),"")</f>
        <v/>
      </c>
      <c r="T493" s="20" t="str">
        <f t="shared" si="3"/>
        <v/>
      </c>
      <c r="U493" s="20" t="str">
        <f t="shared" si="4"/>
        <v/>
      </c>
      <c r="V493" s="25">
        <v>0.0</v>
      </c>
      <c r="W493" s="26">
        <v>0.0</v>
      </c>
      <c r="X493" s="26">
        <v>0.0</v>
      </c>
      <c r="Y493" s="27"/>
      <c r="Z493" s="26">
        <v>10.0</v>
      </c>
      <c r="AA493" s="26">
        <v>0.0</v>
      </c>
      <c r="AB493" s="26">
        <v>0.0</v>
      </c>
      <c r="AC493" s="27"/>
      <c r="AD493" s="27"/>
      <c r="AE493" s="10" t="s">
        <v>38</v>
      </c>
      <c r="AF493" s="10" t="s">
        <v>44</v>
      </c>
      <c r="AG493" s="27"/>
    </row>
    <row r="494" ht="15.75" customHeight="1">
      <c r="A494" s="34" t="s">
        <v>1068</v>
      </c>
      <c r="B494" s="35">
        <v>12000.0</v>
      </c>
      <c r="C494" s="15" t="s">
        <v>703</v>
      </c>
      <c r="D494" s="15" t="s">
        <v>1069</v>
      </c>
      <c r="E494" s="15"/>
      <c r="F494" s="41">
        <v>1.0</v>
      </c>
      <c r="G494" s="33">
        <v>0.0</v>
      </c>
      <c r="H494" s="33">
        <v>0.0</v>
      </c>
      <c r="I494" s="29">
        <v>0.0</v>
      </c>
      <c r="J494" s="19" t="str">
        <f t="shared" si="24"/>
        <v>sin oferta</v>
      </c>
      <c r="K494" s="20" t="str">
        <f t="shared" si="23"/>
        <v>NORMAL / SIN OFERTA</v>
      </c>
      <c r="L494" s="15"/>
      <c r="M494" s="20"/>
      <c r="N494" s="21">
        <v>0.0</v>
      </c>
      <c r="O494" s="22">
        <v>3.0</v>
      </c>
      <c r="P494" s="23" t="str">
        <f>IFERROR(__xludf.DUMMYFUNCTION("IFERROR(
  INDEX(
    QUERY(
      Historial!A:I,
      ""select I where B = '""&amp;A494&amp;""' order by A desc limit 1"",
      0
    ),
    1
  ),
  """"
)"),"")</f>
        <v/>
      </c>
      <c r="Q494" s="19" t="s">
        <v>48</v>
      </c>
      <c r="R494" s="24">
        <v>46382.0</v>
      </c>
      <c r="S494" s="20" t="str">
        <f>IFERROR(__xludf.DUMMYFUNCTION("IFERROR(
  INDEX(
    QUERY(
      Historial!A:G,
      ""select G where B = '""&amp;A494&amp;""' order by A desc limit 1"",
      0
    ),
    1
  ),
  """"
)"),"")</f>
        <v/>
      </c>
      <c r="T494" s="20" t="str">
        <f t="shared" si="3"/>
        <v/>
      </c>
      <c r="U494" s="20" t="str">
        <f t="shared" si="4"/>
        <v/>
      </c>
      <c r="V494" s="25">
        <v>0.0</v>
      </c>
      <c r="W494" s="26">
        <v>0.0</v>
      </c>
      <c r="X494" s="26">
        <v>0.0</v>
      </c>
      <c r="Y494" s="27"/>
      <c r="Z494" s="26">
        <v>10.0</v>
      </c>
      <c r="AA494" s="26">
        <v>0.0</v>
      </c>
      <c r="AB494" s="26">
        <v>0.0</v>
      </c>
      <c r="AC494" s="27"/>
      <c r="AD494" s="27"/>
      <c r="AE494" s="10" t="s">
        <v>38</v>
      </c>
      <c r="AF494" s="10" t="s">
        <v>44</v>
      </c>
      <c r="AG494" s="27"/>
    </row>
    <row r="495" ht="15.75" customHeight="1">
      <c r="A495" s="31" t="s">
        <v>1070</v>
      </c>
      <c r="B495" s="20">
        <v>12000.0</v>
      </c>
      <c r="C495" s="20" t="s">
        <v>703</v>
      </c>
      <c r="D495" s="15" t="s">
        <v>1071</v>
      </c>
      <c r="E495" s="15"/>
      <c r="F495" s="41">
        <v>1.0</v>
      </c>
      <c r="G495" s="33">
        <v>0.0</v>
      </c>
      <c r="H495" s="33">
        <v>0.0</v>
      </c>
      <c r="I495" s="29">
        <v>0.0</v>
      </c>
      <c r="J495" s="19" t="str">
        <f t="array" ref="J495">IF(
  A495="",
  "",
  IF(
    F495=0,
    "sin stock",
    IF(
      NOT(OR(I495=0,I495=1)),
      "ERROR ESPECIAL",
      IF(
        NOT(ISNUMBER(MATCH(G495,{0;1;2;3;4;5;6;10;11;12;13;14},0))),
        "ERROR RELAMPAGO",
        IF(
          OR(H495&gt;70,AND(H495&gt;0,H495&lt;15)),
          "ERROR DESTACADA",
          IF(
            (I495=1)+(H495&gt;0)+(G495&gt;0)&gt;1,
            "ERROR DOBLE OFERTA",
            IF(
              I495=1,
              "especial",
              IF(
                H495&gt;0,
                "destacada",
                IF(
                  G495&gt;0,
                  IF(
                    OR(
                      AND(G495&lt;=6,F495&lt;(G495+1)),
                      AND(G495=10,F495&lt;2),
                      AND(G495&gt;=11,F495&lt;1)
                    ),
                    "REPONER "&amp;
                    IF(G495&lt;=6,G495+1-F495,
                       IF(G495=10,2-F495,
                          1-F495
                       )
                    )&amp;
                    " PARA PROMO",
                    IF(
                      G495&lt;=6,
                      "relampago "&amp;(G495+1)&amp;"x"&amp;G495,
                      IF(
                        G495=10,
                        "2da50off",
                        IF(
                          G495&gt;=11,
                          "relampago "&amp;CHOOSE(G495-10,10,15,20,25)&amp;"%",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sin oferta</v>
      </c>
      <c r="K495" s="20" t="str">
        <f t="shared" si="23"/>
        <v>NORMAL / SIN OFERTA</v>
      </c>
      <c r="L495" s="15"/>
      <c r="M495" s="20"/>
      <c r="N495" s="21">
        <v>0.0</v>
      </c>
      <c r="O495" s="22">
        <v>3.0</v>
      </c>
      <c r="P495" s="23" t="str">
        <f>IFERROR(__xludf.DUMMYFUNCTION("IFERROR(
  INDEX(
    QUERY(
      Historial!A:I,
      ""select I where B = '""&amp;A495&amp;""' order by A desc limit 1"",
      0
    ),
    1
  ),
  """"
)"),"")</f>
        <v/>
      </c>
      <c r="Q495" s="19" t="s">
        <v>51</v>
      </c>
      <c r="R495" s="24">
        <v>46383.0</v>
      </c>
      <c r="S495" s="20" t="str">
        <f>IFERROR(__xludf.DUMMYFUNCTION("IFERROR(
  INDEX(
    QUERY(
      Historial!A:G,
      ""select G where B = '""&amp;A495&amp;""' order by A desc limit 1"",
      0
    ),
    1
  ),
  """"
)"),"")</f>
        <v/>
      </c>
      <c r="T495" s="20" t="str">
        <f t="shared" si="3"/>
        <v/>
      </c>
      <c r="U495" s="20" t="str">
        <f t="shared" si="4"/>
        <v/>
      </c>
      <c r="V495" s="25">
        <v>0.0</v>
      </c>
      <c r="W495" s="26">
        <v>0.0</v>
      </c>
      <c r="X495" s="26">
        <v>0.0</v>
      </c>
      <c r="Y495" s="27"/>
      <c r="Z495" s="26">
        <v>10.0</v>
      </c>
      <c r="AA495" s="26">
        <v>0.0</v>
      </c>
      <c r="AB495" s="26">
        <v>0.0</v>
      </c>
      <c r="AC495" s="27"/>
      <c r="AD495" s="27"/>
      <c r="AE495" s="10" t="s">
        <v>38</v>
      </c>
      <c r="AF495" s="10" t="s">
        <v>44</v>
      </c>
      <c r="AG495" s="27"/>
    </row>
    <row r="496" ht="15.75" customHeight="1">
      <c r="A496" s="34" t="s">
        <v>1072</v>
      </c>
      <c r="B496" s="35">
        <v>10000.0</v>
      </c>
      <c r="C496" s="15" t="s">
        <v>703</v>
      </c>
      <c r="D496" s="15" t="s">
        <v>1073</v>
      </c>
      <c r="E496" s="15"/>
      <c r="F496" s="41">
        <v>1.0</v>
      </c>
      <c r="G496" s="33">
        <v>0.0</v>
      </c>
      <c r="H496" s="33">
        <v>0.0</v>
      </c>
      <c r="I496" s="29">
        <v>0.0</v>
      </c>
      <c r="J496" s="19" t="str">
        <f t="shared" ref="J496:J524" si="25">IF(
A496="",
"",
IF(
F496=0,
"sin stock",
IF(
NOT(OR(I496=0,I496=1)),
"ERROR ESPECIAL",
IF(
NOT(ISNUMBER(MATCH(G496,{0;1;2;3;4;5;6;10;11;12;13;14},0))),
"ERROR RELAMPAGO",
IF(
OR(H496&gt;70,AND(H496&gt;0,H496&lt;15)),
"ERROR DESTACADA",
IF(
(I496=1)+(H496&gt;0)+(G496&gt;0)&gt;1,
"ERROR DOBLE OFERTA",
IF(
I496=1,
"especial",
IF(
H496&gt;0,
"destacada",
IF(
G496&gt;0,
IF(
OR(
AND(G496&lt;=6,F496&lt;(G496+1)),
AND(G496=10,F496&lt;2),
AND(G496&gt;=11,F496&lt;1)
),
"REPONER "&amp;
IF(G496&lt;=6,G496+1-F496,
IF(G496=10,2-F496,
1-
F496)
)&amp;
" PARA PROMO",
IF(
G496&lt;=6,
"relampago "&amp;(G496+1)&amp;"x"&amp;G496,
IF(
G496=10,
"2da50off",
IF(
G496&gt;=11,
"relampago "&amp;CHOOSE(G496-10,10,15,20,25)&amp;"%",
"relampago"
)
)
)
),
"sin oferta"
)
)
)
)
)
)
)
)
)</f>
        <v>sin oferta</v>
      </c>
      <c r="K496" s="20" t="str">
        <f t="shared" si="23"/>
        <v>NORMAL / SIN OFERTA</v>
      </c>
      <c r="L496" s="15"/>
      <c r="M496" s="20"/>
      <c r="N496" s="21">
        <v>0.0</v>
      </c>
      <c r="O496" s="22">
        <v>3.0</v>
      </c>
      <c r="P496" s="23" t="str">
        <f>IFERROR(__xludf.DUMMYFUNCTION("IFERROR(
  INDEX(
    QUERY(
      Historial!A:I,
      ""select I where B = '""&amp;A496&amp;""' order by A desc limit 1"",
      0
    ),
    1
  ),
  """"
)"),"")</f>
        <v/>
      </c>
      <c r="Q496" s="19" t="s">
        <v>57</v>
      </c>
      <c r="R496" s="24">
        <v>46384.0</v>
      </c>
      <c r="S496" s="20" t="str">
        <f>IFERROR(__xludf.DUMMYFUNCTION("IFERROR(
  INDEX(
    QUERY(
      Historial!A:G,
      ""select G where B = '""&amp;A496&amp;""' order by A desc limit 1"",
      0
    ),
    1
  ),
  """"
)"),"")</f>
        <v/>
      </c>
      <c r="T496" s="20" t="str">
        <f t="shared" si="3"/>
        <v/>
      </c>
      <c r="U496" s="20" t="str">
        <f t="shared" si="4"/>
        <v/>
      </c>
      <c r="V496" s="25">
        <v>0.0</v>
      </c>
      <c r="W496" s="26">
        <v>0.0</v>
      </c>
      <c r="X496" s="26">
        <v>0.0</v>
      </c>
      <c r="Y496" s="27"/>
      <c r="Z496" s="26">
        <v>10.0</v>
      </c>
      <c r="AA496" s="26">
        <v>0.0</v>
      </c>
      <c r="AB496" s="26">
        <v>0.0</v>
      </c>
      <c r="AC496" s="27"/>
      <c r="AD496" s="27"/>
      <c r="AE496" s="10" t="s">
        <v>38</v>
      </c>
      <c r="AF496" s="10" t="s">
        <v>44</v>
      </c>
      <c r="AG496" s="27"/>
    </row>
    <row r="497" ht="15.75" customHeight="1">
      <c r="A497" s="31" t="s">
        <v>1074</v>
      </c>
      <c r="B497" s="20">
        <v>10000.0</v>
      </c>
      <c r="C497" s="20" t="s">
        <v>703</v>
      </c>
      <c r="D497" s="15" t="s">
        <v>1075</v>
      </c>
      <c r="E497" s="15"/>
      <c r="F497" s="41">
        <v>1.0</v>
      </c>
      <c r="G497" s="33">
        <v>0.0</v>
      </c>
      <c r="H497" s="33">
        <v>0.0</v>
      </c>
      <c r="I497" s="29">
        <v>0.0</v>
      </c>
      <c r="J497" s="19" t="str">
        <f t="shared" si="25"/>
        <v>sin oferta</v>
      </c>
      <c r="K497" s="20" t="str">
        <f t="shared" si="23"/>
        <v>NORMAL / SIN OFERTA</v>
      </c>
      <c r="L497" s="15"/>
      <c r="M497" s="20"/>
      <c r="N497" s="21">
        <v>0.0</v>
      </c>
      <c r="O497" s="22">
        <v>3.0</v>
      </c>
      <c r="P497" s="23" t="str">
        <f>IFERROR(__xludf.DUMMYFUNCTION("IFERROR(
  INDEX(
    QUERY(
      Historial!A:I,
      ""select I where B = '""&amp;A497&amp;""' order by A desc limit 1"",
      0
    ),
    1
  ),
  """"
)"),"")</f>
        <v/>
      </c>
      <c r="Q497" s="19" t="s">
        <v>60</v>
      </c>
      <c r="R497" s="24">
        <v>46385.0</v>
      </c>
      <c r="S497" s="20" t="str">
        <f>IFERROR(__xludf.DUMMYFUNCTION("IFERROR(
  INDEX(
    QUERY(
      Historial!A:G,
      ""select G where B = '""&amp;A497&amp;""' order by A desc limit 1"",
      0
    ),
    1
  ),
  """"
)"),"")</f>
        <v/>
      </c>
      <c r="T497" s="20" t="str">
        <f t="shared" si="3"/>
        <v/>
      </c>
      <c r="U497" s="20" t="str">
        <f t="shared" si="4"/>
        <v/>
      </c>
      <c r="V497" s="25">
        <v>0.0</v>
      </c>
      <c r="W497" s="26">
        <v>0.0</v>
      </c>
      <c r="X497" s="26">
        <v>0.0</v>
      </c>
      <c r="Y497" s="27"/>
      <c r="Z497" s="26">
        <v>10.0</v>
      </c>
      <c r="AA497" s="26">
        <v>0.0</v>
      </c>
      <c r="AB497" s="26">
        <v>0.0</v>
      </c>
      <c r="AC497" s="27"/>
      <c r="AD497" s="27"/>
      <c r="AE497" s="10" t="s">
        <v>38</v>
      </c>
      <c r="AF497" s="10" t="s">
        <v>44</v>
      </c>
      <c r="AG497" s="27"/>
    </row>
    <row r="498" ht="15.75" customHeight="1">
      <c r="A498" s="34" t="s">
        <v>1076</v>
      </c>
      <c r="B498" s="35">
        <v>12000.0</v>
      </c>
      <c r="C498" s="15" t="s">
        <v>703</v>
      </c>
      <c r="D498" s="15" t="s">
        <v>1077</v>
      </c>
      <c r="E498" s="15"/>
      <c r="F498" s="41">
        <v>1.0</v>
      </c>
      <c r="G498" s="33">
        <v>0.0</v>
      </c>
      <c r="H498" s="33">
        <v>0.0</v>
      </c>
      <c r="I498" s="29">
        <v>0.0</v>
      </c>
      <c r="J498" s="19" t="str">
        <f t="shared" si="25"/>
        <v>sin oferta</v>
      </c>
      <c r="K498" s="20" t="str">
        <f t="shared" si="23"/>
        <v>NORMAL / SIN OFERTA</v>
      </c>
      <c r="L498" s="15"/>
      <c r="M498" s="20"/>
      <c r="N498" s="21">
        <v>0.0</v>
      </c>
      <c r="O498" s="22">
        <v>3.0</v>
      </c>
      <c r="P498" s="23" t="str">
        <f>IFERROR(__xludf.DUMMYFUNCTION("IFERROR(
  INDEX(
    QUERY(
      Historial!A:I,
      ""select I where B = '""&amp;A498&amp;""' order by A desc limit 1"",
      0
    ),
    1
  ),
  """"
)"),"")</f>
        <v/>
      </c>
      <c r="Q498" s="19" t="s">
        <v>63</v>
      </c>
      <c r="R498" s="24">
        <v>46386.0</v>
      </c>
      <c r="S498" s="20" t="str">
        <f>IFERROR(__xludf.DUMMYFUNCTION("IFERROR(
  INDEX(
    QUERY(
      Historial!A:G,
      ""select G where B = '""&amp;A498&amp;""' order by A desc limit 1"",
      0
    ),
    1
  ),
  """"
)"),"")</f>
        <v/>
      </c>
      <c r="T498" s="20" t="str">
        <f t="shared" si="3"/>
        <v/>
      </c>
      <c r="U498" s="20" t="str">
        <f t="shared" si="4"/>
        <v/>
      </c>
      <c r="V498" s="25">
        <v>0.0</v>
      </c>
      <c r="W498" s="26">
        <v>0.0</v>
      </c>
      <c r="X498" s="26">
        <v>0.0</v>
      </c>
      <c r="Y498" s="27"/>
      <c r="Z498" s="26">
        <v>10.0</v>
      </c>
      <c r="AA498" s="26">
        <v>0.0</v>
      </c>
      <c r="AB498" s="26">
        <v>0.0</v>
      </c>
      <c r="AC498" s="27"/>
      <c r="AD498" s="27"/>
      <c r="AE498" s="10" t="s">
        <v>38</v>
      </c>
      <c r="AF498" s="10" t="s">
        <v>44</v>
      </c>
      <c r="AG498" s="27"/>
    </row>
    <row r="499" ht="15.75" customHeight="1">
      <c r="A499" s="31" t="s">
        <v>1078</v>
      </c>
      <c r="B499" s="20">
        <v>12000.0</v>
      </c>
      <c r="C499" s="20" t="s">
        <v>703</v>
      </c>
      <c r="D499" s="15" t="s">
        <v>1079</v>
      </c>
      <c r="E499" s="15"/>
      <c r="F499" s="41">
        <v>1.0</v>
      </c>
      <c r="G499" s="33">
        <v>0.0</v>
      </c>
      <c r="H499" s="33">
        <v>0.0</v>
      </c>
      <c r="I499" s="29">
        <v>0.0</v>
      </c>
      <c r="J499" s="19" t="str">
        <f t="shared" si="25"/>
        <v>sin oferta</v>
      </c>
      <c r="K499" s="20" t="str">
        <f t="shared" si="23"/>
        <v>NORMAL / SIN OFERTA</v>
      </c>
      <c r="L499" s="15"/>
      <c r="M499" s="20"/>
      <c r="N499" s="21">
        <v>0.0</v>
      </c>
      <c r="O499" s="22">
        <v>3.0</v>
      </c>
      <c r="P499" s="23" t="str">
        <f>IFERROR(__xludf.DUMMYFUNCTION("IFERROR(
  INDEX(
    QUERY(
      Historial!A:I,
      ""select I where B = '""&amp;A499&amp;""' order by A desc limit 1"",
      0
    ),
    1
  ),
  """"
)"),"")</f>
        <v/>
      </c>
      <c r="Q499" s="19" t="s">
        <v>37</v>
      </c>
      <c r="R499" s="24">
        <v>46387.0</v>
      </c>
      <c r="S499" s="20" t="str">
        <f>IFERROR(__xludf.DUMMYFUNCTION("IFERROR(
  INDEX(
    QUERY(
      Historial!A:G,
      ""select G where B = '""&amp;A499&amp;""' order by A desc limit 1"",
      0
    ),
    1
  ),
  """"
)"),"")</f>
        <v/>
      </c>
      <c r="T499" s="20" t="str">
        <f t="shared" si="3"/>
        <v/>
      </c>
      <c r="U499" s="20" t="str">
        <f t="shared" si="4"/>
        <v/>
      </c>
      <c r="V499" s="25">
        <v>0.0</v>
      </c>
      <c r="W499" s="26">
        <v>0.0</v>
      </c>
      <c r="X499" s="26">
        <v>0.0</v>
      </c>
      <c r="Y499" s="27"/>
      <c r="Z499" s="26">
        <v>10.0</v>
      </c>
      <c r="AA499" s="26">
        <v>0.0</v>
      </c>
      <c r="AB499" s="26">
        <v>0.0</v>
      </c>
      <c r="AC499" s="27"/>
      <c r="AD499" s="27"/>
      <c r="AE499" s="10" t="s">
        <v>38</v>
      </c>
      <c r="AF499" s="10" t="s">
        <v>44</v>
      </c>
      <c r="AG499" s="27"/>
    </row>
    <row r="500" ht="15.75" customHeight="1">
      <c r="A500" s="34" t="s">
        <v>1080</v>
      </c>
      <c r="B500" s="35">
        <v>12000.0</v>
      </c>
      <c r="C500" s="15" t="s">
        <v>703</v>
      </c>
      <c r="D500" s="15" t="s">
        <v>1081</v>
      </c>
      <c r="E500" s="15"/>
      <c r="F500" s="41">
        <v>1.0</v>
      </c>
      <c r="G500" s="33">
        <v>0.0</v>
      </c>
      <c r="H500" s="33">
        <v>0.0</v>
      </c>
      <c r="I500" s="29">
        <v>0.0</v>
      </c>
      <c r="J500" s="19" t="str">
        <f t="shared" si="25"/>
        <v>sin oferta</v>
      </c>
      <c r="K500" s="20" t="str">
        <f t="shared" si="23"/>
        <v>NORMAL / SIN OFERTA</v>
      </c>
      <c r="L500" s="15"/>
      <c r="M500" s="20"/>
      <c r="N500" s="21">
        <v>0.0</v>
      </c>
      <c r="O500" s="22">
        <v>3.0</v>
      </c>
      <c r="P500" s="23" t="str">
        <f>IFERROR(__xludf.DUMMYFUNCTION("IFERROR(
  INDEX(
    QUERY(
      Historial!A:I,
      ""select I where B = '""&amp;A500&amp;""' order by A desc limit 1"",
      0
    ),
    1
  ),
  """"
)"),"")</f>
        <v/>
      </c>
      <c r="Q500" s="19" t="s">
        <v>48</v>
      </c>
      <c r="R500" s="24">
        <v>46389.0</v>
      </c>
      <c r="S500" s="20" t="str">
        <f>IFERROR(__xludf.DUMMYFUNCTION("IFERROR(
  INDEX(
    QUERY(
      Historial!A:G,
      ""select G where B = '""&amp;A500&amp;""' order by A desc limit 1"",
      0
    ),
    1
  ),
  """"
)"),"")</f>
        <v/>
      </c>
      <c r="T500" s="20" t="str">
        <f t="shared" si="3"/>
        <v/>
      </c>
      <c r="U500" s="20" t="str">
        <f t="shared" si="4"/>
        <v/>
      </c>
      <c r="V500" s="25">
        <v>0.0</v>
      </c>
      <c r="W500" s="26">
        <v>0.0</v>
      </c>
      <c r="X500" s="26">
        <v>0.0</v>
      </c>
      <c r="Y500" s="27"/>
      <c r="Z500" s="26">
        <v>10.0</v>
      </c>
      <c r="AA500" s="26">
        <v>0.0</v>
      </c>
      <c r="AB500" s="26">
        <v>0.0</v>
      </c>
      <c r="AC500" s="27"/>
      <c r="AD500" s="27"/>
      <c r="AE500" s="10" t="s">
        <v>38</v>
      </c>
      <c r="AF500" s="10" t="s">
        <v>44</v>
      </c>
      <c r="AG500" s="27"/>
    </row>
    <row r="501" ht="15.75" customHeight="1">
      <c r="A501" s="31" t="s">
        <v>1082</v>
      </c>
      <c r="B501" s="20">
        <v>12000.0</v>
      </c>
      <c r="C501" s="20" t="s">
        <v>703</v>
      </c>
      <c r="D501" s="15" t="s">
        <v>1083</v>
      </c>
      <c r="E501" s="15"/>
      <c r="F501" s="41">
        <v>1.0</v>
      </c>
      <c r="G501" s="33">
        <v>0.0</v>
      </c>
      <c r="H501" s="33">
        <v>0.0</v>
      </c>
      <c r="I501" s="29">
        <v>0.0</v>
      </c>
      <c r="J501" s="19" t="str">
        <f t="shared" si="25"/>
        <v>sin oferta</v>
      </c>
      <c r="K501" s="20" t="str">
        <f t="shared" si="23"/>
        <v>NORMAL / SIN OFERTA</v>
      </c>
      <c r="L501" s="15"/>
      <c r="M501" s="20"/>
      <c r="N501" s="21">
        <v>0.0</v>
      </c>
      <c r="O501" s="22">
        <v>3.0</v>
      </c>
      <c r="P501" s="23" t="str">
        <f>IFERROR(__xludf.DUMMYFUNCTION("IFERROR(
  INDEX(
    QUERY(
      Historial!A:I,
      ""select I where B = '""&amp;A501&amp;""' order by A desc limit 1"",
      0
    ),
    1
  ),
  """"
)"),"")</f>
        <v/>
      </c>
      <c r="Q501" s="19" t="s">
        <v>51</v>
      </c>
      <c r="R501" s="24">
        <v>46390.0</v>
      </c>
      <c r="S501" s="20" t="str">
        <f>IFERROR(__xludf.DUMMYFUNCTION("IFERROR(
  INDEX(
    QUERY(
      Historial!A:G,
      ""select G where B = '""&amp;A501&amp;""' order by A desc limit 1"",
      0
    ),
    1
  ),
  """"
)"),"")</f>
        <v/>
      </c>
      <c r="T501" s="20" t="str">
        <f t="shared" si="3"/>
        <v/>
      </c>
      <c r="U501" s="20" t="str">
        <f t="shared" si="4"/>
        <v/>
      </c>
      <c r="V501" s="25">
        <v>0.0</v>
      </c>
      <c r="W501" s="26">
        <v>0.0</v>
      </c>
      <c r="X501" s="26">
        <v>0.0</v>
      </c>
      <c r="Y501" s="27"/>
      <c r="Z501" s="26">
        <v>10.0</v>
      </c>
      <c r="AA501" s="26">
        <v>0.0</v>
      </c>
      <c r="AB501" s="26">
        <v>0.0</v>
      </c>
      <c r="AC501" s="27"/>
      <c r="AD501" s="27"/>
      <c r="AE501" s="10" t="s">
        <v>38</v>
      </c>
      <c r="AF501" s="10" t="s">
        <v>44</v>
      </c>
      <c r="AG501" s="27"/>
    </row>
    <row r="502" ht="15.75" customHeight="1">
      <c r="A502" s="31" t="s">
        <v>1084</v>
      </c>
      <c r="B502" s="20">
        <v>12000.0</v>
      </c>
      <c r="C502" s="20" t="s">
        <v>703</v>
      </c>
      <c r="D502" s="15" t="s">
        <v>1085</v>
      </c>
      <c r="E502" s="15"/>
      <c r="F502" s="41">
        <v>1.0</v>
      </c>
      <c r="G502" s="33">
        <v>0.0</v>
      </c>
      <c r="H502" s="33">
        <v>0.0</v>
      </c>
      <c r="I502" s="29">
        <v>0.0</v>
      </c>
      <c r="J502" s="19" t="str">
        <f t="shared" si="25"/>
        <v>sin oferta</v>
      </c>
      <c r="K502" s="20" t="str">
        <f t="shared" si="23"/>
        <v>NORMAL / SIN OFERTA</v>
      </c>
      <c r="L502" s="15"/>
      <c r="M502" s="20"/>
      <c r="N502" s="21">
        <v>0.0</v>
      </c>
      <c r="O502" s="22">
        <v>3.0</v>
      </c>
      <c r="P502" s="23" t="str">
        <f>IFERROR(__xludf.DUMMYFUNCTION("IFERROR(
  INDEX(
    QUERY(
      Historial!A:I,
      ""select I where B = '""&amp;A502&amp;""' order by A desc limit 1"",
      0
    ),
    1
  ),
  """"
)"),"")</f>
        <v/>
      </c>
      <c r="Q502" s="19" t="s">
        <v>57</v>
      </c>
      <c r="R502" s="24">
        <v>46391.0</v>
      </c>
      <c r="S502" s="20" t="str">
        <f>IFERROR(__xludf.DUMMYFUNCTION("IFERROR(
  INDEX(
    QUERY(
      Historial!A:G,
      ""select G where B = '""&amp;A502&amp;""' order by A desc limit 1"",
      0
    ),
    1
  ),
  """"
)"),"")</f>
        <v/>
      </c>
      <c r="T502" s="20" t="str">
        <f t="shared" si="3"/>
        <v/>
      </c>
      <c r="U502" s="20" t="str">
        <f t="shared" si="4"/>
        <v/>
      </c>
      <c r="V502" s="25">
        <v>0.0</v>
      </c>
      <c r="W502" s="26">
        <v>0.0</v>
      </c>
      <c r="X502" s="26">
        <v>0.0</v>
      </c>
      <c r="Y502" s="27"/>
      <c r="Z502" s="26">
        <v>10.0</v>
      </c>
      <c r="AA502" s="26">
        <v>0.0</v>
      </c>
      <c r="AB502" s="26">
        <v>0.0</v>
      </c>
      <c r="AC502" s="27"/>
      <c r="AD502" s="27"/>
      <c r="AE502" s="10" t="s">
        <v>38</v>
      </c>
      <c r="AF502" s="10" t="s">
        <v>44</v>
      </c>
      <c r="AG502" s="27"/>
    </row>
    <row r="503" ht="15.75" customHeight="1">
      <c r="A503" s="31" t="s">
        <v>1086</v>
      </c>
      <c r="B503" s="20">
        <v>12000.0</v>
      </c>
      <c r="C503" s="20" t="s">
        <v>703</v>
      </c>
      <c r="D503" s="15" t="s">
        <v>1087</v>
      </c>
      <c r="E503" s="15"/>
      <c r="F503" s="41">
        <v>1.0</v>
      </c>
      <c r="G503" s="33">
        <v>0.0</v>
      </c>
      <c r="H503" s="33">
        <v>0.0</v>
      </c>
      <c r="I503" s="29">
        <v>0.0</v>
      </c>
      <c r="J503" s="19" t="str">
        <f t="shared" si="25"/>
        <v>sin oferta</v>
      </c>
      <c r="K503" s="20" t="str">
        <f t="shared" si="23"/>
        <v>NORMAL / SIN OFERTA</v>
      </c>
      <c r="L503" s="15"/>
      <c r="M503" s="20"/>
      <c r="N503" s="21">
        <v>0.0</v>
      </c>
      <c r="O503" s="22">
        <v>3.0</v>
      </c>
      <c r="P503" s="23" t="str">
        <f>IFERROR(__xludf.DUMMYFUNCTION("IFERROR(
  INDEX(
    QUERY(
      Historial!A:I,
      ""select I where B = '""&amp;A503&amp;""' order by A desc limit 1"",
      0
    ),
    1
  ),
  """"
)"),"")</f>
        <v/>
      </c>
      <c r="Q503" s="19" t="s">
        <v>60</v>
      </c>
      <c r="R503" s="24">
        <v>46392.0</v>
      </c>
      <c r="S503" s="20" t="str">
        <f>IFERROR(__xludf.DUMMYFUNCTION("IFERROR(
  INDEX(
    QUERY(
      Historial!A:G,
      ""select G where B = '""&amp;A503&amp;""' order by A desc limit 1"",
      0
    ),
    1
  ),
  """"
)"),"")</f>
        <v/>
      </c>
      <c r="T503" s="20" t="str">
        <f t="shared" si="3"/>
        <v/>
      </c>
      <c r="U503" s="20" t="str">
        <f t="shared" si="4"/>
        <v/>
      </c>
      <c r="V503" s="25">
        <v>0.0</v>
      </c>
      <c r="W503" s="26">
        <v>0.0</v>
      </c>
      <c r="X503" s="26">
        <v>0.0</v>
      </c>
      <c r="Y503" s="27"/>
      <c r="Z503" s="26">
        <v>10.0</v>
      </c>
      <c r="AA503" s="26">
        <v>0.0</v>
      </c>
      <c r="AB503" s="26">
        <v>0.0</v>
      </c>
      <c r="AC503" s="27"/>
      <c r="AD503" s="27"/>
      <c r="AE503" s="10" t="s">
        <v>38</v>
      </c>
      <c r="AF503" s="10" t="s">
        <v>44</v>
      </c>
      <c r="AG503" s="27"/>
    </row>
    <row r="504" ht="15.75" customHeight="1">
      <c r="A504" s="31" t="s">
        <v>1088</v>
      </c>
      <c r="B504" s="20">
        <v>12000.0</v>
      </c>
      <c r="C504" s="20" t="s">
        <v>703</v>
      </c>
      <c r="D504" s="15" t="s">
        <v>1089</v>
      </c>
      <c r="E504" s="15"/>
      <c r="F504" s="41">
        <v>1.0</v>
      </c>
      <c r="G504" s="33">
        <v>0.0</v>
      </c>
      <c r="H504" s="33">
        <v>0.0</v>
      </c>
      <c r="I504" s="29">
        <v>0.0</v>
      </c>
      <c r="J504" s="19" t="str">
        <f t="shared" si="25"/>
        <v>sin oferta</v>
      </c>
      <c r="K504" s="20" t="str">
        <f t="shared" si="23"/>
        <v>NORMAL / SIN OFERTA</v>
      </c>
      <c r="L504" s="15"/>
      <c r="M504" s="20"/>
      <c r="N504" s="21">
        <v>0.0</v>
      </c>
      <c r="O504" s="22">
        <v>3.0</v>
      </c>
      <c r="P504" s="23" t="str">
        <f>IFERROR(__xludf.DUMMYFUNCTION("IFERROR(
  INDEX(
    QUERY(
      Historial!A:I,
      ""select I where B = '""&amp;A504&amp;""' order by A desc limit 1"",
      0
    ),
    1
  ),
  """"
)"),"")</f>
        <v/>
      </c>
      <c r="Q504" s="19" t="s">
        <v>63</v>
      </c>
      <c r="R504" s="24">
        <v>46393.0</v>
      </c>
      <c r="S504" s="20" t="str">
        <f>IFERROR(__xludf.DUMMYFUNCTION("IFERROR(
  INDEX(
    QUERY(
      Historial!A:G,
      ""select G where B = '""&amp;A504&amp;""' order by A desc limit 1"",
      0
    ),
    1
  ),
  """"
)"),"")</f>
        <v/>
      </c>
      <c r="T504" s="20" t="str">
        <f t="shared" si="3"/>
        <v/>
      </c>
      <c r="U504" s="20" t="str">
        <f t="shared" si="4"/>
        <v/>
      </c>
      <c r="V504" s="25">
        <v>0.0</v>
      </c>
      <c r="W504" s="26">
        <v>0.0</v>
      </c>
      <c r="X504" s="26">
        <v>0.0</v>
      </c>
      <c r="Y504" s="27"/>
      <c r="Z504" s="26">
        <v>10.0</v>
      </c>
      <c r="AA504" s="26">
        <v>0.0</v>
      </c>
      <c r="AB504" s="26">
        <v>0.0</v>
      </c>
      <c r="AC504" s="27"/>
      <c r="AD504" s="27"/>
      <c r="AE504" s="10" t="s">
        <v>38</v>
      </c>
      <c r="AF504" s="10" t="s">
        <v>44</v>
      </c>
      <c r="AG504" s="27"/>
    </row>
    <row r="505" ht="15.75" customHeight="1">
      <c r="A505" s="34" t="s">
        <v>1090</v>
      </c>
      <c r="B505" s="35">
        <v>8000.0</v>
      </c>
      <c r="C505" s="15" t="s">
        <v>703</v>
      </c>
      <c r="D505" s="15" t="s">
        <v>1091</v>
      </c>
      <c r="E505" s="15"/>
      <c r="F505" s="41">
        <v>1.0</v>
      </c>
      <c r="G505" s="33">
        <v>0.0</v>
      </c>
      <c r="H505" s="33">
        <v>0.0</v>
      </c>
      <c r="I505" s="29">
        <v>0.0</v>
      </c>
      <c r="J505" s="19" t="str">
        <f t="shared" si="25"/>
        <v>sin oferta</v>
      </c>
      <c r="K505" s="20" t="str">
        <f t="shared" si="23"/>
        <v>NORMAL / SIN OFERTA</v>
      </c>
      <c r="L505" s="15"/>
      <c r="M505" s="20"/>
      <c r="N505" s="21">
        <v>0.0</v>
      </c>
      <c r="O505" s="22">
        <v>3.0</v>
      </c>
      <c r="P505" s="23" t="str">
        <f>IFERROR(__xludf.DUMMYFUNCTION("IFERROR(
  INDEX(
    QUERY(
      Historial!A:I,
      ""select I where B = '""&amp;A505&amp;""' order by A desc limit 1"",
      0
    ),
    1
  ),
  """"
)"),"")</f>
        <v/>
      </c>
      <c r="Q505" s="19" t="s">
        <v>37</v>
      </c>
      <c r="R505" s="24">
        <v>46394.0</v>
      </c>
      <c r="S505" s="20" t="str">
        <f>IFERROR(__xludf.DUMMYFUNCTION("IFERROR(
  INDEX(
    QUERY(
      Historial!A:G,
      ""select G where B = '""&amp;A505&amp;""' order by A desc limit 1"",
      0
    ),
    1
  ),
  """"
)"),"")</f>
        <v/>
      </c>
      <c r="T505" s="20" t="str">
        <f t="shared" si="3"/>
        <v/>
      </c>
      <c r="U505" s="20" t="str">
        <f t="shared" si="4"/>
        <v/>
      </c>
      <c r="V505" s="25">
        <v>0.0</v>
      </c>
      <c r="W505" s="26">
        <v>0.0</v>
      </c>
      <c r="X505" s="26">
        <v>0.0</v>
      </c>
      <c r="Y505" s="27"/>
      <c r="Z505" s="26">
        <v>10.0</v>
      </c>
      <c r="AA505" s="26">
        <v>0.0</v>
      </c>
      <c r="AB505" s="26">
        <v>0.0</v>
      </c>
      <c r="AC505" s="27"/>
      <c r="AD505" s="27"/>
      <c r="AE505" s="10" t="s">
        <v>38</v>
      </c>
      <c r="AF505" s="10" t="s">
        <v>44</v>
      </c>
      <c r="AG505" s="27"/>
    </row>
    <row r="506" ht="15.75" customHeight="1">
      <c r="A506" s="34" t="s">
        <v>1092</v>
      </c>
      <c r="B506" s="35">
        <v>10000.0</v>
      </c>
      <c r="C506" s="15" t="s">
        <v>703</v>
      </c>
      <c r="D506" s="15" t="s">
        <v>1093</v>
      </c>
      <c r="E506" s="15"/>
      <c r="F506" s="41">
        <v>1.0</v>
      </c>
      <c r="G506" s="33">
        <v>0.0</v>
      </c>
      <c r="H506" s="33">
        <v>0.0</v>
      </c>
      <c r="I506" s="29">
        <v>0.0</v>
      </c>
      <c r="J506" s="19" t="str">
        <f t="shared" si="25"/>
        <v>sin oferta</v>
      </c>
      <c r="K506" s="20" t="str">
        <f t="shared" si="23"/>
        <v>NORMAL / SIN OFERTA</v>
      </c>
      <c r="L506" s="15"/>
      <c r="M506" s="20"/>
      <c r="N506" s="21">
        <v>0.0</v>
      </c>
      <c r="O506" s="22">
        <v>3.0</v>
      </c>
      <c r="P506" s="23" t="str">
        <f>IFERROR(__xludf.DUMMYFUNCTION("IFERROR(
  INDEX(
    QUERY(
      Historial!A:I,
      ""select I where B = '""&amp;A506&amp;""' order by A desc limit 1"",
      0
    ),
    1
  ),
  """"
)"),"")</f>
        <v/>
      </c>
      <c r="Q506" s="19" t="s">
        <v>43</v>
      </c>
      <c r="R506" s="24">
        <v>46395.0</v>
      </c>
      <c r="S506" s="20" t="str">
        <f>IFERROR(__xludf.DUMMYFUNCTION("IFERROR(
  INDEX(
    QUERY(
      Historial!A:G,
      ""select G where B = '""&amp;A506&amp;""' order by A desc limit 1"",
      0
    ),
    1
  ),
  """"
)"),"")</f>
        <v/>
      </c>
      <c r="T506" s="20" t="str">
        <f t="shared" si="3"/>
        <v/>
      </c>
      <c r="U506" s="20" t="str">
        <f t="shared" si="4"/>
        <v/>
      </c>
      <c r="V506" s="25">
        <v>0.0</v>
      </c>
      <c r="W506" s="26">
        <v>0.0</v>
      </c>
      <c r="X506" s="26">
        <v>0.0</v>
      </c>
      <c r="Y506" s="27"/>
      <c r="Z506" s="26">
        <v>10.0</v>
      </c>
      <c r="AA506" s="26">
        <v>0.0</v>
      </c>
      <c r="AB506" s="26">
        <v>0.0</v>
      </c>
      <c r="AC506" s="27"/>
      <c r="AD506" s="27"/>
      <c r="AE506" s="10" t="s">
        <v>38</v>
      </c>
      <c r="AF506" s="10" t="s">
        <v>44</v>
      </c>
      <c r="AG506" s="27"/>
    </row>
    <row r="507" ht="15.75" customHeight="1">
      <c r="A507" s="34" t="s">
        <v>1094</v>
      </c>
      <c r="B507" s="35">
        <v>12000.0</v>
      </c>
      <c r="C507" s="15" t="s">
        <v>703</v>
      </c>
      <c r="D507" s="15" t="s">
        <v>1095</v>
      </c>
      <c r="E507" s="15"/>
      <c r="F507" s="41">
        <v>1.0</v>
      </c>
      <c r="G507" s="33">
        <v>0.0</v>
      </c>
      <c r="H507" s="33">
        <v>0.0</v>
      </c>
      <c r="I507" s="29">
        <v>0.0</v>
      </c>
      <c r="J507" s="19" t="str">
        <f t="shared" si="25"/>
        <v>sin oferta</v>
      </c>
      <c r="K507" s="20" t="str">
        <f t="shared" si="23"/>
        <v>NORMAL / SIN OFERTA</v>
      </c>
      <c r="L507" s="15"/>
      <c r="M507" s="20"/>
      <c r="N507" s="21">
        <v>0.0</v>
      </c>
      <c r="O507" s="22">
        <v>3.0</v>
      </c>
      <c r="P507" s="23" t="str">
        <f>IFERROR(__xludf.DUMMYFUNCTION("IFERROR(
  INDEX(
    QUERY(
      Historial!A:I,
      ""select I where B = '""&amp;A507&amp;""' order by A desc limit 1"",
      0
    ),
    1
  ),
  """"
)"),"")</f>
        <v/>
      </c>
      <c r="Q507" s="19" t="s">
        <v>48</v>
      </c>
      <c r="R507" s="24">
        <v>46396.0</v>
      </c>
      <c r="S507" s="20" t="str">
        <f>IFERROR(__xludf.DUMMYFUNCTION("IFERROR(
  INDEX(
    QUERY(
      Historial!A:G,
      ""select G where B = '""&amp;A507&amp;""' order by A desc limit 1"",
      0
    ),
    1
  ),
  """"
)"),"")</f>
        <v/>
      </c>
      <c r="T507" s="20" t="str">
        <f t="shared" si="3"/>
        <v/>
      </c>
      <c r="U507" s="20" t="str">
        <f t="shared" si="4"/>
        <v/>
      </c>
      <c r="V507" s="25">
        <v>0.0</v>
      </c>
      <c r="W507" s="26">
        <v>0.0</v>
      </c>
      <c r="X507" s="26">
        <v>0.0</v>
      </c>
      <c r="Y507" s="27"/>
      <c r="Z507" s="26">
        <v>10.0</v>
      </c>
      <c r="AA507" s="26">
        <v>0.0</v>
      </c>
      <c r="AB507" s="26">
        <v>0.0</v>
      </c>
      <c r="AC507" s="27"/>
      <c r="AD507" s="27"/>
      <c r="AE507" s="10" t="s">
        <v>38</v>
      </c>
      <c r="AF507" s="10" t="s">
        <v>44</v>
      </c>
      <c r="AG507" s="27"/>
    </row>
    <row r="508" ht="15.75" customHeight="1">
      <c r="A508" s="31" t="s">
        <v>1096</v>
      </c>
      <c r="B508" s="20">
        <v>12000.0</v>
      </c>
      <c r="C508" s="20" t="s">
        <v>703</v>
      </c>
      <c r="D508" s="15" t="s">
        <v>1097</v>
      </c>
      <c r="E508" s="15"/>
      <c r="F508" s="41">
        <v>1.0</v>
      </c>
      <c r="G508" s="33">
        <v>0.0</v>
      </c>
      <c r="H508" s="33">
        <v>0.0</v>
      </c>
      <c r="I508" s="29">
        <v>0.0</v>
      </c>
      <c r="J508" s="19" t="str">
        <f t="shared" si="25"/>
        <v>sin oferta</v>
      </c>
      <c r="K508" s="20" t="str">
        <f t="shared" si="23"/>
        <v>NORMAL / SIN OFERTA</v>
      </c>
      <c r="L508" s="15"/>
      <c r="M508" s="20"/>
      <c r="N508" s="21">
        <v>0.0</v>
      </c>
      <c r="O508" s="22">
        <v>3.0</v>
      </c>
      <c r="P508" s="23" t="str">
        <f>IFERROR(__xludf.DUMMYFUNCTION("IFERROR(
  INDEX(
    QUERY(
      Historial!A:I,
      ""select I where B = '""&amp;A508&amp;""' order by A desc limit 1"",
      0
    ),
    1
  ),
  """"
)"),"")</f>
        <v/>
      </c>
      <c r="Q508" s="19" t="s">
        <v>51</v>
      </c>
      <c r="R508" s="24">
        <v>46397.0</v>
      </c>
      <c r="S508" s="20" t="str">
        <f>IFERROR(__xludf.DUMMYFUNCTION("IFERROR(
  INDEX(
    QUERY(
      Historial!A:G,
      ""select G where B = '""&amp;A508&amp;""' order by A desc limit 1"",
      0
    ),
    1
  ),
  """"
)"),"")</f>
        <v/>
      </c>
      <c r="T508" s="20" t="str">
        <f t="shared" si="3"/>
        <v/>
      </c>
      <c r="U508" s="20" t="str">
        <f t="shared" si="4"/>
        <v/>
      </c>
      <c r="V508" s="25">
        <v>0.0</v>
      </c>
      <c r="W508" s="26">
        <v>0.0</v>
      </c>
      <c r="X508" s="26">
        <v>0.0</v>
      </c>
      <c r="Y508" s="27"/>
      <c r="Z508" s="26">
        <v>10.0</v>
      </c>
      <c r="AA508" s="26">
        <v>0.0</v>
      </c>
      <c r="AB508" s="26">
        <v>0.0</v>
      </c>
      <c r="AC508" s="27"/>
      <c r="AD508" s="27"/>
      <c r="AE508" s="10" t="s">
        <v>38</v>
      </c>
      <c r="AF508" s="10" t="s">
        <v>44</v>
      </c>
      <c r="AG508" s="27"/>
    </row>
    <row r="509" ht="15.75" customHeight="1">
      <c r="A509" s="34" t="s">
        <v>1098</v>
      </c>
      <c r="B509" s="35">
        <v>12000.0</v>
      </c>
      <c r="C509" s="15" t="s">
        <v>703</v>
      </c>
      <c r="D509" s="15" t="s">
        <v>1099</v>
      </c>
      <c r="E509" s="15"/>
      <c r="F509" s="41">
        <v>1.0</v>
      </c>
      <c r="G509" s="33">
        <v>0.0</v>
      </c>
      <c r="H509" s="33">
        <v>0.0</v>
      </c>
      <c r="I509" s="29">
        <v>0.0</v>
      </c>
      <c r="J509" s="19" t="str">
        <f t="shared" si="25"/>
        <v>sin oferta</v>
      </c>
      <c r="K509" s="20" t="str">
        <f t="shared" si="23"/>
        <v>NORMAL / SIN OFERTA</v>
      </c>
      <c r="L509" s="15"/>
      <c r="M509" s="20"/>
      <c r="N509" s="21">
        <v>0.0</v>
      </c>
      <c r="O509" s="22">
        <v>3.0</v>
      </c>
      <c r="P509" s="23" t="str">
        <f>IFERROR(__xludf.DUMMYFUNCTION("IFERROR(
  INDEX(
    QUERY(
      Historial!A:I,
      ""select I where B = '""&amp;A509&amp;""' order by A desc limit 1"",
      0
    ),
    1
  ),
  """"
)"),"")</f>
        <v/>
      </c>
      <c r="Q509" s="19" t="s">
        <v>57</v>
      </c>
      <c r="R509" s="24">
        <v>46398.0</v>
      </c>
      <c r="S509" s="20" t="str">
        <f>IFERROR(__xludf.DUMMYFUNCTION("IFERROR(
  INDEX(
    QUERY(
      Historial!A:G,
      ""select G where B = '""&amp;A509&amp;""' order by A desc limit 1"",
      0
    ),
    1
  ),
  """"
)"),"")</f>
        <v/>
      </c>
      <c r="T509" s="20" t="str">
        <f t="shared" si="3"/>
        <v/>
      </c>
      <c r="U509" s="20" t="str">
        <f t="shared" si="4"/>
        <v/>
      </c>
      <c r="V509" s="25">
        <v>0.0</v>
      </c>
      <c r="W509" s="26">
        <v>0.0</v>
      </c>
      <c r="X509" s="26">
        <v>0.0</v>
      </c>
      <c r="Y509" s="27"/>
      <c r="Z509" s="26">
        <v>10.0</v>
      </c>
      <c r="AA509" s="26">
        <v>0.0</v>
      </c>
      <c r="AB509" s="26">
        <v>0.0</v>
      </c>
      <c r="AC509" s="27"/>
      <c r="AD509" s="27"/>
      <c r="AE509" s="10" t="s">
        <v>38</v>
      </c>
      <c r="AF509" s="10" t="s">
        <v>44</v>
      </c>
      <c r="AG509" s="27"/>
    </row>
    <row r="510" ht="15.75" customHeight="1">
      <c r="A510" s="34" t="s">
        <v>1100</v>
      </c>
      <c r="B510" s="35">
        <v>10000.0</v>
      </c>
      <c r="C510" s="15" t="s">
        <v>703</v>
      </c>
      <c r="D510" s="15" t="s">
        <v>1101</v>
      </c>
      <c r="E510" s="15"/>
      <c r="F510" s="41">
        <v>1.0</v>
      </c>
      <c r="G510" s="33">
        <v>0.0</v>
      </c>
      <c r="H510" s="33">
        <v>0.0</v>
      </c>
      <c r="I510" s="29">
        <v>0.0</v>
      </c>
      <c r="J510" s="19" t="str">
        <f t="shared" si="25"/>
        <v>sin oferta</v>
      </c>
      <c r="K510" s="20" t="str">
        <f t="shared" si="23"/>
        <v>NORMAL / SIN OFERTA</v>
      </c>
      <c r="L510" s="15"/>
      <c r="M510" s="20"/>
      <c r="N510" s="21">
        <v>0.0</v>
      </c>
      <c r="O510" s="22">
        <v>3.0</v>
      </c>
      <c r="P510" s="23" t="str">
        <f>IFERROR(__xludf.DUMMYFUNCTION("IFERROR(
  INDEX(
    QUERY(
      Historial!A:I,
      ""select I where B = '""&amp;A510&amp;""' order by A desc limit 1"",
      0
    ),
    1
  ),
  """"
)"),"")</f>
        <v/>
      </c>
      <c r="Q510" s="19" t="s">
        <v>60</v>
      </c>
      <c r="R510" s="24">
        <v>46399.0</v>
      </c>
      <c r="S510" s="20" t="str">
        <f>IFERROR(__xludf.DUMMYFUNCTION("IFERROR(
  INDEX(
    QUERY(
      Historial!A:G,
      ""select G where B = '""&amp;A510&amp;""' order by A desc limit 1"",
      0
    ),
    1
  ),
  """"
)"),"")</f>
        <v/>
      </c>
      <c r="T510" s="20" t="str">
        <f t="shared" si="3"/>
        <v/>
      </c>
      <c r="U510" s="20" t="str">
        <f t="shared" si="4"/>
        <v/>
      </c>
      <c r="V510" s="25">
        <v>0.0</v>
      </c>
      <c r="W510" s="26">
        <v>0.0</v>
      </c>
      <c r="X510" s="26">
        <v>0.0</v>
      </c>
      <c r="Y510" s="27"/>
      <c r="Z510" s="26">
        <v>10.0</v>
      </c>
      <c r="AA510" s="26">
        <v>0.0</v>
      </c>
      <c r="AB510" s="26">
        <v>0.0</v>
      </c>
      <c r="AC510" s="27"/>
      <c r="AD510" s="27"/>
      <c r="AE510" s="10" t="s">
        <v>38</v>
      </c>
      <c r="AF510" s="10" t="s">
        <v>44</v>
      </c>
      <c r="AG510" s="27"/>
    </row>
    <row r="511" ht="15.75" customHeight="1">
      <c r="A511" s="34" t="s">
        <v>1102</v>
      </c>
      <c r="B511" s="35">
        <v>32000.0</v>
      </c>
      <c r="C511" s="15" t="s">
        <v>703</v>
      </c>
      <c r="D511" s="15" t="s">
        <v>1103</v>
      </c>
      <c r="E511" s="15"/>
      <c r="F511" s="41">
        <v>1.0</v>
      </c>
      <c r="G511" s="33">
        <v>0.0</v>
      </c>
      <c r="H511" s="33">
        <v>0.0</v>
      </c>
      <c r="I511" s="29">
        <v>0.0</v>
      </c>
      <c r="J511" s="19" t="str">
        <f t="shared" si="25"/>
        <v>sin oferta</v>
      </c>
      <c r="K511" s="20" t="str">
        <f t="shared" si="23"/>
        <v>NORMAL / SIN OFERTA</v>
      </c>
      <c r="L511" s="15"/>
      <c r="M511" s="20"/>
      <c r="N511" s="21">
        <v>0.0</v>
      </c>
      <c r="O511" s="22">
        <v>3.0</v>
      </c>
      <c r="P511" s="23" t="str">
        <f>IFERROR(__xludf.DUMMYFUNCTION("IFERROR(
  INDEX(
    QUERY(
      Historial!A:I,
      ""select I where B = '""&amp;A511&amp;""' order by A desc limit 1"",
      0
    ),
    1
  ),
  """"
)"),"")</f>
        <v/>
      </c>
      <c r="Q511" s="19" t="s">
        <v>63</v>
      </c>
      <c r="R511" s="24">
        <v>46400.0</v>
      </c>
      <c r="S511" s="20" t="str">
        <f>IFERROR(__xludf.DUMMYFUNCTION("IFERROR(
  INDEX(
    QUERY(
      Historial!A:G,
      ""select G where B = '""&amp;A511&amp;""' order by A desc limit 1"",
      0
    ),
    1
  ),
  """"
)"),"")</f>
        <v/>
      </c>
      <c r="T511" s="20" t="str">
        <f t="shared" si="3"/>
        <v/>
      </c>
      <c r="U511" s="20" t="str">
        <f t="shared" si="4"/>
        <v/>
      </c>
      <c r="V511" s="25">
        <v>0.0</v>
      </c>
      <c r="W511" s="26">
        <v>0.0</v>
      </c>
      <c r="X511" s="26">
        <v>0.0</v>
      </c>
      <c r="Y511" s="27"/>
      <c r="Z511" s="26">
        <v>10.0</v>
      </c>
      <c r="AA511" s="26">
        <v>0.0</v>
      </c>
      <c r="AB511" s="26">
        <v>0.0</v>
      </c>
      <c r="AC511" s="27"/>
      <c r="AD511" s="27"/>
      <c r="AE511" s="10" t="s">
        <v>38</v>
      </c>
      <c r="AF511" s="10" t="s">
        <v>44</v>
      </c>
      <c r="AG511" s="27"/>
    </row>
    <row r="512" ht="15.75" customHeight="1">
      <c r="A512" s="34" t="s">
        <v>1104</v>
      </c>
      <c r="B512" s="35">
        <v>100000.0</v>
      </c>
      <c r="C512" s="15" t="s">
        <v>703</v>
      </c>
      <c r="D512" s="15" t="s">
        <v>1105</v>
      </c>
      <c r="E512" s="15"/>
      <c r="F512" s="41">
        <v>1.0</v>
      </c>
      <c r="G512" s="33">
        <v>0.0</v>
      </c>
      <c r="H512" s="33">
        <v>0.0</v>
      </c>
      <c r="I512" s="29">
        <v>0.0</v>
      </c>
      <c r="J512" s="19" t="str">
        <f t="shared" si="25"/>
        <v>sin oferta</v>
      </c>
      <c r="K512" s="20" t="str">
        <f t="shared" si="23"/>
        <v>NORMAL / SIN OFERTA</v>
      </c>
      <c r="L512" s="15"/>
      <c r="M512" s="20"/>
      <c r="N512" s="21">
        <v>0.0</v>
      </c>
      <c r="O512" s="22">
        <v>3.0</v>
      </c>
      <c r="P512" s="23" t="str">
        <f>IFERROR(__xludf.DUMMYFUNCTION("IFERROR(
  INDEX(
    QUERY(
      Historial!A:I,
      ""select I where B = '""&amp;A512&amp;""' order by A desc limit 1"",
      0
    ),
    1
  ),
  """"
)"),"")</f>
        <v/>
      </c>
      <c r="Q512" s="19" t="s">
        <v>37</v>
      </c>
      <c r="R512" s="24">
        <v>46401.0</v>
      </c>
      <c r="S512" s="20" t="str">
        <f>IFERROR(__xludf.DUMMYFUNCTION("IFERROR(
  INDEX(
    QUERY(
      Historial!A:G,
      ""select G where B = '""&amp;A512&amp;""' order by A desc limit 1"",
      0
    ),
    1
  ),
  """"
)"),"")</f>
        <v/>
      </c>
      <c r="T512" s="20" t="str">
        <f t="shared" si="3"/>
        <v/>
      </c>
      <c r="U512" s="20" t="str">
        <f t="shared" si="4"/>
        <v/>
      </c>
      <c r="V512" s="25">
        <v>0.0</v>
      </c>
      <c r="W512" s="26">
        <v>0.0</v>
      </c>
      <c r="X512" s="26">
        <v>0.0</v>
      </c>
      <c r="Y512" s="27"/>
      <c r="Z512" s="26">
        <v>10.0</v>
      </c>
      <c r="AA512" s="26">
        <v>0.0</v>
      </c>
      <c r="AB512" s="26">
        <v>0.0</v>
      </c>
      <c r="AC512" s="27"/>
      <c r="AD512" s="27"/>
      <c r="AE512" s="10" t="s">
        <v>38</v>
      </c>
      <c r="AF512" s="10" t="s">
        <v>44</v>
      </c>
      <c r="AG512" s="27"/>
    </row>
    <row r="513" ht="15.75" customHeight="1">
      <c r="A513" s="34" t="s">
        <v>1106</v>
      </c>
      <c r="B513" s="35">
        <v>100000.0</v>
      </c>
      <c r="C513" s="15" t="s">
        <v>703</v>
      </c>
      <c r="D513" s="15" t="s">
        <v>1107</v>
      </c>
      <c r="E513" s="15"/>
      <c r="F513" s="41">
        <v>1.0</v>
      </c>
      <c r="G513" s="33">
        <v>0.0</v>
      </c>
      <c r="H513" s="33">
        <v>0.0</v>
      </c>
      <c r="I513" s="29">
        <v>0.0</v>
      </c>
      <c r="J513" s="19" t="str">
        <f t="shared" si="25"/>
        <v>sin oferta</v>
      </c>
      <c r="K513" s="20" t="str">
        <f t="shared" si="23"/>
        <v>NORMAL / SIN OFERTA</v>
      </c>
      <c r="L513" s="15"/>
      <c r="M513" s="20"/>
      <c r="N513" s="21">
        <v>0.0</v>
      </c>
      <c r="O513" s="22">
        <v>3.0</v>
      </c>
      <c r="P513" s="23" t="str">
        <f>IFERROR(__xludf.DUMMYFUNCTION("IFERROR(
  INDEX(
    QUERY(
      Historial!A:I,
      ""select I where B = '""&amp;A513&amp;""' order by A desc limit 1"",
      0
    ),
    1
  ),
  """"
)"),"")</f>
        <v/>
      </c>
      <c r="Q513" s="19" t="s">
        <v>48</v>
      </c>
      <c r="R513" s="24">
        <v>46403.0</v>
      </c>
      <c r="S513" s="20" t="str">
        <f>IFERROR(__xludf.DUMMYFUNCTION("IFERROR(
  INDEX(
    QUERY(
      Historial!A:G,
      ""select G where B = '""&amp;A513&amp;""' order by A desc limit 1"",
      0
    ),
    1
  ),
  """"
)"),"")</f>
        <v/>
      </c>
      <c r="T513" s="20" t="str">
        <f t="shared" si="3"/>
        <v/>
      </c>
      <c r="U513" s="20" t="str">
        <f t="shared" si="4"/>
        <v/>
      </c>
      <c r="V513" s="25">
        <v>0.0</v>
      </c>
      <c r="W513" s="26">
        <v>0.0</v>
      </c>
      <c r="X513" s="26">
        <v>0.0</v>
      </c>
      <c r="Y513" s="27"/>
      <c r="Z513" s="26">
        <v>10.0</v>
      </c>
      <c r="AA513" s="26">
        <v>0.0</v>
      </c>
      <c r="AB513" s="26">
        <v>0.0</v>
      </c>
      <c r="AC513" s="27"/>
      <c r="AD513" s="27"/>
      <c r="AE513" s="10" t="s">
        <v>38</v>
      </c>
      <c r="AF513" s="10" t="s">
        <v>44</v>
      </c>
      <c r="AG513" s="27"/>
    </row>
    <row r="514" ht="15.75" customHeight="1">
      <c r="A514" s="34" t="s">
        <v>1108</v>
      </c>
      <c r="B514" s="35">
        <v>7000.0</v>
      </c>
      <c r="C514" s="15" t="s">
        <v>703</v>
      </c>
      <c r="D514" s="15" t="s">
        <v>1109</v>
      </c>
      <c r="E514" s="15"/>
      <c r="F514" s="41">
        <v>1.0</v>
      </c>
      <c r="G514" s="33">
        <v>0.0</v>
      </c>
      <c r="H514" s="33">
        <v>0.0</v>
      </c>
      <c r="I514" s="29">
        <v>0.0</v>
      </c>
      <c r="J514" s="19" t="str">
        <f t="shared" si="25"/>
        <v>sin oferta</v>
      </c>
      <c r="K514" s="20" t="str">
        <f t="shared" si="23"/>
        <v>NORMAL / SIN OFERTA</v>
      </c>
      <c r="L514" s="15"/>
      <c r="M514" s="20"/>
      <c r="N514" s="21">
        <v>0.0</v>
      </c>
      <c r="O514" s="22">
        <v>3.0</v>
      </c>
      <c r="P514" s="23" t="str">
        <f>IFERROR(__xludf.DUMMYFUNCTION("IFERROR(
  INDEX(
    QUERY(
      Historial!A:I,
      ""select I where B = '""&amp;A514&amp;""' order by A desc limit 1"",
      0
    ),
    1
  ),
  """"
)"),"")</f>
        <v/>
      </c>
      <c r="Q514" s="19" t="s">
        <v>51</v>
      </c>
      <c r="R514" s="24">
        <v>46404.0</v>
      </c>
      <c r="S514" s="20" t="str">
        <f>IFERROR(__xludf.DUMMYFUNCTION("IFERROR(
  INDEX(
    QUERY(
      Historial!A:G,
      ""select G where B = '""&amp;A514&amp;""' order by A desc limit 1"",
      0
    ),
    1
  ),
  """"
)"),"")</f>
        <v/>
      </c>
      <c r="T514" s="20" t="str">
        <f t="shared" si="3"/>
        <v/>
      </c>
      <c r="U514" s="20" t="str">
        <f t="shared" si="4"/>
        <v/>
      </c>
      <c r="V514" s="25">
        <v>0.0</v>
      </c>
      <c r="W514" s="26">
        <v>0.0</v>
      </c>
      <c r="X514" s="26">
        <v>0.0</v>
      </c>
      <c r="Y514" s="27"/>
      <c r="Z514" s="26">
        <v>10.0</v>
      </c>
      <c r="AA514" s="26">
        <v>0.0</v>
      </c>
      <c r="AB514" s="26">
        <v>0.0</v>
      </c>
      <c r="AC514" s="27"/>
      <c r="AD514" s="27"/>
      <c r="AE514" s="10" t="s">
        <v>38</v>
      </c>
      <c r="AF514" s="10" t="s">
        <v>44</v>
      </c>
      <c r="AG514" s="27"/>
    </row>
    <row r="515" ht="15.75" customHeight="1">
      <c r="A515" s="34" t="s">
        <v>1110</v>
      </c>
      <c r="B515" s="35">
        <v>12000.0</v>
      </c>
      <c r="C515" s="15" t="s">
        <v>703</v>
      </c>
      <c r="D515" s="15" t="s">
        <v>1111</v>
      </c>
      <c r="E515" s="15"/>
      <c r="F515" s="41">
        <v>1.0</v>
      </c>
      <c r="G515" s="33">
        <v>0.0</v>
      </c>
      <c r="H515" s="33">
        <v>0.0</v>
      </c>
      <c r="I515" s="29">
        <v>0.0</v>
      </c>
      <c r="J515" s="19" t="str">
        <f t="shared" si="25"/>
        <v>sin oferta</v>
      </c>
      <c r="K515" s="20" t="str">
        <f t="shared" si="23"/>
        <v>NORMAL / SIN OFERTA</v>
      </c>
      <c r="L515" s="15"/>
      <c r="M515" s="20"/>
      <c r="N515" s="21">
        <v>0.0</v>
      </c>
      <c r="O515" s="22">
        <v>3.0</v>
      </c>
      <c r="P515" s="23" t="str">
        <f>IFERROR(__xludf.DUMMYFUNCTION("IFERROR(
  INDEX(
    QUERY(
      Historial!A:I,
      ""select I where B = '""&amp;A515&amp;""' order by A desc limit 1"",
      0
    ),
    1
  ),
  """"
)"),"")</f>
        <v/>
      </c>
      <c r="Q515" s="19" t="s">
        <v>57</v>
      </c>
      <c r="R515" s="24">
        <v>46405.0</v>
      </c>
      <c r="S515" s="20" t="str">
        <f>IFERROR(__xludf.DUMMYFUNCTION("IFERROR(
  INDEX(
    QUERY(
      Historial!A:G,
      ""select G where B = '""&amp;A515&amp;""' order by A desc limit 1"",
      0
    ),
    1
  ),
  """"
)"),"")</f>
        <v/>
      </c>
      <c r="T515" s="20" t="str">
        <f t="shared" si="3"/>
        <v/>
      </c>
      <c r="U515" s="20" t="str">
        <f t="shared" si="4"/>
        <v/>
      </c>
      <c r="V515" s="25">
        <v>0.0</v>
      </c>
      <c r="W515" s="26">
        <v>0.0</v>
      </c>
      <c r="X515" s="26">
        <v>0.0</v>
      </c>
      <c r="Y515" s="27"/>
      <c r="Z515" s="26">
        <v>10.0</v>
      </c>
      <c r="AA515" s="26">
        <v>0.0</v>
      </c>
      <c r="AB515" s="26">
        <v>0.0</v>
      </c>
      <c r="AC515" s="27"/>
      <c r="AD515" s="27"/>
      <c r="AE515" s="10" t="s">
        <v>38</v>
      </c>
      <c r="AF515" s="10" t="s">
        <v>44</v>
      </c>
      <c r="AG515" s="27"/>
    </row>
    <row r="516" ht="15.75" customHeight="1">
      <c r="A516" s="34" t="s">
        <v>1112</v>
      </c>
      <c r="B516" s="35">
        <v>5000.0</v>
      </c>
      <c r="C516" s="15" t="s">
        <v>703</v>
      </c>
      <c r="D516" s="15" t="s">
        <v>1113</v>
      </c>
      <c r="E516" s="15"/>
      <c r="F516" s="41">
        <v>1.0</v>
      </c>
      <c r="G516" s="33">
        <v>0.0</v>
      </c>
      <c r="H516" s="33">
        <v>0.0</v>
      </c>
      <c r="I516" s="29">
        <v>0.0</v>
      </c>
      <c r="J516" s="19" t="str">
        <f t="shared" si="25"/>
        <v>sin oferta</v>
      </c>
      <c r="K516" s="20" t="str">
        <f t="shared" si="23"/>
        <v>NORMAL / SIN OFERTA</v>
      </c>
      <c r="L516" s="15"/>
      <c r="M516" s="20"/>
      <c r="N516" s="21">
        <v>0.0</v>
      </c>
      <c r="O516" s="22">
        <v>3.0</v>
      </c>
      <c r="P516" s="23" t="str">
        <f>IFERROR(__xludf.DUMMYFUNCTION("IFERROR(
  INDEX(
    QUERY(
      Historial!A:I,
      ""select I where B = '""&amp;A516&amp;""' order by A desc limit 1"",
      0
    ),
    1
  ),
  """"
)"),"")</f>
        <v/>
      </c>
      <c r="Q516" s="19" t="s">
        <v>60</v>
      </c>
      <c r="R516" s="24">
        <v>46406.0</v>
      </c>
      <c r="S516" s="20" t="str">
        <f>IFERROR(__xludf.DUMMYFUNCTION("IFERROR(
  INDEX(
    QUERY(
      Historial!A:G,
      ""select G where B = '""&amp;A516&amp;""' order by A desc limit 1"",
      0
    ),
    1
  ),
  """"
)"),"")</f>
        <v/>
      </c>
      <c r="T516" s="20" t="str">
        <f t="shared" si="3"/>
        <v/>
      </c>
      <c r="U516" s="20" t="str">
        <f t="shared" si="4"/>
        <v/>
      </c>
      <c r="V516" s="25">
        <v>0.0</v>
      </c>
      <c r="W516" s="26">
        <v>0.0</v>
      </c>
      <c r="X516" s="26">
        <v>0.0</v>
      </c>
      <c r="Y516" s="27"/>
      <c r="Z516" s="26">
        <v>10.0</v>
      </c>
      <c r="AA516" s="26">
        <v>0.0</v>
      </c>
      <c r="AB516" s="26">
        <v>0.0</v>
      </c>
      <c r="AC516" s="27"/>
      <c r="AD516" s="27"/>
      <c r="AE516" s="10" t="s">
        <v>38</v>
      </c>
      <c r="AF516" s="10" t="s">
        <v>44</v>
      </c>
      <c r="AG516" s="27"/>
    </row>
    <row r="517" ht="15.75" customHeight="1">
      <c r="A517" s="31" t="s">
        <v>1114</v>
      </c>
      <c r="B517" s="20">
        <v>12000.0</v>
      </c>
      <c r="C517" s="20" t="s">
        <v>703</v>
      </c>
      <c r="D517" s="15" t="s">
        <v>1115</v>
      </c>
      <c r="E517" s="15"/>
      <c r="F517" s="41">
        <v>1.0</v>
      </c>
      <c r="G517" s="33">
        <v>0.0</v>
      </c>
      <c r="H517" s="33">
        <v>0.0</v>
      </c>
      <c r="I517" s="29">
        <v>0.0</v>
      </c>
      <c r="J517" s="19" t="str">
        <f t="shared" si="25"/>
        <v>sin oferta</v>
      </c>
      <c r="K517" s="20" t="str">
        <f t="shared" si="23"/>
        <v>NORMAL / SIN OFERTA</v>
      </c>
      <c r="L517" s="15"/>
      <c r="M517" s="20"/>
      <c r="N517" s="21">
        <v>0.0</v>
      </c>
      <c r="O517" s="22">
        <v>3.0</v>
      </c>
      <c r="P517" s="23" t="str">
        <f>IFERROR(__xludf.DUMMYFUNCTION("IFERROR(
  INDEX(
    QUERY(
      Historial!A:I,
      ""select I where B = '""&amp;A517&amp;""' order by A desc limit 1"",
      0
    ),
    1
  ),
  """"
)"),"")</f>
        <v/>
      </c>
      <c r="Q517" s="19" t="s">
        <v>63</v>
      </c>
      <c r="R517" s="24">
        <v>46407.0</v>
      </c>
      <c r="S517" s="20" t="str">
        <f>IFERROR(__xludf.DUMMYFUNCTION("IFERROR(
  INDEX(
    QUERY(
      Historial!A:G,
      ""select G where B = '""&amp;A517&amp;""' order by A desc limit 1"",
      0
    ),
    1
  ),
  """"
)"),"")</f>
        <v/>
      </c>
      <c r="T517" s="20" t="str">
        <f t="shared" si="3"/>
        <v/>
      </c>
      <c r="U517" s="20" t="str">
        <f t="shared" si="4"/>
        <v/>
      </c>
      <c r="V517" s="25">
        <v>0.0</v>
      </c>
      <c r="W517" s="26">
        <v>0.0</v>
      </c>
      <c r="X517" s="26">
        <v>0.0</v>
      </c>
      <c r="Y517" s="27"/>
      <c r="Z517" s="26">
        <v>10.0</v>
      </c>
      <c r="AA517" s="26">
        <v>0.0</v>
      </c>
      <c r="AB517" s="26">
        <v>0.0</v>
      </c>
      <c r="AC517" s="27"/>
      <c r="AD517" s="27"/>
      <c r="AE517" s="10" t="s">
        <v>38</v>
      </c>
      <c r="AF517" s="10" t="s">
        <v>44</v>
      </c>
      <c r="AG517" s="27"/>
    </row>
    <row r="518" ht="15.75" customHeight="1">
      <c r="A518" s="31" t="s">
        <v>1116</v>
      </c>
      <c r="B518" s="20">
        <v>120000.0</v>
      </c>
      <c r="C518" s="20" t="s">
        <v>703</v>
      </c>
      <c r="D518" s="15" t="s">
        <v>1117</v>
      </c>
      <c r="E518" s="15"/>
      <c r="F518" s="41">
        <v>1.0</v>
      </c>
      <c r="G518" s="33">
        <v>0.0</v>
      </c>
      <c r="H518" s="33">
        <v>0.0</v>
      </c>
      <c r="I518" s="29">
        <v>0.0</v>
      </c>
      <c r="J518" s="19" t="str">
        <f t="shared" si="25"/>
        <v>sin oferta</v>
      </c>
      <c r="K518" s="20" t="str">
        <f t="shared" si="23"/>
        <v>NORMAL / SIN OFERTA</v>
      </c>
      <c r="L518" s="15"/>
      <c r="M518" s="20"/>
      <c r="N518" s="21">
        <v>0.0</v>
      </c>
      <c r="O518" s="22">
        <v>3.0</v>
      </c>
      <c r="P518" s="23" t="str">
        <f>IFERROR(__xludf.DUMMYFUNCTION("IFERROR(
  INDEX(
    QUERY(
      Historial!A:I,
      ""select I where B = '""&amp;A518&amp;""' order by A desc limit 1"",
      0
    ),
    1
  ),
  """"
)"),"")</f>
        <v/>
      </c>
      <c r="Q518" s="19" t="s">
        <v>37</v>
      </c>
      <c r="R518" s="24">
        <v>46408.0</v>
      </c>
      <c r="S518" s="20" t="str">
        <f>IFERROR(__xludf.DUMMYFUNCTION("IFERROR(
  INDEX(
    QUERY(
      Historial!A:G,
      ""select G where B = '""&amp;A518&amp;""' order by A desc limit 1"",
      0
    ),
    1
  ),
  """"
)"),"")</f>
        <v/>
      </c>
      <c r="T518" s="20" t="str">
        <f t="shared" si="3"/>
        <v/>
      </c>
      <c r="U518" s="20" t="str">
        <f t="shared" si="4"/>
        <v/>
      </c>
      <c r="V518" s="25">
        <v>0.0</v>
      </c>
      <c r="W518" s="26">
        <v>0.0</v>
      </c>
      <c r="X518" s="26">
        <v>0.0</v>
      </c>
      <c r="Y518" s="27"/>
      <c r="Z518" s="26">
        <v>10.0</v>
      </c>
      <c r="AA518" s="26">
        <v>0.0</v>
      </c>
      <c r="AB518" s="26">
        <v>0.0</v>
      </c>
      <c r="AC518" s="27"/>
      <c r="AD518" s="27"/>
      <c r="AE518" s="10" t="s">
        <v>38</v>
      </c>
      <c r="AF518" s="10" t="s">
        <v>44</v>
      </c>
      <c r="AG518" s="27"/>
    </row>
    <row r="519" ht="15.75" customHeight="1">
      <c r="A519" s="31" t="s">
        <v>1118</v>
      </c>
      <c r="B519" s="20">
        <v>30000.0</v>
      </c>
      <c r="C519" s="20" t="s">
        <v>703</v>
      </c>
      <c r="D519" s="15" t="s">
        <v>1119</v>
      </c>
      <c r="E519" s="15"/>
      <c r="F519" s="41">
        <v>1.0</v>
      </c>
      <c r="G519" s="33">
        <v>0.0</v>
      </c>
      <c r="H519" s="33">
        <v>0.0</v>
      </c>
      <c r="I519" s="29">
        <v>0.0</v>
      </c>
      <c r="J519" s="19" t="str">
        <f t="shared" si="25"/>
        <v>sin oferta</v>
      </c>
      <c r="K519" s="20" t="str">
        <f t="shared" si="23"/>
        <v>NORMAL / SIN OFERTA</v>
      </c>
      <c r="L519" s="15"/>
      <c r="M519" s="20"/>
      <c r="N519" s="21">
        <v>0.0</v>
      </c>
      <c r="O519" s="22">
        <v>3.0</v>
      </c>
      <c r="P519" s="23" t="str">
        <f>IFERROR(__xludf.DUMMYFUNCTION("IFERROR(
  INDEX(
    QUERY(
      Historial!A:I,
      ""select I where B = '""&amp;A519&amp;""' order by A desc limit 1"",
      0
    ),
    1
  ),
  """"
)"),"")</f>
        <v/>
      </c>
      <c r="Q519" s="19" t="s">
        <v>43</v>
      </c>
      <c r="R519" s="24">
        <v>46409.0</v>
      </c>
      <c r="S519" s="20" t="str">
        <f>IFERROR(__xludf.DUMMYFUNCTION("IFERROR(
  INDEX(
    QUERY(
      Historial!A:G,
      ""select G where B = '""&amp;A519&amp;""' order by A desc limit 1"",
      0
    ),
    1
  ),
  """"
)"),"")</f>
        <v/>
      </c>
      <c r="T519" s="20" t="str">
        <f t="shared" si="3"/>
        <v/>
      </c>
      <c r="U519" s="20" t="str">
        <f t="shared" si="4"/>
        <v/>
      </c>
      <c r="V519" s="25">
        <v>0.0</v>
      </c>
      <c r="W519" s="26">
        <v>0.0</v>
      </c>
      <c r="X519" s="26">
        <v>0.0</v>
      </c>
      <c r="Y519" s="27"/>
      <c r="Z519" s="26">
        <v>10.0</v>
      </c>
      <c r="AA519" s="26">
        <v>0.0</v>
      </c>
      <c r="AB519" s="26">
        <v>0.0</v>
      </c>
      <c r="AC519" s="27"/>
      <c r="AD519" s="27"/>
      <c r="AE519" s="10" t="s">
        <v>38</v>
      </c>
      <c r="AF519" s="10" t="s">
        <v>44</v>
      </c>
      <c r="AG519" s="27"/>
    </row>
    <row r="520" ht="15.75" customHeight="1">
      <c r="A520" s="34" t="s">
        <v>1120</v>
      </c>
      <c r="B520" s="35">
        <v>45000.0</v>
      </c>
      <c r="C520" s="15" t="s">
        <v>703</v>
      </c>
      <c r="D520" s="15" t="s">
        <v>1121</v>
      </c>
      <c r="E520" s="15"/>
      <c r="F520" s="41">
        <v>1.0</v>
      </c>
      <c r="G520" s="33">
        <v>0.0</v>
      </c>
      <c r="H520" s="33">
        <v>0.0</v>
      </c>
      <c r="I520" s="29">
        <v>0.0</v>
      </c>
      <c r="J520" s="19" t="str">
        <f t="shared" si="25"/>
        <v>sin oferta</v>
      </c>
      <c r="K520" s="20" t="str">
        <f t="shared" si="23"/>
        <v>NORMAL / SIN OFERTA</v>
      </c>
      <c r="L520" s="15"/>
      <c r="M520" s="20"/>
      <c r="N520" s="21">
        <v>0.0</v>
      </c>
      <c r="O520" s="22">
        <v>3.0</v>
      </c>
      <c r="P520" s="23" t="str">
        <f>IFERROR(__xludf.DUMMYFUNCTION("IFERROR(
  INDEX(
    QUERY(
      Historial!A:I,
      ""select I where B = '""&amp;A520&amp;""' order by A desc limit 1"",
      0
    ),
    1
  ),
  """"
)"),"")</f>
        <v/>
      </c>
      <c r="Q520" s="19" t="s">
        <v>48</v>
      </c>
      <c r="R520" s="24">
        <v>46410.0</v>
      </c>
      <c r="S520" s="20" t="str">
        <f>IFERROR(__xludf.DUMMYFUNCTION("IFERROR(
  INDEX(
    QUERY(
      Historial!A:G,
      ""select G where B = '""&amp;A520&amp;""' order by A desc limit 1"",
      0
    ),
    1
  ),
  """"
)"),"")</f>
        <v/>
      </c>
      <c r="T520" s="20" t="str">
        <f t="shared" si="3"/>
        <v/>
      </c>
      <c r="U520" s="20" t="str">
        <f t="shared" si="4"/>
        <v/>
      </c>
      <c r="V520" s="25">
        <v>0.0</v>
      </c>
      <c r="W520" s="26">
        <v>0.0</v>
      </c>
      <c r="X520" s="26">
        <v>0.0</v>
      </c>
      <c r="Y520" s="27"/>
      <c r="Z520" s="26">
        <v>10.0</v>
      </c>
      <c r="AA520" s="26">
        <v>0.0</v>
      </c>
      <c r="AB520" s="26">
        <v>0.0</v>
      </c>
      <c r="AC520" s="27"/>
      <c r="AD520" s="27"/>
      <c r="AE520" s="10" t="s">
        <v>38</v>
      </c>
      <c r="AF520" s="10" t="s">
        <v>44</v>
      </c>
      <c r="AG520" s="27"/>
    </row>
    <row r="521" ht="15.75" customHeight="1">
      <c r="A521" s="31" t="s">
        <v>1122</v>
      </c>
      <c r="B521" s="20">
        <v>35000.0</v>
      </c>
      <c r="C521" s="20" t="s">
        <v>703</v>
      </c>
      <c r="D521" s="15" t="s">
        <v>1123</v>
      </c>
      <c r="E521" s="15"/>
      <c r="F521" s="41">
        <v>1.0</v>
      </c>
      <c r="G521" s="33">
        <v>0.0</v>
      </c>
      <c r="H521" s="33">
        <v>0.0</v>
      </c>
      <c r="I521" s="29">
        <v>0.0</v>
      </c>
      <c r="J521" s="19" t="str">
        <f t="shared" si="25"/>
        <v>sin oferta</v>
      </c>
      <c r="K521" s="20" t="str">
        <f t="shared" si="23"/>
        <v>NORMAL / SIN OFERTA</v>
      </c>
      <c r="L521" s="15"/>
      <c r="M521" s="20"/>
      <c r="N521" s="21">
        <v>0.0</v>
      </c>
      <c r="O521" s="22">
        <v>3.0</v>
      </c>
      <c r="P521" s="23" t="str">
        <f>IFERROR(__xludf.DUMMYFUNCTION("IFERROR(
  INDEX(
    QUERY(
      Historial!A:I,
      ""select I where B = '""&amp;A521&amp;""' order by A desc limit 1"",
      0
    ),
    1
  ),
  """"
)"),"")</f>
        <v/>
      </c>
      <c r="Q521" s="19" t="s">
        <v>51</v>
      </c>
      <c r="R521" s="24">
        <v>46411.0</v>
      </c>
      <c r="S521" s="20" t="str">
        <f>IFERROR(__xludf.DUMMYFUNCTION("IFERROR(
  INDEX(
    QUERY(
      Historial!A:G,
      ""select G where B = '""&amp;A521&amp;""' order by A desc limit 1"",
      0
    ),
    1
  ),
  """"
)"),"")</f>
        <v/>
      </c>
      <c r="T521" s="20" t="str">
        <f t="shared" si="3"/>
        <v/>
      </c>
      <c r="U521" s="20" t="str">
        <f t="shared" si="4"/>
        <v/>
      </c>
      <c r="V521" s="25">
        <v>0.0</v>
      </c>
      <c r="W521" s="26">
        <v>0.0</v>
      </c>
      <c r="X521" s="26">
        <v>0.0</v>
      </c>
      <c r="Y521" s="27"/>
      <c r="Z521" s="26">
        <v>10.0</v>
      </c>
      <c r="AA521" s="26">
        <v>0.0</v>
      </c>
      <c r="AB521" s="26">
        <v>0.0</v>
      </c>
      <c r="AC521" s="27"/>
      <c r="AD521" s="27"/>
      <c r="AE521" s="10" t="s">
        <v>38</v>
      </c>
      <c r="AF521" s="10" t="s">
        <v>44</v>
      </c>
      <c r="AG521" s="27"/>
    </row>
    <row r="522" ht="15.75" customHeight="1">
      <c r="A522" s="31" t="s">
        <v>1124</v>
      </c>
      <c r="B522" s="20">
        <v>7000.0</v>
      </c>
      <c r="C522" s="20" t="s">
        <v>703</v>
      </c>
      <c r="D522" s="15" t="s">
        <v>1125</v>
      </c>
      <c r="E522" s="15"/>
      <c r="F522" s="41">
        <v>1.0</v>
      </c>
      <c r="G522" s="33">
        <v>0.0</v>
      </c>
      <c r="H522" s="33">
        <v>0.0</v>
      </c>
      <c r="I522" s="29">
        <v>0.0</v>
      </c>
      <c r="J522" s="19" t="str">
        <f t="shared" si="25"/>
        <v>sin oferta</v>
      </c>
      <c r="K522" s="20" t="str">
        <f t="shared" si="23"/>
        <v>NORMAL / SIN OFERTA</v>
      </c>
      <c r="L522" s="15"/>
      <c r="M522" s="20"/>
      <c r="N522" s="21">
        <v>0.0</v>
      </c>
      <c r="O522" s="22">
        <v>3.0</v>
      </c>
      <c r="P522" s="23" t="str">
        <f>IFERROR(__xludf.DUMMYFUNCTION("IFERROR(
  INDEX(
    QUERY(
      Historial!A:I,
      ""select I where B = '""&amp;A522&amp;""' order by A desc limit 1"",
      0
    ),
    1
  ),
  """"
)"),"")</f>
        <v/>
      </c>
      <c r="Q522" s="19" t="s">
        <v>57</v>
      </c>
      <c r="R522" s="24">
        <v>46412.0</v>
      </c>
      <c r="S522" s="20" t="str">
        <f>IFERROR(__xludf.DUMMYFUNCTION("IFERROR(
  INDEX(
    QUERY(
      Historial!A:G,
      ""select G where B = '""&amp;A522&amp;""' order by A desc limit 1"",
      0
    ),
    1
  ),
  """"
)"),"")</f>
        <v/>
      </c>
      <c r="T522" s="20" t="str">
        <f t="shared" si="3"/>
        <v/>
      </c>
      <c r="U522" s="20" t="str">
        <f t="shared" si="4"/>
        <v/>
      </c>
      <c r="V522" s="25">
        <v>0.0</v>
      </c>
      <c r="W522" s="26">
        <v>0.0</v>
      </c>
      <c r="X522" s="26">
        <v>0.0</v>
      </c>
      <c r="Y522" s="27"/>
      <c r="Z522" s="26">
        <v>10.0</v>
      </c>
      <c r="AA522" s="26">
        <v>0.0</v>
      </c>
      <c r="AB522" s="26">
        <v>0.0</v>
      </c>
      <c r="AC522" s="27"/>
      <c r="AD522" s="27"/>
      <c r="AE522" s="10" t="s">
        <v>38</v>
      </c>
      <c r="AF522" s="10" t="s">
        <v>44</v>
      </c>
      <c r="AG522" s="27"/>
    </row>
    <row r="523" ht="15.75" customHeight="1">
      <c r="A523" s="31" t="s">
        <v>1126</v>
      </c>
      <c r="B523" s="20">
        <v>6000.0</v>
      </c>
      <c r="C523" s="20" t="s">
        <v>703</v>
      </c>
      <c r="D523" s="15" t="s">
        <v>1127</v>
      </c>
      <c r="E523" s="15"/>
      <c r="F523" s="41">
        <v>1.0</v>
      </c>
      <c r="G523" s="33">
        <v>0.0</v>
      </c>
      <c r="H523" s="33">
        <v>0.0</v>
      </c>
      <c r="I523" s="29">
        <v>0.0</v>
      </c>
      <c r="J523" s="19" t="str">
        <f t="shared" si="25"/>
        <v>sin oferta</v>
      </c>
      <c r="K523" s="20" t="str">
        <f t="shared" si="23"/>
        <v>NORMAL / SIN OFERTA</v>
      </c>
      <c r="L523" s="15"/>
      <c r="M523" s="20"/>
      <c r="N523" s="21">
        <v>0.0</v>
      </c>
      <c r="O523" s="22">
        <v>3.0</v>
      </c>
      <c r="P523" s="23" t="str">
        <f>IFERROR(__xludf.DUMMYFUNCTION("IFERROR(
  INDEX(
    QUERY(
      Historial!A:I,
      ""select I where B = '""&amp;A523&amp;""' order by A desc limit 1"",
      0
    ),
    1
  ),
  """"
)"),"")</f>
        <v/>
      </c>
      <c r="Q523" s="19" t="s">
        <v>60</v>
      </c>
      <c r="R523" s="24">
        <v>46413.0</v>
      </c>
      <c r="S523" s="20" t="str">
        <f>IFERROR(__xludf.DUMMYFUNCTION("IFERROR(
  INDEX(
    QUERY(
      Historial!A:G,
      ""select G where B = '""&amp;A523&amp;""' order by A desc limit 1"",
      0
    ),
    1
  ),
  """"
)"),"")</f>
        <v/>
      </c>
      <c r="T523" s="20" t="str">
        <f t="shared" si="3"/>
        <v/>
      </c>
      <c r="U523" s="20" t="str">
        <f t="shared" si="4"/>
        <v/>
      </c>
      <c r="V523" s="25">
        <v>0.0</v>
      </c>
      <c r="W523" s="26">
        <v>0.0</v>
      </c>
      <c r="X523" s="26">
        <v>0.0</v>
      </c>
      <c r="Y523" s="27"/>
      <c r="Z523" s="26">
        <v>10.0</v>
      </c>
      <c r="AA523" s="26">
        <v>0.0</v>
      </c>
      <c r="AB523" s="26">
        <v>0.0</v>
      </c>
      <c r="AC523" s="27"/>
      <c r="AD523" s="27"/>
      <c r="AE523" s="10" t="s">
        <v>38</v>
      </c>
      <c r="AF523" s="10" t="s">
        <v>44</v>
      </c>
      <c r="AG523" s="27"/>
    </row>
    <row r="524" ht="15.75" customHeight="1">
      <c r="A524" s="31" t="s">
        <v>1128</v>
      </c>
      <c r="B524" s="20">
        <v>25000.0</v>
      </c>
      <c r="C524" s="20" t="s">
        <v>703</v>
      </c>
      <c r="D524" s="15" t="s">
        <v>1129</v>
      </c>
      <c r="E524" s="15"/>
      <c r="F524" s="41">
        <v>1.0</v>
      </c>
      <c r="G524" s="33">
        <v>0.0</v>
      </c>
      <c r="H524" s="33">
        <v>0.0</v>
      </c>
      <c r="I524" s="29">
        <v>0.0</v>
      </c>
      <c r="J524" s="19" t="str">
        <f t="shared" si="25"/>
        <v>sin oferta</v>
      </c>
      <c r="K524" s="20" t="str">
        <f t="shared" si="23"/>
        <v>NORMAL / SIN OFERTA</v>
      </c>
      <c r="L524" s="15"/>
      <c r="M524" s="20"/>
      <c r="N524" s="21">
        <v>0.0</v>
      </c>
      <c r="O524" s="22">
        <v>3.0</v>
      </c>
      <c r="P524" s="23" t="str">
        <f>IFERROR(__xludf.DUMMYFUNCTION("IFERROR(
  INDEX(
    QUERY(
      Historial!A:I,
      ""select I where B = '""&amp;A524&amp;""' order by A desc limit 1"",
      0
    ),
    1
  ),
  """"
)"),"")</f>
        <v/>
      </c>
      <c r="Q524" s="19" t="s">
        <v>63</v>
      </c>
      <c r="R524" s="24">
        <v>46414.0</v>
      </c>
      <c r="S524" s="20" t="str">
        <f>IFERROR(__xludf.DUMMYFUNCTION("IFERROR(
  INDEX(
    QUERY(
      Historial!A:G,
      ""select G where B = '""&amp;A524&amp;""' order by A desc limit 1"",
      0
    ),
    1
  ),
  """"
)"),"")</f>
        <v/>
      </c>
      <c r="T524" s="20" t="str">
        <f t="shared" si="3"/>
        <v/>
      </c>
      <c r="U524" s="20" t="str">
        <f t="shared" si="4"/>
        <v/>
      </c>
      <c r="V524" s="25">
        <v>0.0</v>
      </c>
      <c r="W524" s="26">
        <v>0.0</v>
      </c>
      <c r="X524" s="26">
        <v>0.0</v>
      </c>
      <c r="Y524" s="27"/>
      <c r="Z524" s="26">
        <v>10.0</v>
      </c>
      <c r="AA524" s="26">
        <v>0.0</v>
      </c>
      <c r="AB524" s="26">
        <v>0.0</v>
      </c>
      <c r="AC524" s="27"/>
      <c r="AD524" s="27"/>
      <c r="AE524" s="10" t="s">
        <v>38</v>
      </c>
      <c r="AF524" s="10" t="s">
        <v>44</v>
      </c>
      <c r="AG524" s="27"/>
    </row>
    <row r="525" ht="15.75" customHeight="1">
      <c r="A525" s="34" t="s">
        <v>1130</v>
      </c>
      <c r="B525" s="35">
        <v>27000.0</v>
      </c>
      <c r="C525" s="15" t="s">
        <v>703</v>
      </c>
      <c r="D525" s="15" t="s">
        <v>1131</v>
      </c>
      <c r="E525" s="15"/>
      <c r="F525" s="41">
        <v>1.0</v>
      </c>
      <c r="G525" s="33">
        <v>0.0</v>
      </c>
      <c r="H525" s="33">
        <v>0.0</v>
      </c>
      <c r="I525" s="29">
        <v>0.0</v>
      </c>
      <c r="J525" s="19" t="str">
        <f t="array" ref="J525">IF(
  A525="",
  "",
  IF(
    F525=0,
    "sin stock",
    IF(
      NOT(OR(I525=0,I525=1)),
      "ERROR ESPECIAL",
      IF(
        NOT(ISNUMBER(MATCH(G525,{0;1;2;3;4;5;6;10;11;12;13;14},0))),
        "ERROR RELAMPAGO",
        IF(
          OR(H525&gt;70,AND(H525&gt;0,H525&lt;15)),
          "ERROR DESTACADA",
          IF(
            (I525=1)+(H525&gt;0)+(G525&gt;0)&gt;1,
            "ERROR DOBLE OFERTA",
            IF(
              I525=1,
              "especial",
              IF(
                H525&gt;0,
                "destacada",
                IF(
                  G525&gt;0,
                  IF(
                    OR(
                      AND(G525&lt;=6,F525&lt;(G525+1)),
                      AND(G525=10,F525&lt;2),
                      AND(G525&gt;=11,F525&lt;1)
                    ),
                    "REPONER "&amp;
                    IF(G525&lt;=6,G525+1-F525,
                       IF(G525=10,2-F525,
                          1-F525
                       )
                    )&amp;
                    " PARA PROMO",
                    IF(
                      G525&lt;=6,
                      "relampago "&amp;(G525+1)&amp;"x"&amp;G525,
                      IF(
                        G525=10,
                        "2da50off",
                        IF(
                          G525&gt;=11,
                          "relampago "&amp;CHOOSE(G525-10,10,15,20,25)&amp;"%",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sin oferta</v>
      </c>
      <c r="K525" s="20" t="str">
        <f t="shared" si="23"/>
        <v>NORMAL / SIN OFERTA</v>
      </c>
      <c r="L525" s="15"/>
      <c r="M525" s="20"/>
      <c r="N525" s="21">
        <v>0.0</v>
      </c>
      <c r="O525" s="22">
        <v>3.0</v>
      </c>
      <c r="P525" s="23" t="str">
        <f>IFERROR(__xludf.DUMMYFUNCTION("IFERROR(
  INDEX(
    QUERY(
      Historial!A:I,
      ""select I where B = '""&amp;A525&amp;""' order by A desc limit 1"",
      0
    ),
    1
  ),
  """"
)"),"")</f>
        <v/>
      </c>
      <c r="Q525" s="19" t="s">
        <v>37</v>
      </c>
      <c r="R525" s="24">
        <v>46415.0</v>
      </c>
      <c r="S525" s="20" t="str">
        <f>IFERROR(__xludf.DUMMYFUNCTION("IFERROR(
  INDEX(
    QUERY(
      Historial!A:G,
      ""select G where B = '""&amp;A525&amp;""' order by A desc limit 1"",
      0
    ),
    1
  ),
  """"
)"),"")</f>
        <v/>
      </c>
      <c r="T525" s="20" t="str">
        <f t="shared" si="3"/>
        <v/>
      </c>
      <c r="U525" s="20" t="str">
        <f t="shared" si="4"/>
        <v/>
      </c>
      <c r="V525" s="25">
        <v>0.0</v>
      </c>
      <c r="W525" s="26">
        <v>0.0</v>
      </c>
      <c r="X525" s="26">
        <v>0.0</v>
      </c>
      <c r="Y525" s="27"/>
      <c r="Z525" s="26">
        <v>10.0</v>
      </c>
      <c r="AA525" s="26">
        <v>0.0</v>
      </c>
      <c r="AB525" s="26">
        <v>0.0</v>
      </c>
      <c r="AC525" s="27"/>
      <c r="AD525" s="27"/>
      <c r="AE525" s="10" t="s">
        <v>38</v>
      </c>
      <c r="AF525" s="10" t="s">
        <v>44</v>
      </c>
      <c r="AG525" s="27"/>
    </row>
    <row r="526" ht="15.75" customHeight="1">
      <c r="A526" s="31" t="s">
        <v>1132</v>
      </c>
      <c r="B526" s="20">
        <v>5000.0</v>
      </c>
      <c r="C526" s="20" t="s">
        <v>703</v>
      </c>
      <c r="D526" s="15" t="s">
        <v>1133</v>
      </c>
      <c r="E526" s="15"/>
      <c r="F526" s="41">
        <v>1.0</v>
      </c>
      <c r="G526" s="33">
        <v>0.0</v>
      </c>
      <c r="H526" s="33">
        <v>0.0</v>
      </c>
      <c r="I526" s="29">
        <v>0.0</v>
      </c>
      <c r="J526" s="19" t="str">
        <f t="shared" ref="J526:J563" si="26">IF(
A526="",
"",
IF(
F526=0,
"sin stock",
IF(
NOT(OR(I526=0,I526=1)),
"ERROR ESPECIAL",
IF(
NOT(ISNUMBER(MATCH(G526,{0;1;2;3;4;5;6;10;11;12;13;14},0))),
"ERROR RELAMPAGO",
IF(
OR(H526&gt;70,AND(H526&gt;0,H526&lt;15)),
"ERROR DESTACADA",
IF(
(I526=1)+(H526&gt;0)+(G526&gt;0)&gt;1,
"ERROR DOBLE OFERTA",
IF(
I526=1,
"especial",
IF(
H526&gt;0,
"destacada",
IF(
G526&gt;0,
IF(
OR(
AND(G526&lt;=6,F526&lt;(G526+1)),
AND(G526=10,F526&lt;2),
AND(G526&gt;=11,F526&lt;1)
),
"REPONER "&amp;
IF(G526&lt;=6,G526+1-F526,
IF(G526=10,2-F526,
1-
F526)
)&amp;
" PARA PROMO",
IF(
G526&lt;=6,
"relampago "&amp;(G526+1)&amp;"x"&amp;G526,
IF(
G526=10,
"2da50off",
IF(
G526&gt;=11,
"relampago "&amp;CHOOSE(G526-10,10,15,20,25)&amp;"%",
"relampago"
)
)
)
),
"sin oferta"
)
)
)
)
)
)
)
)
)</f>
        <v>sin oferta</v>
      </c>
      <c r="K526" s="20" t="str">
        <f t="shared" si="23"/>
        <v>NORMAL / SIN OFERTA</v>
      </c>
      <c r="L526" s="15"/>
      <c r="M526" s="20"/>
      <c r="N526" s="21">
        <v>0.0</v>
      </c>
      <c r="O526" s="22">
        <v>3.0</v>
      </c>
      <c r="P526" s="23" t="str">
        <f>IFERROR(__xludf.DUMMYFUNCTION("IFERROR(
  INDEX(
    QUERY(
      Historial!A:I,
      ""select I where B = '""&amp;A526&amp;""' order by A desc limit 1"",
      0
    ),
    1
  ),
  """"
)"),"")</f>
        <v/>
      </c>
      <c r="Q526" s="19" t="s">
        <v>43</v>
      </c>
      <c r="R526" s="24">
        <v>46416.0</v>
      </c>
      <c r="S526" s="20" t="str">
        <f>IFERROR(__xludf.DUMMYFUNCTION("IFERROR(
  INDEX(
    QUERY(
      Historial!A:G,
      ""select G where B = '""&amp;A526&amp;""' order by A desc limit 1"",
      0
    ),
    1
  ),
  """"
)"),"")</f>
        <v/>
      </c>
      <c r="T526" s="20" t="str">
        <f t="shared" si="3"/>
        <v/>
      </c>
      <c r="U526" s="20" t="str">
        <f t="shared" si="4"/>
        <v/>
      </c>
      <c r="V526" s="25">
        <v>0.0</v>
      </c>
      <c r="W526" s="26">
        <v>0.0</v>
      </c>
      <c r="X526" s="26">
        <v>0.0</v>
      </c>
      <c r="Y526" s="27"/>
      <c r="Z526" s="26">
        <v>10.0</v>
      </c>
      <c r="AA526" s="26">
        <v>0.0</v>
      </c>
      <c r="AB526" s="26">
        <v>0.0</v>
      </c>
      <c r="AC526" s="27"/>
      <c r="AD526" s="27"/>
      <c r="AE526" s="10" t="s">
        <v>38</v>
      </c>
      <c r="AF526" s="10" t="s">
        <v>44</v>
      </c>
      <c r="AG526" s="27"/>
    </row>
    <row r="527" ht="15.75" customHeight="1">
      <c r="A527" s="31" t="s">
        <v>1134</v>
      </c>
      <c r="B527" s="20">
        <v>15000.0</v>
      </c>
      <c r="C527" s="20" t="s">
        <v>703</v>
      </c>
      <c r="D527" s="15" t="s">
        <v>1135</v>
      </c>
      <c r="E527" s="15"/>
      <c r="F527" s="41">
        <v>1.0</v>
      </c>
      <c r="G527" s="33">
        <v>0.0</v>
      </c>
      <c r="H527" s="33">
        <v>0.0</v>
      </c>
      <c r="I527" s="29">
        <v>0.0</v>
      </c>
      <c r="J527" s="19" t="str">
        <f t="shared" si="26"/>
        <v>sin oferta</v>
      </c>
      <c r="K527" s="20" t="str">
        <f t="shared" si="23"/>
        <v>NORMAL / SIN OFERTA</v>
      </c>
      <c r="L527" s="15"/>
      <c r="M527" s="20"/>
      <c r="N527" s="21">
        <v>0.0</v>
      </c>
      <c r="O527" s="22">
        <v>3.0</v>
      </c>
      <c r="P527" s="23" t="str">
        <f>IFERROR(__xludf.DUMMYFUNCTION("IFERROR(
  INDEX(
    QUERY(
      Historial!A:I,
      ""select I where B = '""&amp;A527&amp;""' order by A desc limit 1"",
      0
    ),
    1
  ),
  """"
)"),"")</f>
        <v/>
      </c>
      <c r="Q527" s="19" t="s">
        <v>48</v>
      </c>
      <c r="R527" s="24">
        <v>46417.0</v>
      </c>
      <c r="S527" s="20" t="str">
        <f>IFERROR(__xludf.DUMMYFUNCTION("IFERROR(
  INDEX(
    QUERY(
      Historial!A:G,
      ""select G where B = '""&amp;A527&amp;""' order by A desc limit 1"",
      0
    ),
    1
  ),
  """"
)"),"")</f>
        <v/>
      </c>
      <c r="T527" s="20" t="str">
        <f t="shared" si="3"/>
        <v/>
      </c>
      <c r="U527" s="20" t="str">
        <f t="shared" si="4"/>
        <v/>
      </c>
      <c r="V527" s="25">
        <v>0.0</v>
      </c>
      <c r="W527" s="26">
        <v>0.0</v>
      </c>
      <c r="X527" s="26">
        <v>0.0</v>
      </c>
      <c r="Y527" s="27"/>
      <c r="Z527" s="26">
        <v>10.0</v>
      </c>
      <c r="AA527" s="26">
        <v>0.0</v>
      </c>
      <c r="AB527" s="26">
        <v>0.0</v>
      </c>
      <c r="AC527" s="27"/>
      <c r="AD527" s="27"/>
      <c r="AE527" s="10" t="s">
        <v>38</v>
      </c>
      <c r="AF527" s="10" t="s">
        <v>44</v>
      </c>
      <c r="AG527" s="27"/>
    </row>
    <row r="528" ht="15.75" customHeight="1">
      <c r="A528" s="34" t="s">
        <v>1136</v>
      </c>
      <c r="B528" s="35">
        <v>12000.0</v>
      </c>
      <c r="C528" s="15" t="s">
        <v>703</v>
      </c>
      <c r="D528" s="15" t="s">
        <v>1137</v>
      </c>
      <c r="E528" s="15"/>
      <c r="F528" s="41">
        <v>1.0</v>
      </c>
      <c r="G528" s="33">
        <v>0.0</v>
      </c>
      <c r="H528" s="33">
        <v>0.0</v>
      </c>
      <c r="I528" s="29">
        <v>0.0</v>
      </c>
      <c r="J528" s="19" t="str">
        <f t="shared" si="26"/>
        <v>sin oferta</v>
      </c>
      <c r="K528" s="20" t="str">
        <f t="shared" si="23"/>
        <v>NORMAL / SIN OFERTA</v>
      </c>
      <c r="L528" s="15"/>
      <c r="M528" s="20"/>
      <c r="N528" s="21">
        <v>0.0</v>
      </c>
      <c r="O528" s="22">
        <v>3.0</v>
      </c>
      <c r="P528" s="23" t="str">
        <f>IFERROR(__xludf.DUMMYFUNCTION("IFERROR(
  INDEX(
    QUERY(
      Historial!A:I,
      ""select I where B = '""&amp;A528&amp;""' order by A desc limit 1"",
      0
    ),
    1
  ),
  """"
)"),"")</f>
        <v/>
      </c>
      <c r="Q528" s="19" t="s">
        <v>51</v>
      </c>
      <c r="R528" s="24">
        <v>46418.0</v>
      </c>
      <c r="S528" s="20" t="str">
        <f>IFERROR(__xludf.DUMMYFUNCTION("IFERROR(
  INDEX(
    QUERY(
      Historial!A:G,
      ""select G where B = '""&amp;A528&amp;""' order by A desc limit 1"",
      0
    ),
    1
  ),
  """"
)"),"")</f>
        <v/>
      </c>
      <c r="T528" s="20" t="str">
        <f t="shared" si="3"/>
        <v/>
      </c>
      <c r="U528" s="20" t="str">
        <f t="shared" si="4"/>
        <v/>
      </c>
      <c r="V528" s="25">
        <v>0.0</v>
      </c>
      <c r="W528" s="26">
        <v>0.0</v>
      </c>
      <c r="X528" s="26">
        <v>0.0</v>
      </c>
      <c r="Y528" s="27"/>
      <c r="Z528" s="26">
        <v>10.0</v>
      </c>
      <c r="AA528" s="26">
        <v>0.0</v>
      </c>
      <c r="AB528" s="26">
        <v>0.0</v>
      </c>
      <c r="AC528" s="27"/>
      <c r="AD528" s="27"/>
      <c r="AE528" s="10" t="s">
        <v>38</v>
      </c>
      <c r="AF528" s="10" t="s">
        <v>44</v>
      </c>
      <c r="AG528" s="27"/>
    </row>
    <row r="529" ht="15.75" customHeight="1">
      <c r="A529" s="34" t="s">
        <v>1138</v>
      </c>
      <c r="B529" s="35">
        <v>15000.0</v>
      </c>
      <c r="C529" s="15" t="s">
        <v>703</v>
      </c>
      <c r="D529" s="15" t="s">
        <v>1139</v>
      </c>
      <c r="E529" s="15"/>
      <c r="F529" s="41">
        <v>1.0</v>
      </c>
      <c r="G529" s="33">
        <v>0.0</v>
      </c>
      <c r="H529" s="33">
        <v>0.0</v>
      </c>
      <c r="I529" s="29">
        <v>0.0</v>
      </c>
      <c r="J529" s="19" t="str">
        <f t="shared" si="26"/>
        <v>sin oferta</v>
      </c>
      <c r="K529" s="20" t="str">
        <f t="shared" si="23"/>
        <v>NORMAL / SIN OFERTA</v>
      </c>
      <c r="L529" s="15"/>
      <c r="M529" s="20"/>
      <c r="N529" s="21">
        <v>0.0</v>
      </c>
      <c r="O529" s="22">
        <v>3.0</v>
      </c>
      <c r="P529" s="23" t="str">
        <f>IFERROR(__xludf.DUMMYFUNCTION("IFERROR(
  INDEX(
    QUERY(
      Historial!A:I,
      ""select I where B = '""&amp;A529&amp;""' order by A desc limit 1"",
      0
    ),
    1
  ),
  """"
)"),"")</f>
        <v/>
      </c>
      <c r="Q529" s="19" t="s">
        <v>57</v>
      </c>
      <c r="R529" s="24">
        <v>46419.0</v>
      </c>
      <c r="S529" s="20" t="str">
        <f>IFERROR(__xludf.DUMMYFUNCTION("IFERROR(
  INDEX(
    QUERY(
      Historial!A:G,
      ""select G where B = '""&amp;A529&amp;""' order by A desc limit 1"",
      0
    ),
    1
  ),
  """"
)"),"")</f>
        <v/>
      </c>
      <c r="T529" s="20" t="str">
        <f t="shared" si="3"/>
        <v/>
      </c>
      <c r="U529" s="20" t="str">
        <f t="shared" si="4"/>
        <v/>
      </c>
      <c r="V529" s="25">
        <v>0.0</v>
      </c>
      <c r="W529" s="26">
        <v>0.0</v>
      </c>
      <c r="X529" s="26">
        <v>0.0</v>
      </c>
      <c r="Y529" s="27"/>
      <c r="Z529" s="26">
        <v>10.0</v>
      </c>
      <c r="AA529" s="26">
        <v>0.0</v>
      </c>
      <c r="AB529" s="26">
        <v>0.0</v>
      </c>
      <c r="AC529" s="27"/>
      <c r="AD529" s="27"/>
      <c r="AE529" s="10" t="s">
        <v>38</v>
      </c>
      <c r="AF529" s="10" t="s">
        <v>44</v>
      </c>
      <c r="AG529" s="27"/>
    </row>
    <row r="530" ht="15.75" customHeight="1">
      <c r="A530" s="31" t="s">
        <v>1140</v>
      </c>
      <c r="B530" s="20">
        <v>25000.0</v>
      </c>
      <c r="C530" s="20" t="s">
        <v>703</v>
      </c>
      <c r="D530" s="15" t="s">
        <v>1141</v>
      </c>
      <c r="E530" s="15"/>
      <c r="F530" s="41">
        <v>1.0</v>
      </c>
      <c r="G530" s="33">
        <v>0.0</v>
      </c>
      <c r="H530" s="33">
        <v>0.0</v>
      </c>
      <c r="I530" s="29">
        <v>0.0</v>
      </c>
      <c r="J530" s="19" t="str">
        <f t="shared" si="26"/>
        <v>sin oferta</v>
      </c>
      <c r="K530" s="20" t="str">
        <f t="shared" si="23"/>
        <v>NORMAL / SIN OFERTA</v>
      </c>
      <c r="L530" s="15"/>
      <c r="M530" s="20"/>
      <c r="N530" s="21">
        <v>0.0</v>
      </c>
      <c r="O530" s="22">
        <v>3.0</v>
      </c>
      <c r="P530" s="23" t="str">
        <f>IFERROR(__xludf.DUMMYFUNCTION("IFERROR(
  INDEX(
    QUERY(
      Historial!A:I,
      ""select I where B = '""&amp;A530&amp;""' order by A desc limit 1"",
      0
    ),
    1
  ),
  """"
)"),"")</f>
        <v/>
      </c>
      <c r="Q530" s="19" t="s">
        <v>60</v>
      </c>
      <c r="R530" s="24">
        <v>46420.0</v>
      </c>
      <c r="S530" s="20" t="str">
        <f>IFERROR(__xludf.DUMMYFUNCTION("IFERROR(
  INDEX(
    QUERY(
      Historial!A:G,
      ""select G where B = '""&amp;A530&amp;""' order by A desc limit 1"",
      0
    ),
    1
  ),
  """"
)"),"")</f>
        <v/>
      </c>
      <c r="T530" s="20" t="str">
        <f t="shared" si="3"/>
        <v/>
      </c>
      <c r="U530" s="20" t="str">
        <f t="shared" si="4"/>
        <v/>
      </c>
      <c r="V530" s="25">
        <v>0.0</v>
      </c>
      <c r="W530" s="26">
        <v>0.0</v>
      </c>
      <c r="X530" s="26">
        <v>0.0</v>
      </c>
      <c r="Y530" s="27"/>
      <c r="Z530" s="26">
        <v>10.0</v>
      </c>
      <c r="AA530" s="26">
        <v>0.0</v>
      </c>
      <c r="AB530" s="26">
        <v>0.0</v>
      </c>
      <c r="AC530" s="27"/>
      <c r="AD530" s="27"/>
      <c r="AE530" s="10" t="s">
        <v>38</v>
      </c>
      <c r="AF530" s="10" t="s">
        <v>44</v>
      </c>
      <c r="AG530" s="27"/>
    </row>
    <row r="531" ht="15.75" customHeight="1">
      <c r="A531" s="34" t="s">
        <v>1142</v>
      </c>
      <c r="B531" s="35">
        <v>299999.0</v>
      </c>
      <c r="C531" s="15" t="s">
        <v>703</v>
      </c>
      <c r="D531" s="15" t="s">
        <v>1143</v>
      </c>
      <c r="E531" s="15"/>
      <c r="F531" s="41">
        <v>1.0</v>
      </c>
      <c r="G531" s="33">
        <v>0.0</v>
      </c>
      <c r="H531" s="33">
        <v>0.0</v>
      </c>
      <c r="I531" s="29">
        <v>0.0</v>
      </c>
      <c r="J531" s="19" t="str">
        <f t="shared" si="26"/>
        <v>sin oferta</v>
      </c>
      <c r="K531" s="20" t="str">
        <f t="shared" si="23"/>
        <v>NORMAL / SIN OFERTA</v>
      </c>
      <c r="L531" s="15"/>
      <c r="M531" s="20"/>
      <c r="N531" s="21">
        <v>0.0</v>
      </c>
      <c r="O531" s="22">
        <v>3.0</v>
      </c>
      <c r="P531" s="23" t="str">
        <f>IFERROR(__xludf.DUMMYFUNCTION("IFERROR(
  INDEX(
    QUERY(
      Historial!A:I,
      ""select I where B = '""&amp;A531&amp;""' order by A desc limit 1"",
      0
    ),
    1
  ),
  """"
)"),"")</f>
        <v/>
      </c>
      <c r="Q531" s="19" t="s">
        <v>63</v>
      </c>
      <c r="R531" s="24">
        <v>46421.0</v>
      </c>
      <c r="S531" s="20" t="str">
        <f>IFERROR(__xludf.DUMMYFUNCTION("IFERROR(
  INDEX(
    QUERY(
      Historial!A:G,
      ""select G where B = '""&amp;A531&amp;""' order by A desc limit 1"",
      0
    ),
    1
  ),
  """"
)"),"")</f>
        <v/>
      </c>
      <c r="T531" s="20" t="str">
        <f t="shared" si="3"/>
        <v/>
      </c>
      <c r="U531" s="20" t="str">
        <f t="shared" si="4"/>
        <v/>
      </c>
      <c r="V531" s="25">
        <v>0.0</v>
      </c>
      <c r="W531" s="26">
        <v>0.0</v>
      </c>
      <c r="X531" s="26">
        <v>0.0</v>
      </c>
      <c r="Y531" s="27"/>
      <c r="Z531" s="26">
        <v>10.0</v>
      </c>
      <c r="AA531" s="26">
        <v>0.0</v>
      </c>
      <c r="AB531" s="26">
        <v>0.0</v>
      </c>
      <c r="AC531" s="27"/>
      <c r="AD531" s="27"/>
      <c r="AE531" s="10" t="s">
        <v>38</v>
      </c>
      <c r="AF531" s="10" t="s">
        <v>44</v>
      </c>
      <c r="AG531" s="27"/>
    </row>
    <row r="532" ht="15.75" customHeight="1">
      <c r="A532" s="31" t="s">
        <v>1144</v>
      </c>
      <c r="B532" s="20">
        <v>19999.0</v>
      </c>
      <c r="C532" s="20" t="s">
        <v>703</v>
      </c>
      <c r="D532" s="15" t="s">
        <v>1145</v>
      </c>
      <c r="E532" s="15"/>
      <c r="F532" s="41">
        <v>1.0</v>
      </c>
      <c r="G532" s="33">
        <v>0.0</v>
      </c>
      <c r="H532" s="33">
        <v>0.0</v>
      </c>
      <c r="I532" s="29">
        <v>0.0</v>
      </c>
      <c r="J532" s="19" t="str">
        <f t="shared" si="26"/>
        <v>sin oferta</v>
      </c>
      <c r="K532" s="20" t="str">
        <f t="shared" si="23"/>
        <v>NORMAL / SIN OFERTA</v>
      </c>
      <c r="L532" s="15"/>
      <c r="M532" s="20"/>
      <c r="N532" s="21">
        <v>0.0</v>
      </c>
      <c r="O532" s="22">
        <v>3.0</v>
      </c>
      <c r="P532" s="23" t="str">
        <f>IFERROR(__xludf.DUMMYFUNCTION("IFERROR(
  INDEX(
    QUERY(
      Historial!A:I,
      ""select I where B = '""&amp;A532&amp;""' order by A desc limit 1"",
      0
    ),
    1
  ),
  """"
)"),"")</f>
        <v/>
      </c>
      <c r="Q532" s="19" t="s">
        <v>37</v>
      </c>
      <c r="R532" s="24">
        <v>46422.0</v>
      </c>
      <c r="S532" s="20" t="str">
        <f>IFERROR(__xludf.DUMMYFUNCTION("IFERROR(
  INDEX(
    QUERY(
      Historial!A:G,
      ""select G where B = '""&amp;A532&amp;""' order by A desc limit 1"",
      0
    ),
    1
  ),
  """"
)"),"")</f>
        <v/>
      </c>
      <c r="T532" s="20" t="str">
        <f t="shared" si="3"/>
        <v/>
      </c>
      <c r="U532" s="20" t="str">
        <f t="shared" si="4"/>
        <v/>
      </c>
      <c r="V532" s="25">
        <v>0.0</v>
      </c>
      <c r="W532" s="26">
        <v>0.0</v>
      </c>
      <c r="X532" s="26">
        <v>0.0</v>
      </c>
      <c r="Y532" s="27"/>
      <c r="Z532" s="26">
        <v>10.0</v>
      </c>
      <c r="AA532" s="26">
        <v>0.0</v>
      </c>
      <c r="AB532" s="26">
        <v>0.0</v>
      </c>
      <c r="AC532" s="27"/>
      <c r="AD532" s="27"/>
      <c r="AE532" s="10" t="s">
        <v>38</v>
      </c>
      <c r="AF532" s="10" t="s">
        <v>44</v>
      </c>
      <c r="AG532" s="27"/>
    </row>
    <row r="533" ht="15.75" customHeight="1">
      <c r="A533" s="31" t="s">
        <v>1146</v>
      </c>
      <c r="B533" s="20">
        <v>25000.0</v>
      </c>
      <c r="C533" s="20" t="s">
        <v>703</v>
      </c>
      <c r="D533" s="15" t="s">
        <v>1147</v>
      </c>
      <c r="E533" s="15"/>
      <c r="F533" s="41">
        <v>1.0</v>
      </c>
      <c r="G533" s="33">
        <v>0.0</v>
      </c>
      <c r="H533" s="33">
        <v>0.0</v>
      </c>
      <c r="I533" s="29">
        <v>0.0</v>
      </c>
      <c r="J533" s="19" t="str">
        <f t="shared" si="26"/>
        <v>sin oferta</v>
      </c>
      <c r="K533" s="20" t="str">
        <f t="shared" si="23"/>
        <v>NORMAL / SIN OFERTA</v>
      </c>
      <c r="L533" s="15"/>
      <c r="M533" s="20"/>
      <c r="N533" s="21">
        <v>0.0</v>
      </c>
      <c r="O533" s="22">
        <v>3.0</v>
      </c>
      <c r="P533" s="23" t="str">
        <f>IFERROR(__xludf.DUMMYFUNCTION("IFERROR(
  INDEX(
    QUERY(
      Historial!A:I,
      ""select I where B = '""&amp;A533&amp;""' order by A desc limit 1"",
      0
    ),
    1
  ),
  """"
)"),"")</f>
        <v/>
      </c>
      <c r="Q533" s="19" t="s">
        <v>43</v>
      </c>
      <c r="R533" s="24">
        <v>46423.0</v>
      </c>
      <c r="S533" s="20" t="str">
        <f>IFERROR(__xludf.DUMMYFUNCTION("IFERROR(
  INDEX(
    QUERY(
      Historial!A:G,
      ""select G where B = '""&amp;A533&amp;""' order by A desc limit 1"",
      0
    ),
    1
  ),
  """"
)"),"")</f>
        <v/>
      </c>
      <c r="T533" s="20" t="str">
        <f t="shared" si="3"/>
        <v/>
      </c>
      <c r="U533" s="20" t="str">
        <f t="shared" si="4"/>
        <v/>
      </c>
      <c r="V533" s="25">
        <v>0.0</v>
      </c>
      <c r="W533" s="26">
        <v>0.0</v>
      </c>
      <c r="X533" s="26">
        <v>0.0</v>
      </c>
      <c r="Y533" s="27"/>
      <c r="Z533" s="26">
        <v>10.0</v>
      </c>
      <c r="AA533" s="26">
        <v>0.0</v>
      </c>
      <c r="AB533" s="26">
        <v>0.0</v>
      </c>
      <c r="AC533" s="27"/>
      <c r="AD533" s="27"/>
      <c r="AE533" s="10" t="s">
        <v>38</v>
      </c>
      <c r="AF533" s="10" t="s">
        <v>44</v>
      </c>
      <c r="AG533" s="27"/>
    </row>
    <row r="534" ht="15.75" customHeight="1">
      <c r="A534" s="31" t="s">
        <v>1148</v>
      </c>
      <c r="B534" s="20">
        <v>30000.0</v>
      </c>
      <c r="C534" s="20" t="s">
        <v>703</v>
      </c>
      <c r="D534" s="15" t="s">
        <v>1149</v>
      </c>
      <c r="E534" s="15"/>
      <c r="F534" s="41">
        <v>1.0</v>
      </c>
      <c r="G534" s="33">
        <v>0.0</v>
      </c>
      <c r="H534" s="33">
        <v>0.0</v>
      </c>
      <c r="I534" s="29">
        <v>0.0</v>
      </c>
      <c r="J534" s="19" t="str">
        <f t="shared" si="26"/>
        <v>sin oferta</v>
      </c>
      <c r="K534" s="20" t="str">
        <f t="shared" si="23"/>
        <v>NORMAL / SIN OFERTA</v>
      </c>
      <c r="L534" s="15"/>
      <c r="M534" s="80"/>
      <c r="N534" s="21">
        <v>0.0</v>
      </c>
      <c r="O534" s="22">
        <v>3.0</v>
      </c>
      <c r="P534" s="23" t="str">
        <f>IFERROR(__xludf.DUMMYFUNCTION("IFERROR(
  INDEX(
    QUERY(
      Historial!A:I,
      ""select I where B = '""&amp;A534&amp;""' order by A desc limit 1"",
      0
    ),
    1
  ),
  """"
)"),"")</f>
        <v/>
      </c>
      <c r="Q534" s="19" t="s">
        <v>48</v>
      </c>
      <c r="R534" s="24">
        <v>46424.0</v>
      </c>
      <c r="S534" s="20" t="str">
        <f>IFERROR(__xludf.DUMMYFUNCTION("IFERROR(
  INDEX(
    QUERY(
      Historial!A:G,
      ""select G where B = '""&amp;A534&amp;""' order by A desc limit 1"",
      0
    ),
    1
  ),
  """"
)"),"")</f>
        <v/>
      </c>
      <c r="T534" s="20" t="str">
        <f t="shared" si="3"/>
        <v/>
      </c>
      <c r="U534" s="20" t="str">
        <f t="shared" si="4"/>
        <v/>
      </c>
      <c r="V534" s="25">
        <v>0.0</v>
      </c>
      <c r="W534" s="26">
        <v>0.0</v>
      </c>
      <c r="X534" s="26">
        <v>0.0</v>
      </c>
      <c r="Y534" s="27"/>
      <c r="Z534" s="26">
        <v>10.0</v>
      </c>
      <c r="AA534" s="26">
        <v>0.0</v>
      </c>
      <c r="AB534" s="26">
        <v>0.0</v>
      </c>
      <c r="AC534" s="27"/>
      <c r="AD534" s="27"/>
      <c r="AE534" s="10" t="s">
        <v>38</v>
      </c>
      <c r="AF534" s="10" t="s">
        <v>44</v>
      </c>
      <c r="AG534" s="27"/>
    </row>
    <row r="535" ht="15.75" customHeight="1">
      <c r="A535" s="34" t="s">
        <v>1150</v>
      </c>
      <c r="B535" s="35">
        <v>16000.0</v>
      </c>
      <c r="C535" s="15" t="s">
        <v>703</v>
      </c>
      <c r="D535" s="15" t="s">
        <v>1151</v>
      </c>
      <c r="E535" s="15"/>
      <c r="F535" s="41">
        <v>1.0</v>
      </c>
      <c r="G535" s="33">
        <v>0.0</v>
      </c>
      <c r="H535" s="33">
        <v>0.0</v>
      </c>
      <c r="I535" s="29">
        <v>0.0</v>
      </c>
      <c r="J535" s="19" t="str">
        <f t="shared" si="26"/>
        <v>sin oferta</v>
      </c>
      <c r="K535" s="20" t="str">
        <f t="shared" si="23"/>
        <v>NORMAL / SIN OFERTA</v>
      </c>
      <c r="L535" s="15"/>
      <c r="M535" s="20"/>
      <c r="N535" s="21">
        <v>0.0</v>
      </c>
      <c r="O535" s="22">
        <v>3.0</v>
      </c>
      <c r="P535" s="23" t="str">
        <f>IFERROR(__xludf.DUMMYFUNCTION("IFERROR(
  INDEX(
    QUERY(
      Historial!A:I,
      ""select I where B = '""&amp;A535&amp;""' order by A desc limit 1"",
      0
    ),
    1
  ),
  """"
)"),"")</f>
        <v/>
      </c>
      <c r="Q535" s="19" t="s">
        <v>51</v>
      </c>
      <c r="R535" s="24">
        <v>46425.0</v>
      </c>
      <c r="S535" s="20" t="str">
        <f>IFERROR(__xludf.DUMMYFUNCTION("IFERROR(
  INDEX(
    QUERY(
      Historial!A:G,
      ""select G where B = '""&amp;A535&amp;""' order by A desc limit 1"",
      0
    ),
    1
  ),
  """"
)"),"")</f>
        <v/>
      </c>
      <c r="T535" s="20" t="str">
        <f t="shared" si="3"/>
        <v/>
      </c>
      <c r="U535" s="20" t="str">
        <f t="shared" si="4"/>
        <v/>
      </c>
      <c r="V535" s="25">
        <v>0.0</v>
      </c>
      <c r="W535" s="26">
        <v>0.0</v>
      </c>
      <c r="X535" s="26">
        <v>0.0</v>
      </c>
      <c r="Y535" s="27"/>
      <c r="Z535" s="26">
        <v>10.0</v>
      </c>
      <c r="AA535" s="26">
        <v>0.0</v>
      </c>
      <c r="AB535" s="26">
        <v>0.0</v>
      </c>
      <c r="AC535" s="27"/>
      <c r="AD535" s="27"/>
      <c r="AE535" s="10" t="s">
        <v>38</v>
      </c>
      <c r="AF535" s="10" t="s">
        <v>44</v>
      </c>
      <c r="AG535" s="27"/>
    </row>
    <row r="536" ht="15.75" customHeight="1">
      <c r="A536" s="34" t="s">
        <v>1152</v>
      </c>
      <c r="B536" s="35">
        <v>299999.0</v>
      </c>
      <c r="C536" s="15" t="s">
        <v>703</v>
      </c>
      <c r="D536" s="15" t="s">
        <v>1153</v>
      </c>
      <c r="E536" s="15"/>
      <c r="F536" s="41">
        <v>1.0</v>
      </c>
      <c r="G536" s="33">
        <v>0.0</v>
      </c>
      <c r="H536" s="33">
        <v>0.0</v>
      </c>
      <c r="I536" s="29">
        <v>0.0</v>
      </c>
      <c r="J536" s="19" t="str">
        <f t="shared" si="26"/>
        <v>sin oferta</v>
      </c>
      <c r="K536" s="20" t="str">
        <f t="shared" si="23"/>
        <v>NORMAL / SIN OFERTA</v>
      </c>
      <c r="L536" s="15"/>
      <c r="M536" s="20"/>
      <c r="N536" s="21">
        <v>0.0</v>
      </c>
      <c r="O536" s="22">
        <v>3.0</v>
      </c>
      <c r="P536" s="23" t="str">
        <f>IFERROR(__xludf.DUMMYFUNCTION("IFERROR(
  INDEX(
    QUERY(
      Historial!A:I,
      ""select I where B = '""&amp;A536&amp;""' order by A desc limit 1"",
      0
    ),
    1
  ),
  """"
)"),"")</f>
        <v/>
      </c>
      <c r="Q536" s="19" t="s">
        <v>57</v>
      </c>
      <c r="R536" s="24">
        <v>46426.0</v>
      </c>
      <c r="S536" s="20" t="str">
        <f>IFERROR(__xludf.DUMMYFUNCTION("IFERROR(
  INDEX(
    QUERY(
      Historial!A:G,
      ""select G where B = '""&amp;A536&amp;""' order by A desc limit 1"",
      0
    ),
    1
  ),
  """"
)"),"")</f>
        <v/>
      </c>
      <c r="T536" s="20" t="str">
        <f t="shared" si="3"/>
        <v/>
      </c>
      <c r="U536" s="20" t="str">
        <f t="shared" si="4"/>
        <v/>
      </c>
      <c r="V536" s="25">
        <v>0.0</v>
      </c>
      <c r="W536" s="26">
        <v>0.0</v>
      </c>
      <c r="X536" s="26">
        <v>0.0</v>
      </c>
      <c r="Y536" s="27"/>
      <c r="Z536" s="26">
        <v>10.0</v>
      </c>
      <c r="AA536" s="26">
        <v>0.0</v>
      </c>
      <c r="AB536" s="26">
        <v>0.0</v>
      </c>
      <c r="AC536" s="27"/>
      <c r="AD536" s="27"/>
      <c r="AE536" s="10" t="s">
        <v>38</v>
      </c>
      <c r="AF536" s="10" t="s">
        <v>44</v>
      </c>
      <c r="AG536" s="27"/>
    </row>
    <row r="537" ht="15.75" customHeight="1">
      <c r="A537" s="31" t="s">
        <v>1154</v>
      </c>
      <c r="B537" s="35">
        <v>5000.0</v>
      </c>
      <c r="C537" s="15" t="s">
        <v>403</v>
      </c>
      <c r="D537" s="15" t="s">
        <v>1155</v>
      </c>
      <c r="E537" s="15"/>
      <c r="F537" s="41">
        <v>1.0</v>
      </c>
      <c r="G537" s="33">
        <v>0.0</v>
      </c>
      <c r="H537" s="33">
        <v>0.0</v>
      </c>
      <c r="I537" s="29">
        <v>0.0</v>
      </c>
      <c r="J537" s="19" t="str">
        <f t="shared" si="26"/>
        <v>sin oferta</v>
      </c>
      <c r="K537" s="20" t="str">
        <f t="shared" si="23"/>
        <v>NORMAL / SIN OFERTA</v>
      </c>
      <c r="L537" s="15"/>
      <c r="M537" s="20"/>
      <c r="N537" s="21">
        <v>0.0</v>
      </c>
      <c r="O537" s="22">
        <v>3.0</v>
      </c>
      <c r="P537" s="23" t="str">
        <f>IFERROR(__xludf.DUMMYFUNCTION("IFERROR(
  INDEX(
    QUERY(
      Historial!A:I,
      ""select I where B = '""&amp;A537&amp;""' order by A desc limit 1"",
      0
    ),
    1
  ),
  """"
)"),"")</f>
        <v/>
      </c>
      <c r="Q537" s="19" t="s">
        <v>48</v>
      </c>
      <c r="R537" s="24">
        <v>46445.0</v>
      </c>
      <c r="S537" s="20" t="str">
        <f>IFERROR(__xludf.DUMMYFUNCTION("IFERROR(
  INDEX(
    QUERY(
      Historial!A:G,
      ""select G where B = '""&amp;A537&amp;""' order by A desc limit 1"",
      0
    ),
    1
  ),
  """"
)"),"")</f>
        <v/>
      </c>
      <c r="T537" s="20" t="str">
        <f t="shared" si="3"/>
        <v/>
      </c>
      <c r="U537" s="20" t="str">
        <f t="shared" si="4"/>
        <v/>
      </c>
      <c r="V537" s="25">
        <v>0.0</v>
      </c>
      <c r="W537" s="26">
        <v>0.0</v>
      </c>
      <c r="X537" s="26">
        <v>0.0</v>
      </c>
      <c r="Y537" s="27"/>
      <c r="Z537" s="26">
        <v>10.0</v>
      </c>
      <c r="AA537" s="26">
        <v>0.0</v>
      </c>
      <c r="AB537" s="26">
        <v>0.0</v>
      </c>
      <c r="AC537" s="27"/>
      <c r="AD537" s="27"/>
      <c r="AE537" s="10" t="s">
        <v>38</v>
      </c>
      <c r="AF537" s="10" t="s">
        <v>44</v>
      </c>
      <c r="AG537" s="27"/>
    </row>
    <row r="538" ht="15.75" customHeight="1">
      <c r="A538" s="31" t="s">
        <v>1156</v>
      </c>
      <c r="B538" s="35">
        <v>5000.0</v>
      </c>
      <c r="C538" s="15" t="s">
        <v>403</v>
      </c>
      <c r="D538" s="15" t="s">
        <v>1157</v>
      </c>
      <c r="E538" s="15"/>
      <c r="F538" s="41">
        <v>1.0</v>
      </c>
      <c r="G538" s="33">
        <v>0.0</v>
      </c>
      <c r="H538" s="33">
        <v>0.0</v>
      </c>
      <c r="I538" s="29">
        <v>0.0</v>
      </c>
      <c r="J538" s="19" t="str">
        <f t="shared" si="26"/>
        <v>sin oferta</v>
      </c>
      <c r="K538" s="20" t="str">
        <f t="shared" si="23"/>
        <v>NORMAL / SIN OFERTA</v>
      </c>
      <c r="L538" s="15"/>
      <c r="M538" s="20"/>
      <c r="N538" s="21">
        <v>0.0</v>
      </c>
      <c r="O538" s="22">
        <v>3.0</v>
      </c>
      <c r="P538" s="23" t="str">
        <f>IFERROR(__xludf.DUMMYFUNCTION("IFERROR(
  INDEX(
    QUERY(
      Historial!A:I,
      ""select I where B = '""&amp;A538&amp;""' order by A desc limit 1"",
      0
    ),
    1
  ),
  """"
)"),"")</f>
        <v/>
      </c>
      <c r="Q538" s="19" t="s">
        <v>51</v>
      </c>
      <c r="R538" s="24">
        <v>46446.0</v>
      </c>
      <c r="S538" s="20" t="str">
        <f>IFERROR(__xludf.DUMMYFUNCTION("IFERROR(
  INDEX(
    QUERY(
      Historial!A:G,
      ""select G where B = '""&amp;A538&amp;""' order by A desc limit 1"",
      0
    ),
    1
  ),
  """"
)"),"")</f>
        <v/>
      </c>
      <c r="T538" s="20" t="str">
        <f t="shared" si="3"/>
        <v/>
      </c>
      <c r="U538" s="20" t="str">
        <f t="shared" si="4"/>
        <v/>
      </c>
      <c r="V538" s="25">
        <v>0.0</v>
      </c>
      <c r="W538" s="26">
        <v>0.0</v>
      </c>
      <c r="X538" s="26">
        <v>0.0</v>
      </c>
      <c r="Y538" s="27"/>
      <c r="Z538" s="26">
        <v>10.0</v>
      </c>
      <c r="AA538" s="26">
        <v>0.0</v>
      </c>
      <c r="AB538" s="26">
        <v>0.0</v>
      </c>
      <c r="AC538" s="27"/>
      <c r="AD538" s="27"/>
      <c r="AE538" s="10" t="s">
        <v>38</v>
      </c>
      <c r="AF538" s="10" t="s">
        <v>44</v>
      </c>
      <c r="AG538" s="27"/>
    </row>
    <row r="539" ht="15.75" customHeight="1">
      <c r="A539" s="31" t="s">
        <v>1158</v>
      </c>
      <c r="B539" s="35">
        <v>5000.0</v>
      </c>
      <c r="C539" s="15" t="s">
        <v>403</v>
      </c>
      <c r="D539" s="15" t="s">
        <v>1159</v>
      </c>
      <c r="E539" s="15"/>
      <c r="F539" s="41">
        <v>1.0</v>
      </c>
      <c r="G539" s="33">
        <v>0.0</v>
      </c>
      <c r="H539" s="33">
        <v>0.0</v>
      </c>
      <c r="I539" s="29">
        <v>0.0</v>
      </c>
      <c r="J539" s="19" t="str">
        <f t="shared" si="26"/>
        <v>sin oferta</v>
      </c>
      <c r="K539" s="20" t="str">
        <f t="shared" si="23"/>
        <v>NORMAL / SIN OFERTA</v>
      </c>
      <c r="L539" s="15"/>
      <c r="M539" s="20"/>
      <c r="N539" s="21">
        <v>0.0</v>
      </c>
      <c r="O539" s="22">
        <v>3.0</v>
      </c>
      <c r="P539" s="23" t="str">
        <f>IFERROR(__xludf.DUMMYFUNCTION("IFERROR(
  INDEX(
    QUERY(
      Historial!A:I,
      ""select I where B = '""&amp;A539&amp;""' order by A desc limit 1"",
      0
    ),
    1
  ),
  """"
)"),"")</f>
        <v/>
      </c>
      <c r="Q539" s="19" t="s">
        <v>57</v>
      </c>
      <c r="R539" s="24">
        <v>46447.0</v>
      </c>
      <c r="S539" s="20" t="str">
        <f>IFERROR(__xludf.DUMMYFUNCTION("IFERROR(
  INDEX(
    QUERY(
      Historial!A:G,
      ""select G where B = '""&amp;A539&amp;""' order by A desc limit 1"",
      0
    ),
    1
  ),
  """"
)"),"")</f>
        <v/>
      </c>
      <c r="T539" s="20" t="str">
        <f t="shared" si="3"/>
        <v/>
      </c>
      <c r="U539" s="20" t="str">
        <f t="shared" si="4"/>
        <v/>
      </c>
      <c r="V539" s="25">
        <v>0.0</v>
      </c>
      <c r="W539" s="26">
        <v>0.0</v>
      </c>
      <c r="X539" s="26">
        <v>0.0</v>
      </c>
      <c r="Y539" s="27"/>
      <c r="Z539" s="26">
        <v>10.0</v>
      </c>
      <c r="AA539" s="26">
        <v>0.0</v>
      </c>
      <c r="AB539" s="26">
        <v>0.0</v>
      </c>
      <c r="AC539" s="27"/>
      <c r="AD539" s="27"/>
      <c r="AE539" s="10" t="s">
        <v>38</v>
      </c>
      <c r="AF539" s="10" t="s">
        <v>44</v>
      </c>
      <c r="AG539" s="27"/>
    </row>
    <row r="540" ht="15.75" customHeight="1">
      <c r="A540" s="34" t="s">
        <v>1160</v>
      </c>
      <c r="B540" s="35">
        <v>2500.0</v>
      </c>
      <c r="C540" s="15" t="s">
        <v>403</v>
      </c>
      <c r="D540" s="15" t="s">
        <v>1161</v>
      </c>
      <c r="E540" s="15" t="s">
        <v>74</v>
      </c>
      <c r="F540" s="36">
        <v>4.0</v>
      </c>
      <c r="G540" s="33">
        <v>0.0</v>
      </c>
      <c r="H540" s="33">
        <v>0.0</v>
      </c>
      <c r="I540" s="64">
        <v>0.0</v>
      </c>
      <c r="J540" s="19" t="str">
        <f t="shared" si="26"/>
        <v>sin oferta</v>
      </c>
      <c r="K540" s="20" t="str">
        <f t="shared" si="23"/>
        <v>NORMAL / SIN OFERTA</v>
      </c>
      <c r="L540" s="15"/>
      <c r="M540" s="20"/>
      <c r="N540" s="21">
        <v>3.0</v>
      </c>
      <c r="O540" s="22">
        <v>4.0</v>
      </c>
      <c r="P540" s="23" t="str">
        <f>IFERROR(__xludf.DUMMYFUNCTION("IFERROR(
  INDEX(
    QUERY(
      Historial!A:I,
      ""select I where B = '""&amp;A540&amp;""' order by A desc limit 1"",
      0
    ),
    1
  ),
  """"
)"),"")</f>
        <v/>
      </c>
      <c r="Q540" s="19" t="s">
        <v>60</v>
      </c>
      <c r="R540" s="24">
        <v>46448.0</v>
      </c>
      <c r="S540" s="20">
        <f>IFERROR(__xludf.DUMMYFUNCTION("IFERROR(
  INDEX(
    QUERY(
      Historial!A:G,
      ""select G where B = '""&amp;A540&amp;""' order by A desc limit 1"",
      0
    ),
    1
  ),
  """"
)"),1600.0)</f>
        <v>1600</v>
      </c>
      <c r="T540" s="20" t="str">
        <f t="shared" si="3"/>
        <v/>
      </c>
      <c r="U540" s="20" t="str">
        <f t="shared" si="4"/>
        <v/>
      </c>
      <c r="V540" s="25">
        <v>4.0</v>
      </c>
      <c r="W540" s="26">
        <v>6.0</v>
      </c>
      <c r="X540" s="26">
        <v>0.423</v>
      </c>
      <c r="Y540" s="26">
        <v>9.456264775413711</v>
      </c>
      <c r="Z540" s="26">
        <v>7.0</v>
      </c>
      <c r="AA540" s="26">
        <v>7.614</v>
      </c>
      <c r="AB540" s="26">
        <v>4.0</v>
      </c>
      <c r="AC540" s="27"/>
      <c r="AD540" s="26">
        <v>9.456264775413711</v>
      </c>
      <c r="AE540" s="10" t="s">
        <v>38</v>
      </c>
      <c r="AF540" s="10" t="s">
        <v>44</v>
      </c>
      <c r="AG540" s="27"/>
    </row>
    <row r="541" ht="15.75" customHeight="1">
      <c r="A541" s="34" t="s">
        <v>1162</v>
      </c>
      <c r="B541" s="35">
        <v>2500.0</v>
      </c>
      <c r="C541" s="15" t="s">
        <v>403</v>
      </c>
      <c r="D541" s="15" t="s">
        <v>1163</v>
      </c>
      <c r="E541" s="15" t="s">
        <v>74</v>
      </c>
      <c r="F541" s="39">
        <v>1.0</v>
      </c>
      <c r="G541" s="40">
        <v>0.0</v>
      </c>
      <c r="H541" s="40">
        <v>0.0</v>
      </c>
      <c r="I541" s="40">
        <v>0.0</v>
      </c>
      <c r="J541" s="19" t="str">
        <f t="shared" si="26"/>
        <v>sin oferta</v>
      </c>
      <c r="K541" s="20" t="str">
        <f t="shared" si="23"/>
        <v>NORMAL / SIN OFERTA</v>
      </c>
      <c r="L541" s="20">
        <v>0.0</v>
      </c>
      <c r="M541" s="20">
        <v>0.0</v>
      </c>
      <c r="N541" s="21">
        <v>0.0</v>
      </c>
      <c r="O541" s="22">
        <v>3.0</v>
      </c>
      <c r="P541" s="23" t="str">
        <f>IFERROR(__xludf.DUMMYFUNCTION("IFERROR(
  INDEX(
    QUERY(
      Historial!A:I,
      ""select I where B = '""&amp;A541&amp;""' order by A desc limit 1"",
      0
    ),
    1
  ),
  """"
)"),"")</f>
        <v/>
      </c>
      <c r="Q541" s="19" t="s">
        <v>37</v>
      </c>
      <c r="R541" s="24">
        <v>46464.0</v>
      </c>
      <c r="S541" s="20" t="str">
        <f>IFERROR(__xludf.DUMMYFUNCTION("IFERROR(
  INDEX(
    QUERY(
      Historial!A:G,
      ""select G where B = '""&amp;A541&amp;""' order by A desc limit 1"",
      0
    ),
    1
  ),
  """"
)"),"")</f>
        <v/>
      </c>
      <c r="T541" s="20" t="str">
        <f t="shared" si="3"/>
        <v/>
      </c>
      <c r="U541" s="20" t="str">
        <f t="shared" si="4"/>
        <v/>
      </c>
      <c r="V541" s="25">
        <v>0.0</v>
      </c>
      <c r="W541" s="26">
        <v>0.0</v>
      </c>
      <c r="X541" s="26">
        <v>0.0</v>
      </c>
      <c r="Y541" s="27"/>
      <c r="Z541" s="26">
        <v>14.0</v>
      </c>
      <c r="AA541" s="26">
        <v>0.0</v>
      </c>
      <c r="AB541" s="26">
        <v>0.0</v>
      </c>
      <c r="AC541" s="27"/>
      <c r="AD541" s="27"/>
      <c r="AE541" s="10" t="s">
        <v>38</v>
      </c>
      <c r="AF541" s="10" t="s">
        <v>44</v>
      </c>
      <c r="AG541" s="27"/>
    </row>
    <row r="542" ht="15.75" customHeight="1">
      <c r="A542" s="34" t="s">
        <v>1164</v>
      </c>
      <c r="B542" s="46">
        <v>4000.0</v>
      </c>
      <c r="C542" s="47" t="s">
        <v>403</v>
      </c>
      <c r="D542" s="15" t="s">
        <v>1165</v>
      </c>
      <c r="E542" s="15"/>
      <c r="F542" s="36">
        <v>1.0</v>
      </c>
      <c r="G542" s="33">
        <v>10.0</v>
      </c>
      <c r="H542" s="33">
        <v>0.0</v>
      </c>
      <c r="I542" s="29">
        <v>0.0</v>
      </c>
      <c r="J542" s="19" t="str">
        <f t="shared" si="26"/>
        <v>REPONER 1 PARA PROMO</v>
      </c>
      <c r="K542" s="20">
        <f t="shared" si="23"/>
        <v>3000</v>
      </c>
      <c r="L542" s="15"/>
      <c r="M542" s="20"/>
      <c r="N542" s="21">
        <v>4.0</v>
      </c>
      <c r="O542" s="22">
        <v>3.0</v>
      </c>
      <c r="P542" s="23">
        <f>IFERROR(__xludf.DUMMYFUNCTION("IFERROR(
  INDEX(
    QUERY(
      Historial!A:I,
      ""select I where B = '""&amp;A542&amp;""' order by A desc limit 1"",
      0
    ),
    1
  ),
  """"
)"),46422.0)</f>
        <v>46422</v>
      </c>
      <c r="Q542" s="19" t="s">
        <v>48</v>
      </c>
      <c r="R542" s="24">
        <v>46487.0</v>
      </c>
      <c r="S542" s="20">
        <f>IFERROR(__xludf.DUMMYFUNCTION("IFERROR(
  INDEX(
    QUERY(
      Historial!A:G,
      ""select G where B = '""&amp;A542&amp;""' order by A desc limit 1"",
      0
    ),
    1
  ),
  """"
)"),3000.0)</f>
        <v>3000</v>
      </c>
      <c r="T542" s="20" t="str">
        <f t="shared" si="3"/>
        <v>✅ OK</v>
      </c>
      <c r="U542" s="20" t="str">
        <f t="shared" si="4"/>
        <v/>
      </c>
      <c r="V542" s="25">
        <v>3.0</v>
      </c>
      <c r="W542" s="26">
        <v>4.0</v>
      </c>
      <c r="X542" s="26">
        <v>0.31</v>
      </c>
      <c r="Y542" s="26">
        <v>3.2258064516129035</v>
      </c>
      <c r="Z542" s="26">
        <v>10.0</v>
      </c>
      <c r="AA542" s="26">
        <v>4.34</v>
      </c>
      <c r="AB542" s="26">
        <v>4.0</v>
      </c>
      <c r="AC542" s="26">
        <v>330.0</v>
      </c>
      <c r="AD542" s="26">
        <v>3.2258064516129035</v>
      </c>
      <c r="AE542" s="10" t="s">
        <v>38</v>
      </c>
      <c r="AF542" s="10" t="s">
        <v>44</v>
      </c>
      <c r="AG542" s="27"/>
    </row>
    <row r="543" ht="15.75" customHeight="1">
      <c r="A543" s="34" t="s">
        <v>1166</v>
      </c>
      <c r="B543" s="35">
        <v>3000.0</v>
      </c>
      <c r="C543" s="15" t="s">
        <v>403</v>
      </c>
      <c r="D543" s="15" t="s">
        <v>1167</v>
      </c>
      <c r="E543" s="15" t="s">
        <v>74</v>
      </c>
      <c r="F543" s="39">
        <v>1.0</v>
      </c>
      <c r="G543" s="40">
        <v>0.0</v>
      </c>
      <c r="H543" s="40">
        <v>0.0</v>
      </c>
      <c r="I543" s="40">
        <v>0.0</v>
      </c>
      <c r="J543" s="19" t="str">
        <f t="shared" si="26"/>
        <v>sin oferta</v>
      </c>
      <c r="K543" s="20" t="str">
        <f t="shared" si="23"/>
        <v>NORMAL / SIN OFERTA</v>
      </c>
      <c r="L543" s="20">
        <v>0.0</v>
      </c>
      <c r="M543" s="20">
        <v>0.0</v>
      </c>
      <c r="N543" s="21">
        <v>0.0</v>
      </c>
      <c r="O543" s="22">
        <v>3.0</v>
      </c>
      <c r="P543" s="23" t="str">
        <f>IFERROR(__xludf.DUMMYFUNCTION("IFERROR(
  INDEX(
    QUERY(
      Historial!A:I,
      ""select I where B = '""&amp;A543&amp;""' order by A desc limit 1"",
      0
    ),
    1
  ),
  """"
)"),"")</f>
        <v/>
      </c>
      <c r="Q543" s="19" t="s">
        <v>57</v>
      </c>
      <c r="R543" s="24">
        <v>46489.0</v>
      </c>
      <c r="S543" s="20" t="str">
        <f>IFERROR(__xludf.DUMMYFUNCTION("IFERROR(
  INDEX(
    QUERY(
      Historial!A:G,
      ""select G where B = '""&amp;A543&amp;""' order by A desc limit 1"",
      0
    ),
    1
  ),
  """"
)"),"")</f>
        <v/>
      </c>
      <c r="T543" s="20" t="str">
        <f t="shared" si="3"/>
        <v/>
      </c>
      <c r="U543" s="20" t="str">
        <f t="shared" si="4"/>
        <v/>
      </c>
      <c r="V543" s="25">
        <v>0.0</v>
      </c>
      <c r="W543" s="26">
        <v>0.0</v>
      </c>
      <c r="X543" s="26">
        <v>0.0</v>
      </c>
      <c r="Y543" s="27"/>
      <c r="Z543" s="26">
        <v>21.0</v>
      </c>
      <c r="AA543" s="26">
        <v>0.0</v>
      </c>
      <c r="AB543" s="26">
        <v>0.0</v>
      </c>
      <c r="AC543" s="27"/>
      <c r="AD543" s="27"/>
      <c r="AE543" s="10" t="s">
        <v>38</v>
      </c>
      <c r="AF543" s="10" t="s">
        <v>44</v>
      </c>
      <c r="AG543" s="27"/>
    </row>
    <row r="544" ht="15.75" customHeight="1">
      <c r="A544" s="31" t="s">
        <v>1168</v>
      </c>
      <c r="B544" s="20">
        <v>2000.0</v>
      </c>
      <c r="C544" s="20" t="s">
        <v>458</v>
      </c>
      <c r="D544" s="15" t="s">
        <v>1169</v>
      </c>
      <c r="E544" s="15" t="s">
        <v>147</v>
      </c>
      <c r="F544" s="41">
        <v>1.0</v>
      </c>
      <c r="G544" s="33">
        <v>0.0</v>
      </c>
      <c r="H544" s="33">
        <v>0.0</v>
      </c>
      <c r="I544" s="29">
        <v>0.0</v>
      </c>
      <c r="J544" s="19" t="str">
        <f t="shared" si="26"/>
        <v>sin oferta</v>
      </c>
      <c r="K544" s="20" t="str">
        <f t="shared" si="23"/>
        <v>NORMAL / SIN OFERTA</v>
      </c>
      <c r="L544" s="15">
        <v>0.0</v>
      </c>
      <c r="M544" s="20"/>
      <c r="N544" s="21">
        <v>0.0</v>
      </c>
      <c r="O544" s="22">
        <v>3.0</v>
      </c>
      <c r="P544" s="23" t="str">
        <f>IFERROR(__xludf.DUMMYFUNCTION("IFERROR(
  INDEX(
    QUERY(
      Historial!A:I,
      ""select I where B = '""&amp;A544&amp;""' order by A desc limit 1"",
      0
    ),
    1
  ),
  """"
)"),"")</f>
        <v/>
      </c>
      <c r="Q544" s="19" t="s">
        <v>57</v>
      </c>
      <c r="R544" s="24">
        <v>46496.0</v>
      </c>
      <c r="S544" s="20" t="str">
        <f>IFERROR(__xludf.DUMMYFUNCTION("IFERROR(
  INDEX(
    QUERY(
      Historial!A:G,
      ""select G where B = '""&amp;A544&amp;""' order by A desc limit 1"",
      0
    ),
    1
  ),
  """"
)"),"")</f>
        <v/>
      </c>
      <c r="T544" s="20" t="str">
        <f t="shared" si="3"/>
        <v/>
      </c>
      <c r="U544" s="20" t="str">
        <f t="shared" si="4"/>
        <v/>
      </c>
      <c r="V544" s="25">
        <v>0.0</v>
      </c>
      <c r="W544" s="26">
        <v>0.0</v>
      </c>
      <c r="X544" s="26">
        <v>0.0</v>
      </c>
      <c r="Y544" s="27"/>
      <c r="Z544" s="26">
        <v>10.0</v>
      </c>
      <c r="AA544" s="26">
        <v>0.0</v>
      </c>
      <c r="AB544" s="26">
        <v>0.0</v>
      </c>
      <c r="AC544" s="27"/>
      <c r="AD544" s="27"/>
      <c r="AE544" s="10" t="s">
        <v>38</v>
      </c>
      <c r="AF544" s="10" t="s">
        <v>44</v>
      </c>
      <c r="AG544" s="27"/>
    </row>
    <row r="545" ht="15.75" customHeight="1">
      <c r="A545" s="34" t="s">
        <v>1170</v>
      </c>
      <c r="B545" s="35">
        <v>8000.0</v>
      </c>
      <c r="C545" s="15" t="s">
        <v>458</v>
      </c>
      <c r="D545" s="15" t="s">
        <v>1171</v>
      </c>
      <c r="E545" s="15"/>
      <c r="F545" s="41">
        <v>1.0</v>
      </c>
      <c r="G545" s="33">
        <v>0.0</v>
      </c>
      <c r="H545" s="33">
        <v>0.0</v>
      </c>
      <c r="I545" s="29">
        <v>0.0</v>
      </c>
      <c r="J545" s="19" t="str">
        <f t="shared" si="26"/>
        <v>sin oferta</v>
      </c>
      <c r="K545" s="20" t="str">
        <f t="shared" si="23"/>
        <v>NORMAL / SIN OFERTA</v>
      </c>
      <c r="L545" s="15"/>
      <c r="M545" s="20"/>
      <c r="N545" s="21">
        <v>0.0</v>
      </c>
      <c r="O545" s="22">
        <v>3.0</v>
      </c>
      <c r="P545" s="23" t="str">
        <f>IFERROR(__xludf.DUMMYFUNCTION("IFERROR(
  INDEX(
    QUERY(
      Historial!A:I,
      ""select I where B = '""&amp;A545&amp;""' order by A desc limit 1"",
      0
    ),
    1
  ),
  """"
)"),"")</f>
        <v/>
      </c>
      <c r="Q545" s="19" t="s">
        <v>51</v>
      </c>
      <c r="R545" s="24">
        <v>46502.0</v>
      </c>
      <c r="S545" s="20" t="str">
        <f>IFERROR(__xludf.DUMMYFUNCTION("IFERROR(
  INDEX(
    QUERY(
      Historial!A:G,
      ""select G where B = '""&amp;A545&amp;""' order by A desc limit 1"",
      0
    ),
    1
  ),
  """"
)"),"")</f>
        <v/>
      </c>
      <c r="T545" s="20" t="str">
        <f t="shared" si="3"/>
        <v/>
      </c>
      <c r="U545" s="20" t="str">
        <f t="shared" si="4"/>
        <v/>
      </c>
      <c r="V545" s="25">
        <v>0.0</v>
      </c>
      <c r="W545" s="26">
        <v>0.0</v>
      </c>
      <c r="X545" s="26">
        <v>0.0</v>
      </c>
      <c r="Y545" s="27"/>
      <c r="Z545" s="26">
        <v>10.0</v>
      </c>
      <c r="AA545" s="26">
        <v>0.0</v>
      </c>
      <c r="AB545" s="26">
        <v>0.0</v>
      </c>
      <c r="AC545" s="27"/>
      <c r="AD545" s="27"/>
      <c r="AE545" s="10" t="s">
        <v>38</v>
      </c>
      <c r="AF545" s="10" t="s">
        <v>44</v>
      </c>
      <c r="AG545" s="27"/>
    </row>
    <row r="546" ht="15.75" customHeight="1">
      <c r="A546" s="34" t="s">
        <v>1172</v>
      </c>
      <c r="B546" s="35">
        <v>2300.0</v>
      </c>
      <c r="C546" s="15" t="s">
        <v>458</v>
      </c>
      <c r="D546" s="15" t="s">
        <v>1173</v>
      </c>
      <c r="E546" s="15" t="s">
        <v>74</v>
      </c>
      <c r="F546" s="39">
        <v>1.0</v>
      </c>
      <c r="G546" s="40">
        <v>0.0</v>
      </c>
      <c r="H546" s="40">
        <v>0.0</v>
      </c>
      <c r="I546" s="40">
        <v>0.0</v>
      </c>
      <c r="J546" s="19" t="str">
        <f t="shared" si="26"/>
        <v>sin oferta</v>
      </c>
      <c r="K546" s="20" t="str">
        <f t="shared" si="23"/>
        <v>NORMAL / SIN OFERTA</v>
      </c>
      <c r="L546" s="20">
        <v>0.0</v>
      </c>
      <c r="M546" s="20">
        <v>0.0</v>
      </c>
      <c r="N546" s="21">
        <v>0.0</v>
      </c>
      <c r="O546" s="22">
        <v>3.0</v>
      </c>
      <c r="P546" s="23" t="str">
        <f>IFERROR(__xludf.DUMMYFUNCTION("IFERROR(
  INDEX(
    QUERY(
      Historial!A:I,
      ""select I where B = '""&amp;A546&amp;""' order by A desc limit 1"",
      0
    ),
    1
  ),
  """"
)"),"")</f>
        <v/>
      </c>
      <c r="Q546" s="19" t="s">
        <v>57</v>
      </c>
      <c r="R546" s="24">
        <v>46524.0</v>
      </c>
      <c r="S546" s="20" t="str">
        <f>IFERROR(__xludf.DUMMYFUNCTION("IFERROR(
  INDEX(
    QUERY(
      Historial!A:G,
      ""select G where B = '""&amp;A546&amp;""' order by A desc limit 1"",
      0
    ),
    1
  ),
  """"
)"),"")</f>
        <v/>
      </c>
      <c r="T546" s="20" t="str">
        <f t="shared" si="3"/>
        <v/>
      </c>
      <c r="U546" s="20" t="str">
        <f t="shared" si="4"/>
        <v/>
      </c>
      <c r="V546" s="25">
        <v>0.0</v>
      </c>
      <c r="W546" s="26">
        <v>0.0</v>
      </c>
      <c r="X546" s="26">
        <v>0.0</v>
      </c>
      <c r="Y546" s="27"/>
      <c r="Z546" s="26">
        <v>10.0</v>
      </c>
      <c r="AA546" s="26">
        <v>0.0</v>
      </c>
      <c r="AB546" s="26">
        <v>0.0</v>
      </c>
      <c r="AC546" s="27"/>
      <c r="AD546" s="27"/>
      <c r="AE546" s="10" t="s">
        <v>38</v>
      </c>
      <c r="AF546" s="10" t="s">
        <v>44</v>
      </c>
      <c r="AG546" s="27"/>
    </row>
    <row r="547" ht="15.75" customHeight="1">
      <c r="A547" s="34" t="s">
        <v>1174</v>
      </c>
      <c r="B547" s="35">
        <v>3500.0</v>
      </c>
      <c r="C547" s="15" t="s">
        <v>458</v>
      </c>
      <c r="D547" s="15" t="s">
        <v>1175</v>
      </c>
      <c r="E547" s="15" t="s">
        <v>74</v>
      </c>
      <c r="F547" s="42">
        <v>3.0</v>
      </c>
      <c r="G547" s="33">
        <v>0.0</v>
      </c>
      <c r="H547" s="33">
        <v>0.0</v>
      </c>
      <c r="I547" s="29">
        <v>0.0</v>
      </c>
      <c r="J547" s="19" t="str">
        <f t="shared" si="26"/>
        <v>sin oferta</v>
      </c>
      <c r="K547" s="20" t="str">
        <f t="shared" si="23"/>
        <v>NORMAL / SIN OFERTA</v>
      </c>
      <c r="L547" s="15"/>
      <c r="M547" s="20"/>
      <c r="N547" s="21">
        <v>3.0</v>
      </c>
      <c r="O547" s="22">
        <v>4.0</v>
      </c>
      <c r="P547" s="23" t="str">
        <f>IFERROR(__xludf.DUMMYFUNCTION("IFERROR(
  INDEX(
    QUERY(
      Historial!A:I,
      ""select I where B = '""&amp;A547&amp;""' order by A desc limit 1"",
      0
    ),
    1
  ),
  """"
)"),"")</f>
        <v/>
      </c>
      <c r="Q547" s="19" t="s">
        <v>51</v>
      </c>
      <c r="R547" s="24">
        <v>46530.0</v>
      </c>
      <c r="S547" s="20" t="str">
        <f>IFERROR(__xludf.DUMMYFUNCTION("IFERROR(
  INDEX(
    QUERY(
      Historial!A:G,
      ""select G where B = '""&amp;A547&amp;""' order by A desc limit 1"",
      0
    ),
    1
  ),
  """"
)"),"")</f>
        <v/>
      </c>
      <c r="T547" s="20" t="str">
        <f t="shared" si="3"/>
        <v/>
      </c>
      <c r="U547" s="20" t="str">
        <f t="shared" si="4"/>
        <v/>
      </c>
      <c r="V547" s="25">
        <v>3.0</v>
      </c>
      <c r="W547" s="26">
        <v>6.0</v>
      </c>
      <c r="X547" s="26">
        <v>0.337</v>
      </c>
      <c r="Y547" s="26">
        <v>8.90207715133531</v>
      </c>
      <c r="Z547" s="26">
        <v>7.0</v>
      </c>
      <c r="AA547" s="26">
        <v>6.066000000000001</v>
      </c>
      <c r="AB547" s="26">
        <v>4.0</v>
      </c>
      <c r="AC547" s="27"/>
      <c r="AD547" s="26">
        <v>8.90207715133531</v>
      </c>
      <c r="AE547" s="10" t="s">
        <v>38</v>
      </c>
      <c r="AF547" s="10" t="s">
        <v>44</v>
      </c>
      <c r="AG547" s="27"/>
    </row>
    <row r="548" ht="15.75" customHeight="1">
      <c r="A548" s="34" t="s">
        <v>1176</v>
      </c>
      <c r="B548" s="35">
        <v>4000.0</v>
      </c>
      <c r="C548" s="15" t="s">
        <v>297</v>
      </c>
      <c r="D548" s="15" t="s">
        <v>1177</v>
      </c>
      <c r="E548" s="15"/>
      <c r="F548" s="41">
        <v>1.0</v>
      </c>
      <c r="G548" s="33">
        <v>0.0</v>
      </c>
      <c r="H548" s="33">
        <v>0.0</v>
      </c>
      <c r="I548" s="29">
        <v>1.0</v>
      </c>
      <c r="J548" s="19" t="str">
        <f t="shared" si="26"/>
        <v>especial</v>
      </c>
      <c r="K548" s="20">
        <f t="shared" si="23"/>
        <v>3600</v>
      </c>
      <c r="L548" s="15"/>
      <c r="M548" s="20"/>
      <c r="N548" s="21">
        <v>0.0</v>
      </c>
      <c r="O548" s="22">
        <v>3.0</v>
      </c>
      <c r="P548" s="23" t="str">
        <f>IFERROR(__xludf.DUMMYFUNCTION("IFERROR(
  INDEX(
    QUERY(
      Historial!A:I,
      ""select I where B = '""&amp;A548&amp;""' order by A desc limit 1"",
      0
    ),
    1
  ),
  """"
)"),"")</f>
        <v/>
      </c>
      <c r="Q548" s="19" t="s">
        <v>57</v>
      </c>
      <c r="R548" s="24">
        <v>46573.0</v>
      </c>
      <c r="S548" s="20" t="str">
        <f>IFERROR(__xludf.DUMMYFUNCTION("IFERROR(
  INDEX(
    QUERY(
      Historial!A:G,
      ""select G where B = '""&amp;A548&amp;""' order by A desc limit 1"",
      0
    ),
    1
  ),
  """"
)"),"")</f>
        <v/>
      </c>
      <c r="T548" s="20" t="str">
        <f t="shared" si="3"/>
        <v/>
      </c>
      <c r="U548" s="20" t="str">
        <f t="shared" si="4"/>
        <v/>
      </c>
      <c r="V548" s="25">
        <v>0.0</v>
      </c>
      <c r="W548" s="26">
        <v>0.0</v>
      </c>
      <c r="X548" s="26">
        <v>0.0</v>
      </c>
      <c r="Y548" s="27"/>
      <c r="Z548" s="26">
        <v>14.0</v>
      </c>
      <c r="AA548" s="26">
        <v>0.0</v>
      </c>
      <c r="AB548" s="26">
        <v>0.0</v>
      </c>
      <c r="AC548" s="27"/>
      <c r="AD548" s="27"/>
      <c r="AE548" s="10" t="s">
        <v>38</v>
      </c>
      <c r="AF548" s="10" t="s">
        <v>44</v>
      </c>
      <c r="AG548" s="27"/>
    </row>
    <row r="549" ht="15.75" customHeight="1">
      <c r="A549" s="34" t="s">
        <v>1178</v>
      </c>
      <c r="B549" s="35">
        <v>4500.0</v>
      </c>
      <c r="C549" s="15" t="s">
        <v>577</v>
      </c>
      <c r="D549" s="15" t="s">
        <v>1179</v>
      </c>
      <c r="E549" s="15"/>
      <c r="F549" s="41">
        <v>1.0</v>
      </c>
      <c r="G549" s="33">
        <v>0.0</v>
      </c>
      <c r="H549" s="33">
        <v>0.0</v>
      </c>
      <c r="I549" s="29">
        <v>1.0</v>
      </c>
      <c r="J549" s="19" t="str">
        <f t="shared" si="26"/>
        <v>especial</v>
      </c>
      <c r="K549" s="20">
        <f t="shared" si="23"/>
        <v>4050</v>
      </c>
      <c r="L549" s="15"/>
      <c r="M549" s="20"/>
      <c r="N549" s="21">
        <v>0.0</v>
      </c>
      <c r="O549" s="22">
        <v>3.0</v>
      </c>
      <c r="P549" s="23" t="str">
        <f>IFERROR(__xludf.DUMMYFUNCTION("IFERROR(
  INDEX(
    QUERY(
      Historial!A:I,
      ""select I where B = '""&amp;A549&amp;""' order by A desc limit 1"",
      0
    ),
    1
  ),
  """"
)"),"")</f>
        <v/>
      </c>
      <c r="Q549" s="19" t="s">
        <v>51</v>
      </c>
      <c r="R549" s="24">
        <v>46593.0</v>
      </c>
      <c r="S549" s="20" t="str">
        <f>IFERROR(__xludf.DUMMYFUNCTION("IFERROR(
  INDEX(
    QUERY(
      Historial!A:G,
      ""select G where B = '""&amp;A549&amp;""' order by A desc limit 1"",
      0
    ),
    1
  ),
  """"
)"),"")</f>
        <v/>
      </c>
      <c r="T549" s="20" t="str">
        <f t="shared" si="3"/>
        <v/>
      </c>
      <c r="U549" s="20" t="str">
        <f t="shared" si="4"/>
        <v/>
      </c>
      <c r="V549" s="25">
        <v>0.0</v>
      </c>
      <c r="W549" s="26">
        <v>0.0</v>
      </c>
      <c r="X549" s="26">
        <v>0.0</v>
      </c>
      <c r="Y549" s="27"/>
      <c r="Z549" s="26">
        <v>10.0</v>
      </c>
      <c r="AA549" s="26">
        <v>0.0</v>
      </c>
      <c r="AB549" s="26">
        <v>0.0</v>
      </c>
      <c r="AC549" s="27"/>
      <c r="AD549" s="27"/>
      <c r="AE549" s="10" t="s">
        <v>38</v>
      </c>
      <c r="AF549" s="10" t="s">
        <v>44</v>
      </c>
      <c r="AG549" s="27"/>
    </row>
    <row r="550" ht="15.75" customHeight="1">
      <c r="A550" s="34" t="s">
        <v>1180</v>
      </c>
      <c r="B550" s="35">
        <v>3600.0</v>
      </c>
      <c r="C550" s="15" t="s">
        <v>577</v>
      </c>
      <c r="D550" s="15" t="s">
        <v>1181</v>
      </c>
      <c r="E550" s="15"/>
      <c r="F550" s="41">
        <v>1.0</v>
      </c>
      <c r="G550" s="15">
        <v>0.0</v>
      </c>
      <c r="H550" s="33">
        <v>0.0</v>
      </c>
      <c r="I550" s="19">
        <v>0.0</v>
      </c>
      <c r="J550" s="19" t="str">
        <f t="shared" si="26"/>
        <v>sin oferta</v>
      </c>
      <c r="K550" s="20" t="str">
        <f t="shared" si="23"/>
        <v>NORMAL / SIN OFERTA</v>
      </c>
      <c r="L550" s="20"/>
      <c r="M550" s="20"/>
      <c r="N550" s="21">
        <v>0.0</v>
      </c>
      <c r="O550" s="22">
        <v>3.0</v>
      </c>
      <c r="P550" s="23" t="str">
        <f>IFERROR(__xludf.DUMMYFUNCTION("IFERROR(
  INDEX(
    QUERY(
      Historial!A:I,
      ""select I where B = '""&amp;A550&amp;""' order by A desc limit 1"",
      0
    ),
    1
  ),
  """"
)"),"")</f>
        <v/>
      </c>
      <c r="Q550" s="19" t="s">
        <v>60</v>
      </c>
      <c r="R550" s="24">
        <v>46595.0</v>
      </c>
      <c r="S550" s="20" t="str">
        <f>IFERROR(__xludf.DUMMYFUNCTION("IFERROR(
  INDEX(
    QUERY(
      Historial!A:G,
      ""select G where B = '""&amp;A550&amp;""' order by A desc limit 1"",
      0
    ),
    1
  ),
  """"
)"),"")</f>
        <v/>
      </c>
      <c r="T550" s="20" t="str">
        <f t="shared" si="3"/>
        <v/>
      </c>
      <c r="U550" s="20" t="str">
        <f t="shared" si="4"/>
        <v/>
      </c>
      <c r="V550" s="25">
        <v>0.0</v>
      </c>
      <c r="W550" s="26">
        <v>0.0</v>
      </c>
      <c r="X550" s="26">
        <v>0.0</v>
      </c>
      <c r="Y550" s="27"/>
      <c r="Z550" s="26">
        <v>10.0</v>
      </c>
      <c r="AA550" s="26">
        <v>0.0</v>
      </c>
      <c r="AB550" s="26">
        <v>0.0</v>
      </c>
      <c r="AC550" s="27"/>
      <c r="AD550" s="27"/>
      <c r="AE550" s="10" t="s">
        <v>38</v>
      </c>
      <c r="AF550" s="10" t="s">
        <v>44</v>
      </c>
      <c r="AG550" s="27"/>
    </row>
    <row r="551" ht="15.75" customHeight="1">
      <c r="A551" s="34" t="s">
        <v>1182</v>
      </c>
      <c r="B551" s="35">
        <v>6500.0</v>
      </c>
      <c r="C551" s="15" t="s">
        <v>577</v>
      </c>
      <c r="D551" s="15" t="s">
        <v>1183</v>
      </c>
      <c r="E551" s="15"/>
      <c r="F551" s="41">
        <v>1.0</v>
      </c>
      <c r="G551" s="15">
        <v>0.0</v>
      </c>
      <c r="H551" s="33">
        <v>0.0</v>
      </c>
      <c r="I551" s="19">
        <v>0.0</v>
      </c>
      <c r="J551" s="19" t="str">
        <f t="shared" si="26"/>
        <v>sin oferta</v>
      </c>
      <c r="K551" s="20" t="str">
        <f t="shared" si="23"/>
        <v>NORMAL / SIN OFERTA</v>
      </c>
      <c r="L551" s="20"/>
      <c r="M551" s="20"/>
      <c r="N551" s="21">
        <v>0.0</v>
      </c>
      <c r="O551" s="22">
        <v>3.0</v>
      </c>
      <c r="P551" s="23" t="str">
        <f>IFERROR(__xludf.DUMMYFUNCTION("IFERROR(
  INDEX(
    QUERY(
      Historial!A:I,
      ""select I where B = '""&amp;A551&amp;""' order by A desc limit 1"",
      0
    ),
    1
  ),
  """"
)"),"")</f>
        <v/>
      </c>
      <c r="Q551" s="19" t="s">
        <v>63</v>
      </c>
      <c r="R551" s="24">
        <v>46596.0</v>
      </c>
      <c r="S551" s="20" t="str">
        <f>IFERROR(__xludf.DUMMYFUNCTION("IFERROR(
  INDEX(
    QUERY(
      Historial!A:G,
      ""select G where B = '""&amp;A551&amp;""' order by A desc limit 1"",
      0
    ),
    1
  ),
  """"
)"),"")</f>
        <v/>
      </c>
      <c r="T551" s="20" t="str">
        <f t="shared" si="3"/>
        <v/>
      </c>
      <c r="U551" s="20" t="str">
        <f t="shared" si="4"/>
        <v/>
      </c>
      <c r="V551" s="25">
        <v>0.0</v>
      </c>
      <c r="W551" s="26">
        <v>0.0</v>
      </c>
      <c r="X551" s="26">
        <v>0.0</v>
      </c>
      <c r="Y551" s="27"/>
      <c r="Z551" s="26">
        <v>10.0</v>
      </c>
      <c r="AA551" s="26">
        <v>0.0</v>
      </c>
      <c r="AB551" s="26">
        <v>0.0</v>
      </c>
      <c r="AC551" s="27"/>
      <c r="AD551" s="27"/>
      <c r="AE551" s="10" t="s">
        <v>38</v>
      </c>
      <c r="AF551" s="10" t="s">
        <v>44</v>
      </c>
      <c r="AG551" s="27"/>
    </row>
    <row r="552" ht="15.75" customHeight="1">
      <c r="A552" s="34" t="s">
        <v>1184</v>
      </c>
      <c r="B552" s="35">
        <v>2400.0</v>
      </c>
      <c r="C552" s="15" t="s">
        <v>582</v>
      </c>
      <c r="D552" s="15" t="s">
        <v>1185</v>
      </c>
      <c r="E552" s="15"/>
      <c r="F552" s="41">
        <v>1.0</v>
      </c>
      <c r="G552" s="33">
        <v>0.0</v>
      </c>
      <c r="H552" s="33">
        <v>0.0</v>
      </c>
      <c r="I552" s="29">
        <v>0.0</v>
      </c>
      <c r="J552" s="19" t="str">
        <f t="shared" si="26"/>
        <v>sin oferta</v>
      </c>
      <c r="K552" s="20" t="str">
        <f t="shared" si="23"/>
        <v>NORMAL / SIN OFERTA</v>
      </c>
      <c r="L552" s="15"/>
      <c r="M552" s="20"/>
      <c r="N552" s="21">
        <v>0.0</v>
      </c>
      <c r="O552" s="22">
        <v>3.0</v>
      </c>
      <c r="P552" s="23" t="str">
        <f>IFERROR(__xludf.DUMMYFUNCTION("IFERROR(
  INDEX(
    QUERY(
      Historial!A:I,
      ""select I where B = '""&amp;A552&amp;""' order by A desc limit 1"",
      0
    ),
    1
  ),
  """"
)"),"")</f>
        <v/>
      </c>
      <c r="Q552" s="19" t="s">
        <v>43</v>
      </c>
      <c r="R552" s="24">
        <v>46612.0</v>
      </c>
      <c r="S552" s="20" t="str">
        <f>IFERROR(__xludf.DUMMYFUNCTION("IFERROR(
  INDEX(
    QUERY(
      Historial!A:G,
      ""select G where B = '""&amp;A552&amp;""' order by A desc limit 1"",
      0
    ),
    1
  ),
  """"
)"),"")</f>
        <v/>
      </c>
      <c r="T552" s="20" t="str">
        <f t="shared" si="3"/>
        <v/>
      </c>
      <c r="U552" s="20" t="str">
        <f t="shared" si="4"/>
        <v/>
      </c>
      <c r="V552" s="25">
        <v>0.0</v>
      </c>
      <c r="W552" s="26">
        <v>0.0</v>
      </c>
      <c r="X552" s="26">
        <v>0.0</v>
      </c>
      <c r="Y552" s="27"/>
      <c r="Z552" s="26">
        <v>10.0</v>
      </c>
      <c r="AA552" s="26">
        <v>0.0</v>
      </c>
      <c r="AB552" s="26">
        <v>0.0</v>
      </c>
      <c r="AC552" s="27"/>
      <c r="AD552" s="27"/>
      <c r="AE552" s="10" t="s">
        <v>38</v>
      </c>
      <c r="AF552" s="10" t="s">
        <v>44</v>
      </c>
      <c r="AG552" s="27"/>
    </row>
    <row r="553" ht="15.75" customHeight="1">
      <c r="A553" s="12" t="s">
        <v>1186</v>
      </c>
      <c r="B553" s="13">
        <v>2000.0</v>
      </c>
      <c r="C553" s="14" t="s">
        <v>582</v>
      </c>
      <c r="D553" s="15" t="s">
        <v>1187</v>
      </c>
      <c r="E553" s="14"/>
      <c r="F553" s="81">
        <v>1.0</v>
      </c>
      <c r="G553" s="13">
        <v>0.0</v>
      </c>
      <c r="H553" s="33">
        <v>0.0</v>
      </c>
      <c r="I553" s="13">
        <v>0.0</v>
      </c>
      <c r="J553" s="19" t="str">
        <f t="shared" si="26"/>
        <v>sin oferta</v>
      </c>
      <c r="K553" s="20" t="str">
        <f t="shared" si="23"/>
        <v>NORMAL / SIN OFERTA</v>
      </c>
      <c r="L553" s="15"/>
      <c r="M553" s="20"/>
      <c r="N553" s="21">
        <v>0.0</v>
      </c>
      <c r="O553" s="22">
        <v>3.0</v>
      </c>
      <c r="P553" s="23" t="str">
        <f>IFERROR(__xludf.DUMMYFUNCTION("IFERROR(
  INDEX(
    QUERY(
      Historial!A:I,
      ""select I where B = '""&amp;A553&amp;""' order by A desc limit 1"",
      0
    ),
    1
  ),
  """"
)"),"")</f>
        <v/>
      </c>
      <c r="Q553" s="19" t="s">
        <v>48</v>
      </c>
      <c r="R553" s="24">
        <v>46613.0</v>
      </c>
      <c r="S553" s="20" t="str">
        <f>IFERROR(__xludf.DUMMYFUNCTION("IFERROR(
  INDEX(
    QUERY(
      Historial!A:G,
      ""select G where B = '""&amp;A553&amp;""' order by A desc limit 1"",
      0
    ),
    1
  ),
  """"
)"),"")</f>
        <v/>
      </c>
      <c r="T553" s="20" t="str">
        <f t="shared" si="3"/>
        <v/>
      </c>
      <c r="U553" s="20" t="str">
        <f t="shared" si="4"/>
        <v/>
      </c>
      <c r="V553" s="25">
        <v>0.0</v>
      </c>
      <c r="W553" s="26">
        <v>0.0</v>
      </c>
      <c r="X553" s="26">
        <v>0.0</v>
      </c>
      <c r="Y553" s="27"/>
      <c r="Z553" s="26">
        <v>10.0</v>
      </c>
      <c r="AA553" s="26">
        <v>0.0</v>
      </c>
      <c r="AB553" s="26">
        <v>0.0</v>
      </c>
      <c r="AC553" s="27"/>
      <c r="AD553" s="27"/>
      <c r="AE553" s="10" t="s">
        <v>38</v>
      </c>
      <c r="AF553" s="10" t="s">
        <v>44</v>
      </c>
      <c r="AG553" s="27"/>
    </row>
    <row r="554" ht="15.75" customHeight="1">
      <c r="A554" s="34" t="s">
        <v>1188</v>
      </c>
      <c r="B554" s="35">
        <v>1800.0</v>
      </c>
      <c r="C554" s="15" t="s">
        <v>582</v>
      </c>
      <c r="D554" s="15" t="s">
        <v>1189</v>
      </c>
      <c r="E554" s="15"/>
      <c r="F554" s="41">
        <v>1.0</v>
      </c>
      <c r="G554" s="33">
        <v>0.0</v>
      </c>
      <c r="H554" s="33">
        <v>0.0</v>
      </c>
      <c r="I554" s="29">
        <v>0.0</v>
      </c>
      <c r="J554" s="19" t="str">
        <f t="shared" si="26"/>
        <v>sin oferta</v>
      </c>
      <c r="K554" s="20" t="str">
        <f t="shared" si="23"/>
        <v>NORMAL / SIN OFERTA</v>
      </c>
      <c r="L554" s="15"/>
      <c r="M554" s="20"/>
      <c r="N554" s="21">
        <v>0.0</v>
      </c>
      <c r="O554" s="22">
        <v>3.0</v>
      </c>
      <c r="P554" s="23" t="str">
        <f>IFERROR(__xludf.DUMMYFUNCTION("IFERROR(
  INDEX(
    QUERY(
      Historial!A:I,
      ""select I where B = '""&amp;A554&amp;""' order by A desc limit 1"",
      0
    ),
    1
  ),
  """"
)"),"")</f>
        <v/>
      </c>
      <c r="Q554" s="19" t="s">
        <v>51</v>
      </c>
      <c r="R554" s="24">
        <v>46614.0</v>
      </c>
      <c r="S554" s="20" t="str">
        <f>IFERROR(__xludf.DUMMYFUNCTION("IFERROR(
  INDEX(
    QUERY(
      Historial!A:G,
      ""select G where B = '""&amp;A554&amp;""' order by A desc limit 1"",
      0
    ),
    1
  ),
  """"
)"),"")</f>
        <v/>
      </c>
      <c r="T554" s="20" t="str">
        <f t="shared" si="3"/>
        <v/>
      </c>
      <c r="U554" s="20" t="str">
        <f t="shared" si="4"/>
        <v/>
      </c>
      <c r="V554" s="25">
        <v>0.0</v>
      </c>
      <c r="W554" s="26">
        <v>0.0</v>
      </c>
      <c r="X554" s="26">
        <v>0.0</v>
      </c>
      <c r="Y554" s="27"/>
      <c r="Z554" s="26">
        <v>10.0</v>
      </c>
      <c r="AA554" s="26">
        <v>0.0</v>
      </c>
      <c r="AB554" s="26">
        <v>0.0</v>
      </c>
      <c r="AC554" s="27"/>
      <c r="AD554" s="27"/>
      <c r="AE554" s="10" t="s">
        <v>38</v>
      </c>
      <c r="AF554" s="10" t="s">
        <v>44</v>
      </c>
      <c r="AG554" s="27"/>
    </row>
    <row r="555" ht="15.75" customHeight="1">
      <c r="A555" s="34" t="s">
        <v>1190</v>
      </c>
      <c r="B555" s="35">
        <v>3600.0</v>
      </c>
      <c r="C555" s="15" t="s">
        <v>582</v>
      </c>
      <c r="D555" s="15" t="s">
        <v>1191</v>
      </c>
      <c r="E555" s="15"/>
      <c r="F555" s="44">
        <v>1.0</v>
      </c>
      <c r="G555" s="33">
        <v>0.0</v>
      </c>
      <c r="H555" s="33">
        <v>0.0</v>
      </c>
      <c r="I555" s="29">
        <v>0.0</v>
      </c>
      <c r="J555" s="19" t="str">
        <f t="shared" si="26"/>
        <v>sin oferta</v>
      </c>
      <c r="K555" s="20" t="str">
        <f t="shared" si="23"/>
        <v>NORMAL / SIN OFERTA</v>
      </c>
      <c r="L555" s="15"/>
      <c r="M555" s="20"/>
      <c r="N555" s="21">
        <v>0.0</v>
      </c>
      <c r="O555" s="22">
        <v>3.0</v>
      </c>
      <c r="P555" s="23" t="str">
        <f>IFERROR(__xludf.DUMMYFUNCTION("IFERROR(
  INDEX(
    QUERY(
      Historial!A:I,
      ""select I where B = '""&amp;A555&amp;""' order by A desc limit 1"",
      0
    ),
    1
  ),
  """"
)"),"")</f>
        <v/>
      </c>
      <c r="Q555" s="19" t="s">
        <v>51</v>
      </c>
      <c r="R555" s="24">
        <v>46628.0</v>
      </c>
      <c r="S555" s="20" t="str">
        <f>IFERROR(__xludf.DUMMYFUNCTION("IFERROR(
  INDEX(
    QUERY(
      Historial!A:G,
      ""select G where B = '""&amp;A555&amp;""' order by A desc limit 1"",
      0
    ),
    1
  ),
  """"
)"),"")</f>
        <v/>
      </c>
      <c r="T555" s="20" t="str">
        <f t="shared" si="3"/>
        <v/>
      </c>
      <c r="U555" s="20" t="str">
        <f t="shared" si="4"/>
        <v/>
      </c>
      <c r="V555" s="25">
        <v>0.0</v>
      </c>
      <c r="W555" s="26">
        <v>0.0</v>
      </c>
      <c r="X555" s="26">
        <v>0.0</v>
      </c>
      <c r="Y555" s="27"/>
      <c r="Z555" s="26">
        <v>10.0</v>
      </c>
      <c r="AA555" s="26">
        <v>0.0</v>
      </c>
      <c r="AB555" s="26">
        <v>0.0</v>
      </c>
      <c r="AC555" s="27"/>
      <c r="AD555" s="27"/>
      <c r="AE555" s="10" t="s">
        <v>38</v>
      </c>
      <c r="AF555" s="10" t="s">
        <v>44</v>
      </c>
      <c r="AG555" s="27"/>
    </row>
    <row r="556" ht="15.75" customHeight="1">
      <c r="A556" s="28" t="s">
        <v>1192</v>
      </c>
      <c r="B556" s="29">
        <v>6000.0</v>
      </c>
      <c r="C556" s="19" t="s">
        <v>605</v>
      </c>
      <c r="D556" s="15" t="s">
        <v>1193</v>
      </c>
      <c r="E556" s="19"/>
      <c r="F556" s="53">
        <v>1.0</v>
      </c>
      <c r="G556" s="33">
        <v>0.0</v>
      </c>
      <c r="H556" s="33">
        <v>0.0</v>
      </c>
      <c r="I556" s="29">
        <v>0.0</v>
      </c>
      <c r="J556" s="19" t="str">
        <f t="shared" si="26"/>
        <v>sin oferta</v>
      </c>
      <c r="K556" s="20" t="str">
        <f t="shared" si="23"/>
        <v>NORMAL / SIN OFERTA</v>
      </c>
      <c r="L556" s="15"/>
      <c r="M556" s="20"/>
      <c r="N556" s="21">
        <v>0.0</v>
      </c>
      <c r="O556" s="22">
        <v>3.0</v>
      </c>
      <c r="P556" s="23" t="str">
        <f>IFERROR(__xludf.DUMMYFUNCTION("IFERROR(
  INDEX(
    QUERY(
      Historial!A:I,
      ""select I where B = '""&amp;A556&amp;""' order by A desc limit 1"",
      0
    ),
    1
  ),
  """"
)"),"")</f>
        <v/>
      </c>
      <c r="Q556" s="19" t="s">
        <v>43</v>
      </c>
      <c r="R556" s="24">
        <v>46640.0</v>
      </c>
      <c r="S556" s="20" t="str">
        <f>IFERROR(__xludf.DUMMYFUNCTION("IFERROR(
  INDEX(
    QUERY(
      Historial!A:G,
      ""select G where B = '""&amp;A556&amp;""' order by A desc limit 1"",
      0
    ),
    1
  ),
  """"
)"),"")</f>
        <v/>
      </c>
      <c r="T556" s="20" t="str">
        <f t="shared" si="3"/>
        <v/>
      </c>
      <c r="U556" s="20" t="str">
        <f t="shared" si="4"/>
        <v/>
      </c>
      <c r="V556" s="25">
        <v>0.0</v>
      </c>
      <c r="W556" s="26">
        <v>0.0</v>
      </c>
      <c r="X556" s="26">
        <v>0.0</v>
      </c>
      <c r="Y556" s="27"/>
      <c r="Z556" s="26">
        <v>10.0</v>
      </c>
      <c r="AA556" s="26">
        <v>0.0</v>
      </c>
      <c r="AB556" s="26">
        <v>0.0</v>
      </c>
      <c r="AC556" s="27"/>
      <c r="AD556" s="27"/>
      <c r="AE556" s="10" t="s">
        <v>38</v>
      </c>
      <c r="AF556" s="10" t="s">
        <v>44</v>
      </c>
      <c r="AG556" s="27"/>
    </row>
    <row r="557" ht="15.75" customHeight="1">
      <c r="A557" s="28" t="s">
        <v>1194</v>
      </c>
      <c r="B557" s="29">
        <v>10990.0</v>
      </c>
      <c r="C557" s="19" t="s">
        <v>605</v>
      </c>
      <c r="D557" s="15" t="s">
        <v>1195</v>
      </c>
      <c r="E557" s="19"/>
      <c r="F557" s="30">
        <v>1.0</v>
      </c>
      <c r="G557" s="33">
        <v>0.0</v>
      </c>
      <c r="H557" s="33">
        <v>0.0</v>
      </c>
      <c r="I557" s="29">
        <v>0.0</v>
      </c>
      <c r="J557" s="19" t="str">
        <f t="shared" si="26"/>
        <v>sin oferta</v>
      </c>
      <c r="K557" s="20" t="str">
        <f t="shared" si="23"/>
        <v>NORMAL / SIN OFERTA</v>
      </c>
      <c r="L557" s="15"/>
      <c r="M557" s="20"/>
      <c r="N557" s="21">
        <v>0.0</v>
      </c>
      <c r="O557" s="22">
        <v>3.0</v>
      </c>
      <c r="P557" s="23" t="str">
        <f>IFERROR(__xludf.DUMMYFUNCTION("IFERROR(
  INDEX(
    QUERY(
      Historial!A:I,
      ""select I where B = '""&amp;A557&amp;""' order by A desc limit 1"",
      0
    ),
    1
  ),
  """"
)"),"")</f>
        <v/>
      </c>
      <c r="Q557" s="19" t="s">
        <v>43</v>
      </c>
      <c r="R557" s="24">
        <v>46647.0</v>
      </c>
      <c r="S557" s="20" t="str">
        <f>IFERROR(__xludf.DUMMYFUNCTION("IFERROR(
  INDEX(
    QUERY(
      Historial!A:G,
      ""select G where B = '""&amp;A557&amp;""' order by A desc limit 1"",
      0
    ),
    1
  ),
  """"
)"),"")</f>
        <v/>
      </c>
      <c r="T557" s="20" t="str">
        <f t="shared" si="3"/>
        <v/>
      </c>
      <c r="U557" s="20" t="str">
        <f t="shared" si="4"/>
        <v/>
      </c>
      <c r="V557" s="25">
        <v>0.0</v>
      </c>
      <c r="W557" s="26">
        <v>0.0</v>
      </c>
      <c r="X557" s="26">
        <v>0.0</v>
      </c>
      <c r="Y557" s="27"/>
      <c r="Z557" s="26">
        <v>10.0</v>
      </c>
      <c r="AA557" s="26">
        <v>0.0</v>
      </c>
      <c r="AB557" s="26">
        <v>0.0</v>
      </c>
      <c r="AC557" s="27"/>
      <c r="AD557" s="27"/>
      <c r="AE557" s="10" t="s">
        <v>38</v>
      </c>
      <c r="AF557" s="10" t="s">
        <v>44</v>
      </c>
      <c r="AG557" s="27"/>
    </row>
    <row r="558" ht="15.75" customHeight="1">
      <c r="A558" s="34" t="s">
        <v>1196</v>
      </c>
      <c r="B558" s="35">
        <v>6000.0</v>
      </c>
      <c r="C558" s="15" t="s">
        <v>638</v>
      </c>
      <c r="D558" s="15" t="s">
        <v>1197</v>
      </c>
      <c r="E558" s="15"/>
      <c r="F558" s="41">
        <v>1.0</v>
      </c>
      <c r="G558" s="15">
        <v>0.0</v>
      </c>
      <c r="H558" s="33">
        <v>0.0</v>
      </c>
      <c r="I558" s="19">
        <v>0.0</v>
      </c>
      <c r="J558" s="19" t="str">
        <f t="shared" si="26"/>
        <v>sin oferta</v>
      </c>
      <c r="K558" s="20" t="str">
        <f t="shared" si="23"/>
        <v>NORMAL / SIN OFERTA</v>
      </c>
      <c r="L558" s="20"/>
      <c r="M558" s="20"/>
      <c r="N558" s="21">
        <v>0.0</v>
      </c>
      <c r="O558" s="22">
        <v>3.0</v>
      </c>
      <c r="P558" s="23" t="str">
        <f>IFERROR(__xludf.DUMMYFUNCTION("IFERROR(
  INDEX(
    QUERY(
      Historial!A:I,
      ""select I where B = '""&amp;A558&amp;""' order by A desc limit 1"",
      0
    ),
    1
  ),
  """"
)"),"")</f>
        <v/>
      </c>
      <c r="Q558" s="19" t="s">
        <v>63</v>
      </c>
      <c r="R558" s="24">
        <v>46673.0</v>
      </c>
      <c r="S558" s="20" t="str">
        <f>IFERROR(__xludf.DUMMYFUNCTION("IFERROR(
  INDEX(
    QUERY(
      Historial!A:G,
      ""select G where B = '""&amp;A558&amp;""' order by A desc limit 1"",
      0
    ),
    1
  ),
  """"
)"),"")</f>
        <v/>
      </c>
      <c r="T558" s="20" t="str">
        <f t="shared" si="3"/>
        <v/>
      </c>
      <c r="U558" s="20" t="str">
        <f t="shared" si="4"/>
        <v/>
      </c>
      <c r="V558" s="25">
        <v>0.0</v>
      </c>
      <c r="W558" s="26">
        <v>0.0</v>
      </c>
      <c r="X558" s="26">
        <v>0.0</v>
      </c>
      <c r="Y558" s="27"/>
      <c r="Z558" s="26">
        <v>10.0</v>
      </c>
      <c r="AA558" s="26">
        <v>0.0</v>
      </c>
      <c r="AB558" s="26">
        <v>0.0</v>
      </c>
      <c r="AC558" s="27"/>
      <c r="AD558" s="27"/>
      <c r="AE558" s="10" t="s">
        <v>38</v>
      </c>
      <c r="AF558" s="10" t="s">
        <v>44</v>
      </c>
      <c r="AG558" s="27"/>
    </row>
    <row r="559" ht="15.75" customHeight="1">
      <c r="A559" s="34" t="s">
        <v>1196</v>
      </c>
      <c r="B559" s="35">
        <v>6000.0</v>
      </c>
      <c r="C559" s="15" t="s">
        <v>638</v>
      </c>
      <c r="D559" s="15" t="s">
        <v>1198</v>
      </c>
      <c r="E559" s="15"/>
      <c r="F559" s="41">
        <v>1.0</v>
      </c>
      <c r="G559" s="15">
        <v>0.0</v>
      </c>
      <c r="H559" s="33">
        <v>0.0</v>
      </c>
      <c r="I559" s="19">
        <v>0.0</v>
      </c>
      <c r="J559" s="19" t="str">
        <f t="shared" si="26"/>
        <v>sin oferta</v>
      </c>
      <c r="K559" s="20" t="str">
        <f t="shared" si="23"/>
        <v>NORMAL / SIN OFERTA</v>
      </c>
      <c r="L559" s="20"/>
      <c r="M559" s="20"/>
      <c r="N559" s="21">
        <v>0.0</v>
      </c>
      <c r="O559" s="22">
        <v>3.0</v>
      </c>
      <c r="P559" s="23" t="str">
        <f>IFERROR(__xludf.DUMMYFUNCTION("IFERROR(
  INDEX(
    QUERY(
      Historial!A:I,
      ""select I where B = '""&amp;A559&amp;""' order by A desc limit 1"",
      0
    ),
    1
  ),
  """"
)"),"")</f>
        <v/>
      </c>
      <c r="Q559" s="19" t="s">
        <v>37</v>
      </c>
      <c r="R559" s="24">
        <v>46674.0</v>
      </c>
      <c r="S559" s="20" t="str">
        <f>IFERROR(__xludf.DUMMYFUNCTION("IFERROR(
  INDEX(
    QUERY(
      Historial!A:G,
      ""select G where B = '""&amp;A559&amp;""' order by A desc limit 1"",
      0
    ),
    1
  ),
  """"
)"),"")</f>
        <v/>
      </c>
      <c r="T559" s="20" t="str">
        <f t="shared" si="3"/>
        <v/>
      </c>
      <c r="U559" s="20" t="str">
        <f t="shared" si="4"/>
        <v/>
      </c>
      <c r="V559" s="25">
        <v>0.0</v>
      </c>
      <c r="W559" s="26">
        <v>0.0</v>
      </c>
      <c r="X559" s="26">
        <v>0.0</v>
      </c>
      <c r="Y559" s="27"/>
      <c r="Z559" s="26">
        <v>10.0</v>
      </c>
      <c r="AA559" s="26">
        <v>0.0</v>
      </c>
      <c r="AB559" s="26">
        <v>0.0</v>
      </c>
      <c r="AC559" s="27"/>
      <c r="AD559" s="27"/>
      <c r="AE559" s="10" t="s">
        <v>38</v>
      </c>
      <c r="AF559" s="10" t="s">
        <v>44</v>
      </c>
      <c r="AG559" s="27"/>
    </row>
    <row r="560" ht="15.75" customHeight="1">
      <c r="A560" s="75" t="s">
        <v>1199</v>
      </c>
      <c r="B560" s="74">
        <v>600.0</v>
      </c>
      <c r="C560" s="75" t="s">
        <v>35</v>
      </c>
      <c r="D560" s="15" t="s">
        <v>1200</v>
      </c>
      <c r="E560" s="20" t="s">
        <v>42</v>
      </c>
      <c r="F560" s="39">
        <v>0.0</v>
      </c>
      <c r="G560" s="40">
        <v>0.0</v>
      </c>
      <c r="H560" s="40">
        <v>0.0</v>
      </c>
      <c r="I560" s="40">
        <v>0.0</v>
      </c>
      <c r="J560" s="19" t="str">
        <f t="shared" si="26"/>
        <v>sin stock</v>
      </c>
      <c r="K560" s="20" t="str">
        <f t="shared" si="23"/>
        <v>SIN STOCK / CARGAR STOCK</v>
      </c>
      <c r="L560" s="20">
        <v>0.0</v>
      </c>
      <c r="M560" s="20">
        <v>0.0</v>
      </c>
      <c r="N560" s="21">
        <v>0.0</v>
      </c>
      <c r="O560" s="22">
        <v>3.0</v>
      </c>
      <c r="P560" s="23" t="str">
        <f>IFERROR(__xludf.DUMMYFUNCTION("IFERROR(
  INDEX(
    QUERY(
      Historial!A:I,
      ""select I where B = '""&amp;A560&amp;""' order by A desc limit 1"",
      0
    ),
    1
  ),
  """"
)"),"")</f>
        <v/>
      </c>
      <c r="Q560" s="19" t="s">
        <v>37</v>
      </c>
      <c r="R560" s="24">
        <v>46093.0</v>
      </c>
      <c r="S560" s="20" t="str">
        <f>IFERROR(__xludf.DUMMYFUNCTION("IFERROR(
  INDEX(
    QUERY(
      Historial!A:G,
      ""select G where B = '""&amp;A560&amp;""' order by A desc limit 1"",
      0
    ),
    1
  ),
  """"
)"),"")</f>
        <v/>
      </c>
      <c r="T560" s="20" t="str">
        <f t="shared" si="3"/>
        <v/>
      </c>
      <c r="U560" s="20" t="str">
        <f t="shared" si="4"/>
        <v/>
      </c>
      <c r="V560" s="25">
        <v>0.0</v>
      </c>
      <c r="W560" s="26">
        <v>0.0</v>
      </c>
      <c r="X560" s="26">
        <v>0.0</v>
      </c>
      <c r="Y560" s="27"/>
      <c r="Z560" s="26">
        <v>10.0</v>
      </c>
      <c r="AA560" s="26">
        <v>0.0</v>
      </c>
      <c r="AB560" s="26">
        <v>0.0</v>
      </c>
      <c r="AC560" s="27"/>
      <c r="AD560" s="27"/>
      <c r="AE560" s="10" t="s">
        <v>38</v>
      </c>
      <c r="AF560" s="10" t="s">
        <v>44</v>
      </c>
      <c r="AG560" s="27"/>
    </row>
    <row r="561" ht="15.75" customHeight="1">
      <c r="A561" s="34" t="s">
        <v>1201</v>
      </c>
      <c r="B561" s="35">
        <v>2500.0</v>
      </c>
      <c r="C561" s="15" t="s">
        <v>87</v>
      </c>
      <c r="D561" s="15" t="s">
        <v>1202</v>
      </c>
      <c r="E561" s="15"/>
      <c r="F561" s="41">
        <v>0.0</v>
      </c>
      <c r="G561" s="33">
        <v>0.0</v>
      </c>
      <c r="H561" s="33">
        <v>0.0</v>
      </c>
      <c r="I561" s="29">
        <v>1.0</v>
      </c>
      <c r="J561" s="19" t="str">
        <f t="shared" si="26"/>
        <v>sin stock</v>
      </c>
      <c r="K561" s="20" t="str">
        <f t="shared" si="23"/>
        <v>SIN STOCK / CARGAR STOCK</v>
      </c>
      <c r="L561" s="15"/>
      <c r="M561" s="20"/>
      <c r="N561" s="21">
        <v>0.0</v>
      </c>
      <c r="O561" s="22">
        <v>3.0</v>
      </c>
      <c r="P561" s="23" t="str">
        <f>IFERROR(__xludf.DUMMYFUNCTION("IFERROR(
  INDEX(
    QUERY(
      Historial!A:I,
      ""select I where B = '""&amp;A561&amp;""' order by A desc limit 1"",
      0
    ),
    1
  ),
  """"
)"),"")</f>
        <v/>
      </c>
      <c r="Q561" s="19" t="s">
        <v>43</v>
      </c>
      <c r="R561" s="24">
        <v>46108.0</v>
      </c>
      <c r="S561" s="20" t="str">
        <f>IFERROR(__xludf.DUMMYFUNCTION("IFERROR(
  INDEX(
    QUERY(
      Historial!A:G,
      ""select G where B = '""&amp;A561&amp;""' order by A desc limit 1"",
      0
    ),
    1
  ),
  """"
)"),"")</f>
        <v/>
      </c>
      <c r="T561" s="20" t="str">
        <f t="shared" si="3"/>
        <v/>
      </c>
      <c r="U561" s="20" t="str">
        <f t="shared" si="4"/>
        <v/>
      </c>
      <c r="V561" s="25">
        <v>0.0</v>
      </c>
      <c r="W561" s="26">
        <v>0.0</v>
      </c>
      <c r="X561" s="26">
        <v>0.0</v>
      </c>
      <c r="Y561" s="27"/>
      <c r="Z561" s="26">
        <v>10.0</v>
      </c>
      <c r="AA561" s="26">
        <v>0.0</v>
      </c>
      <c r="AB561" s="26">
        <v>0.0</v>
      </c>
      <c r="AC561" s="27"/>
      <c r="AD561" s="27"/>
      <c r="AE561" s="10" t="s">
        <v>38</v>
      </c>
      <c r="AF561" s="10" t="s">
        <v>44</v>
      </c>
      <c r="AG561" s="27"/>
    </row>
    <row r="562" ht="15.75" customHeight="1">
      <c r="A562" s="34" t="s">
        <v>1203</v>
      </c>
      <c r="B562" s="35">
        <v>3000.0</v>
      </c>
      <c r="C562" s="15" t="s">
        <v>87</v>
      </c>
      <c r="D562" s="15" t="s">
        <v>1204</v>
      </c>
      <c r="E562" s="15"/>
      <c r="F562" s="41">
        <v>0.0</v>
      </c>
      <c r="G562" s="33">
        <v>0.0</v>
      </c>
      <c r="H562" s="33">
        <v>0.0</v>
      </c>
      <c r="I562" s="29">
        <v>1.0</v>
      </c>
      <c r="J562" s="19" t="str">
        <f t="shared" si="26"/>
        <v>sin stock</v>
      </c>
      <c r="K562" s="20" t="str">
        <f t="shared" si="23"/>
        <v>SIN STOCK / CARGAR STOCK</v>
      </c>
      <c r="L562" s="15"/>
      <c r="M562" s="20"/>
      <c r="N562" s="21">
        <v>0.0</v>
      </c>
      <c r="O562" s="22">
        <v>3.0</v>
      </c>
      <c r="P562" s="23" t="str">
        <f>IFERROR(__xludf.DUMMYFUNCTION("IFERROR(
  INDEX(
    QUERY(
      Historial!A:I,
      ""select I where B = '""&amp;A562&amp;""' order by A desc limit 1"",
      0
    ),
    1
  ),
  """"
)"),"")</f>
        <v/>
      </c>
      <c r="Q562" s="19" t="s">
        <v>48</v>
      </c>
      <c r="R562" s="24">
        <v>46109.0</v>
      </c>
      <c r="S562" s="20" t="str">
        <f>IFERROR(__xludf.DUMMYFUNCTION("IFERROR(
  INDEX(
    QUERY(
      Historial!A:G,
      ""select G where B = '""&amp;A562&amp;""' order by A desc limit 1"",
      0
    ),
    1
  ),
  """"
)"),"")</f>
        <v/>
      </c>
      <c r="T562" s="20" t="str">
        <f t="shared" si="3"/>
        <v/>
      </c>
      <c r="U562" s="20" t="str">
        <f t="shared" si="4"/>
        <v/>
      </c>
      <c r="V562" s="25">
        <v>0.0</v>
      </c>
      <c r="W562" s="26">
        <v>0.0</v>
      </c>
      <c r="X562" s="26">
        <v>0.0</v>
      </c>
      <c r="Y562" s="27"/>
      <c r="Z562" s="26">
        <v>10.0</v>
      </c>
      <c r="AA562" s="26">
        <v>0.0</v>
      </c>
      <c r="AB562" s="26">
        <v>0.0</v>
      </c>
      <c r="AC562" s="27"/>
      <c r="AD562" s="27"/>
      <c r="AE562" s="10" t="s">
        <v>38</v>
      </c>
      <c r="AF562" s="10" t="s">
        <v>44</v>
      </c>
      <c r="AG562" s="27"/>
    </row>
    <row r="563" ht="15.75" customHeight="1">
      <c r="A563" s="31" t="s">
        <v>1205</v>
      </c>
      <c r="B563" s="20">
        <v>2500.0</v>
      </c>
      <c r="C563" s="20" t="s">
        <v>87</v>
      </c>
      <c r="D563" s="15" t="s">
        <v>1206</v>
      </c>
      <c r="E563" s="15" t="s">
        <v>74</v>
      </c>
      <c r="F563" s="32">
        <v>0.0</v>
      </c>
      <c r="G563" s="40">
        <v>0.0</v>
      </c>
      <c r="H563" s="40">
        <v>0.0</v>
      </c>
      <c r="I563" s="40">
        <v>0.0</v>
      </c>
      <c r="J563" s="19" t="str">
        <f t="shared" si="26"/>
        <v>sin stock</v>
      </c>
      <c r="K563" s="20" t="str">
        <f t="shared" si="23"/>
        <v>SIN STOCK / CARGAR STOCK</v>
      </c>
      <c r="L563" s="20">
        <v>0.0</v>
      </c>
      <c r="M563" s="20">
        <v>0.0</v>
      </c>
      <c r="N563" s="21">
        <v>5.0</v>
      </c>
      <c r="O563" s="22">
        <v>2.0</v>
      </c>
      <c r="P563" s="23" t="str">
        <f>IFERROR(__xludf.DUMMYFUNCTION("IFERROR(
  INDEX(
    QUERY(
      Historial!A:I,
      ""select I where B = '""&amp;A563&amp;""' order by A desc limit 1"",
      0
    ),
    1
  ),
  """"
)"),"")</f>
        <v/>
      </c>
      <c r="Q563" s="19" t="s">
        <v>60</v>
      </c>
      <c r="R563" s="24">
        <v>46147.0</v>
      </c>
      <c r="S563" s="20" t="str">
        <f>IFERROR(__xludf.DUMMYFUNCTION("IFERROR(
  INDEX(
    QUERY(
      Historial!A:G,
      ""select G where B = '""&amp;A563&amp;""' order by A desc limit 1"",
      0
    ),
    1
  ),
  """"
)"),"")</f>
        <v/>
      </c>
      <c r="T563" s="20" t="str">
        <f t="shared" si="3"/>
        <v/>
      </c>
      <c r="U563" s="20" t="str">
        <f t="shared" si="4"/>
        <v/>
      </c>
      <c r="V563" s="25">
        <v>3.0</v>
      </c>
      <c r="W563" s="26">
        <v>3.0</v>
      </c>
      <c r="X563" s="26">
        <v>0.297</v>
      </c>
      <c r="Y563" s="26">
        <v>0.0</v>
      </c>
      <c r="Z563" s="26">
        <v>14.0</v>
      </c>
      <c r="AA563" s="26">
        <v>2.9699999999999998</v>
      </c>
      <c r="AB563" s="26">
        <v>5.0</v>
      </c>
      <c r="AC563" s="27"/>
      <c r="AD563" s="26">
        <v>0.0</v>
      </c>
      <c r="AE563" s="10" t="s">
        <v>38</v>
      </c>
      <c r="AF563" s="10" t="s">
        <v>44</v>
      </c>
      <c r="AG563" s="27"/>
    </row>
    <row r="564" ht="15.75" customHeight="1">
      <c r="A564" s="34" t="s">
        <v>1207</v>
      </c>
      <c r="B564" s="35">
        <v>700.0</v>
      </c>
      <c r="C564" s="15" t="s">
        <v>87</v>
      </c>
      <c r="D564" s="15" t="s">
        <v>1208</v>
      </c>
      <c r="E564" s="15" t="s">
        <v>47</v>
      </c>
      <c r="F564" s="36">
        <v>3.0</v>
      </c>
      <c r="G564" s="15">
        <v>0.0</v>
      </c>
      <c r="H564" s="33">
        <v>0.0</v>
      </c>
      <c r="I564" s="19">
        <v>0.0</v>
      </c>
      <c r="J564" s="19" t="str">
        <f t="array" ref="J564">IF(
  A564="",
  "",
  IF(
    F564=0,
    "sin stock",
    IF(
      NOT(OR(I564=0,I564=1)),
      "ERROR ESPECIAL",
      IF(
        NOT(ISNUMBER(MATCH(G564,{0;1;2;3;4;5;6;10;11;12;13;14},0))),
        "ERROR RELAMPAGO",
        IF(
          OR(H564&gt;70,AND(H564&gt;0,H564&lt;15)),
          "ERROR DESTACADA",
          IF(
            (I564=1)+(H564&gt;0)+(G564&gt;0)&gt;1,
            "ERROR DOBLE OFERTA",
            IF(
              I564=1,
              "especial",
              IF(
                H564&gt;0,
                "destacada",
                IF(
                  G564&gt;0,
                  IF(
                    OR(
                      AND(G564&lt;=6,F564&lt;(G564+1)),
                      AND(G564=10,F564&lt;2),
                      AND(G564&gt;=11,F564&lt;1)
                    ),
                    "REPONER "&amp;
                    IF(G564&lt;=6,G564+1-F564,
                       IF(G564=10,2-F564,
                          1-F564
                       )
                    )&amp;
                    " PARA PROMO",
                    IF(
                      G564&lt;=6,
                      "relampago "&amp;(G564+1)&amp;"x"&amp;G564,
                      IF(
                        G564=10,
                        "2da50off",
                        IF(
                          G564&gt;=11,
                          "relampago "&amp;CHOOSE(G564-10,10,15,20,25)&amp;"%",
                          "relampago"
                        )
                      )
                    )
                  ),
                  "sin oferta"
                )
              )
            )
          )
        )
      )
    )
  )
)</f>
        <v>sin oferta</v>
      </c>
      <c r="K564" s="20" t="str">
        <f t="shared" si="23"/>
        <v>NORMAL / SIN OFERTA</v>
      </c>
      <c r="L564" s="20"/>
      <c r="M564" s="20"/>
      <c r="N564" s="21">
        <v>9.0</v>
      </c>
      <c r="O564" s="22">
        <v>4.0</v>
      </c>
      <c r="P564" s="23">
        <f>IFERROR(__xludf.DUMMYFUNCTION("IFERROR(
  INDEX(
    QUERY(
      Historial!A:I,
      ""select I where B = '""&amp;A564&amp;""' order by A desc limit 1"",
      0
    ),
    1
  ),
  """"
)"),46442.0)</f>
        <v>46442</v>
      </c>
      <c r="Q564" s="19" t="s">
        <v>48</v>
      </c>
      <c r="R564" s="24">
        <v>46186.0</v>
      </c>
      <c r="S564" s="20">
        <f>IFERROR(__xludf.DUMMYFUNCTION("IFERROR(
  INDEX(
    QUERY(
      Historial!A:G,
      ""select G where B = '""&amp;A564&amp;""' order by A desc limit 1"",
      0
    ),
    1
  ),
  """"
)"),429.0)</f>
        <v>429</v>
      </c>
      <c r="T564" s="20" t="str">
        <f t="shared" si="3"/>
        <v>✅ OK</v>
      </c>
      <c r="U564" s="20" t="str">
        <f t="shared" si="4"/>
        <v/>
      </c>
      <c r="V564" s="25">
        <v>4.0</v>
      </c>
      <c r="W564" s="26">
        <v>5.0</v>
      </c>
      <c r="X564" s="26">
        <v>0.41</v>
      </c>
      <c r="Y564" s="26">
        <v>7.317073170731708</v>
      </c>
      <c r="Z564" s="26">
        <v>21.0</v>
      </c>
      <c r="AA564" s="26">
        <v>2.8699999999999997</v>
      </c>
      <c r="AB564" s="26">
        <v>6.0</v>
      </c>
      <c r="AC564" s="26">
        <v>350.0</v>
      </c>
      <c r="AD564" s="26">
        <v>7.317073170731708</v>
      </c>
      <c r="AE564" s="10" t="s">
        <v>38</v>
      </c>
      <c r="AF564" s="10" t="s">
        <v>75</v>
      </c>
      <c r="AG564" s="27"/>
    </row>
    <row r="565" ht="15.75" customHeight="1">
      <c r="A565" s="34" t="s">
        <v>1209</v>
      </c>
      <c r="B565" s="35">
        <v>8000.0</v>
      </c>
      <c r="C565" s="15" t="s">
        <v>87</v>
      </c>
      <c r="D565" s="15" t="s">
        <v>1210</v>
      </c>
      <c r="E565" s="15"/>
      <c r="F565" s="41">
        <v>0.0</v>
      </c>
      <c r="G565" s="33">
        <v>0.0</v>
      </c>
      <c r="H565" s="33">
        <v>0.0</v>
      </c>
      <c r="I565" s="29">
        <v>0.0</v>
      </c>
      <c r="J565" s="19" t="str">
        <f t="shared" ref="J565:J600" si="27">IF(
A565="",
"",
IF(
F565=0,
"sin stock",
IF(
NOT(OR(I565=0,I565=1)),
"ERROR ESPECIAL",
IF(
NOT(ISNUMBER(MATCH(G565,{0;1;2;3;4;5;6;10;11;12;13;14},0))),
"ERROR RELAMPAGO",
IF(
OR(H565&gt;70,AND(H565&gt;0,H565&lt;15)),
"ERROR DESTACADA",
IF(
(I565=1)+(H565&gt;0)+(G565&gt;0)&gt;1,
"ERROR DOBLE OFERTA",
IF(
I565=1,
"especial",
IF(
H565&gt;0,
"destacada",
IF(
G565&gt;0,
IF(
OR(
AND(G565&lt;=6,F565&lt;(G565+1)),
AND(G565=10,F565&lt;2),
AND(G565&gt;=11,F565&lt;1)
),
"REPONER "&amp;
IF(G565&lt;=6,G565+1-F565,
IF(G565=10,2-F565,
1-
F565)
)&amp;
" PARA PROMO",
IF(
G565&lt;=6,
"relampago "&amp;(G565+1)&amp;"x"&amp;G565,
IF(
G565=10,
"2da50off",
IF(
G565&gt;=11,
"relampago "&amp;CHOOSE(G565-10,10,15,20,25)&amp;"%",
"relampago"
)
)
)
),
"sin oferta"
)
)
)
)
)
)
)
)
)</f>
        <v>sin stock</v>
      </c>
      <c r="K565" s="20" t="str">
        <f t="shared" si="23"/>
        <v>SIN STOCK / CARGAR STOCK</v>
      </c>
      <c r="L565" s="15"/>
      <c r="M565" s="20"/>
      <c r="N565" s="21">
        <v>0.0</v>
      </c>
      <c r="O565" s="22">
        <v>3.0</v>
      </c>
      <c r="P565" s="23" t="str">
        <f>IFERROR(__xludf.DUMMYFUNCTION("IFERROR(
  INDEX(
    QUERY(
      Historial!A:I,
      ""select I where B = '""&amp;A565&amp;""' order by A desc limit 1"",
      0
    ),
    1
  ),
  """"
)"),"")</f>
        <v/>
      </c>
      <c r="Q565" s="19" t="s">
        <v>37</v>
      </c>
      <c r="R565" s="24">
        <v>46212.0</v>
      </c>
      <c r="S565" s="20" t="str">
        <f>IFERROR(__xludf.DUMMYFUNCTION("IFERROR(
  INDEX(
    QUERY(
      Historial!A:G,
      ""select G where B = '""&amp;A565&amp;""' order by A desc limit 1"",
      0
    ),
    1
  ),
  """"
)"),"")</f>
        <v/>
      </c>
      <c r="T565" s="20" t="str">
        <f t="shared" si="3"/>
        <v/>
      </c>
      <c r="U565" s="20" t="str">
        <f t="shared" si="4"/>
        <v/>
      </c>
      <c r="V565" s="25">
        <v>0.0</v>
      </c>
      <c r="W565" s="26">
        <v>0.0</v>
      </c>
      <c r="X565" s="26">
        <v>0.0</v>
      </c>
      <c r="Y565" s="27"/>
      <c r="Z565" s="26">
        <v>21.0</v>
      </c>
      <c r="AA565" s="26">
        <v>0.0</v>
      </c>
      <c r="AB565" s="26">
        <v>0.0</v>
      </c>
      <c r="AC565" s="27"/>
      <c r="AD565" s="27"/>
      <c r="AE565" s="10" t="s">
        <v>38</v>
      </c>
      <c r="AF565" s="10" t="s">
        <v>44</v>
      </c>
      <c r="AG565" s="27"/>
    </row>
    <row r="566" ht="15.75" customHeight="1">
      <c r="A566" s="34" t="s">
        <v>1211</v>
      </c>
      <c r="B566" s="35">
        <v>9000.0</v>
      </c>
      <c r="C566" s="15" t="s">
        <v>87</v>
      </c>
      <c r="D566" s="15" t="s">
        <v>1212</v>
      </c>
      <c r="E566" s="15"/>
      <c r="F566" s="41">
        <v>0.0</v>
      </c>
      <c r="G566" s="33">
        <v>0.0</v>
      </c>
      <c r="H566" s="33">
        <v>25.0</v>
      </c>
      <c r="I566" s="29">
        <v>0.0</v>
      </c>
      <c r="J566" s="19" t="str">
        <f t="shared" si="27"/>
        <v>sin stock</v>
      </c>
      <c r="K566" s="20" t="str">
        <f t="shared" si="23"/>
        <v>SIN STOCK / CARGAR STOCK</v>
      </c>
      <c r="L566" s="15"/>
      <c r="M566" s="20"/>
      <c r="N566" s="21">
        <v>0.0</v>
      </c>
      <c r="O566" s="22">
        <v>3.0</v>
      </c>
      <c r="P566" s="23" t="str">
        <f>IFERROR(__xludf.DUMMYFUNCTION("IFERROR(
  INDEX(
    QUERY(
      Historial!A:I,
      ""select I where B = '""&amp;A566&amp;""' order by A desc limit 1"",
      0
    ),
    1
  ),
  """"
)"),"")</f>
        <v/>
      </c>
      <c r="Q566" s="19" t="s">
        <v>37</v>
      </c>
      <c r="R566" s="24">
        <v>46240.0</v>
      </c>
      <c r="S566" s="20" t="str">
        <f>IFERROR(__xludf.DUMMYFUNCTION("IFERROR(
  INDEX(
    QUERY(
      Historial!A:G,
      ""select G where B = '""&amp;A566&amp;""' order by A desc limit 1"",
      0
    ),
    1
  ),
  """"
)"),"")</f>
        <v/>
      </c>
      <c r="T566" s="20" t="str">
        <f t="shared" si="3"/>
        <v/>
      </c>
      <c r="U566" s="20" t="str">
        <f t="shared" si="4"/>
        <v/>
      </c>
      <c r="V566" s="25">
        <v>0.0</v>
      </c>
      <c r="W566" s="26">
        <v>0.0</v>
      </c>
      <c r="X566" s="26">
        <v>0.0</v>
      </c>
      <c r="Y566" s="27"/>
      <c r="Z566" s="26">
        <v>10.0</v>
      </c>
      <c r="AA566" s="26">
        <v>0.0</v>
      </c>
      <c r="AB566" s="26">
        <v>0.0</v>
      </c>
      <c r="AC566" s="27"/>
      <c r="AD566" s="27"/>
      <c r="AE566" s="10" t="s">
        <v>38</v>
      </c>
      <c r="AF566" s="10" t="s">
        <v>44</v>
      </c>
      <c r="AG566" s="27"/>
    </row>
    <row r="567" ht="15.75" customHeight="1">
      <c r="A567" s="34" t="s">
        <v>1213</v>
      </c>
      <c r="B567" s="35">
        <v>1800.0</v>
      </c>
      <c r="C567" s="15" t="s">
        <v>87</v>
      </c>
      <c r="D567" s="15" t="s">
        <v>1214</v>
      </c>
      <c r="E567" s="15"/>
      <c r="F567" s="41">
        <v>0.0</v>
      </c>
      <c r="G567" s="15">
        <v>0.0</v>
      </c>
      <c r="H567" s="33">
        <v>0.0</v>
      </c>
      <c r="I567" s="19">
        <v>0.0</v>
      </c>
      <c r="J567" s="19" t="str">
        <f t="shared" si="27"/>
        <v>sin stock</v>
      </c>
      <c r="K567" s="20" t="str">
        <f t="shared" si="23"/>
        <v>SIN STOCK / CARGAR STOCK</v>
      </c>
      <c r="L567" s="20"/>
      <c r="M567" s="20"/>
      <c r="N567" s="21">
        <v>0.0</v>
      </c>
      <c r="O567" s="22">
        <v>3.0</v>
      </c>
      <c r="P567" s="23" t="str">
        <f>IFERROR(__xludf.DUMMYFUNCTION("IFERROR(
  INDEX(
    QUERY(
      Historial!A:I,
      ""select I where B = '""&amp;A567&amp;""' order by A desc limit 1"",
      0
    ),
    1
  ),
  """"
)"),"")</f>
        <v/>
      </c>
      <c r="Q567" s="19" t="s">
        <v>63</v>
      </c>
      <c r="R567" s="24">
        <v>46253.0</v>
      </c>
      <c r="S567" s="20" t="str">
        <f>IFERROR(__xludf.DUMMYFUNCTION("IFERROR(
  INDEX(
    QUERY(
      Historial!A:G,
      ""select G where B = '""&amp;A567&amp;""' order by A desc limit 1"",
      0
    ),
    1
  ),
  """"
)"),"")</f>
        <v/>
      </c>
      <c r="T567" s="20" t="str">
        <f t="shared" si="3"/>
        <v/>
      </c>
      <c r="U567" s="20" t="str">
        <f t="shared" si="4"/>
        <v/>
      </c>
      <c r="V567" s="25">
        <v>0.0</v>
      </c>
      <c r="W567" s="26">
        <v>0.0</v>
      </c>
      <c r="X567" s="26">
        <v>0.0</v>
      </c>
      <c r="Y567" s="27"/>
      <c r="Z567" s="26">
        <v>10.0</v>
      </c>
      <c r="AA567" s="26">
        <v>0.0</v>
      </c>
      <c r="AB567" s="26">
        <v>0.0</v>
      </c>
      <c r="AC567" s="27"/>
      <c r="AD567" s="27"/>
      <c r="AE567" s="10" t="s">
        <v>38</v>
      </c>
      <c r="AF567" s="10" t="s">
        <v>44</v>
      </c>
      <c r="AG567" s="27"/>
    </row>
    <row r="568" ht="15.75" customHeight="1">
      <c r="A568" s="34" t="s">
        <v>1215</v>
      </c>
      <c r="B568" s="35">
        <v>3500.0</v>
      </c>
      <c r="C568" s="15" t="s">
        <v>87</v>
      </c>
      <c r="D568" s="15" t="s">
        <v>1216</v>
      </c>
      <c r="E568" s="15"/>
      <c r="F568" s="41">
        <v>0.0</v>
      </c>
      <c r="G568" s="15">
        <v>0.0</v>
      </c>
      <c r="H568" s="33">
        <v>0.0</v>
      </c>
      <c r="I568" s="19">
        <v>0.0</v>
      </c>
      <c r="J568" s="19" t="str">
        <f t="shared" si="27"/>
        <v>sin stock</v>
      </c>
      <c r="K568" s="20" t="str">
        <f t="shared" si="23"/>
        <v>SIN STOCK / CARGAR STOCK</v>
      </c>
      <c r="L568" s="20"/>
      <c r="M568" s="20"/>
      <c r="N568" s="21">
        <v>0.0</v>
      </c>
      <c r="O568" s="22">
        <v>3.0</v>
      </c>
      <c r="P568" s="23" t="str">
        <f>IFERROR(__xludf.DUMMYFUNCTION("IFERROR(
  INDEX(
    QUERY(
      Historial!A:I,
      ""select I where B = '""&amp;A568&amp;""' order by A desc limit 1"",
      0
    ),
    1
  ),
  """"
)"),"")</f>
        <v/>
      </c>
      <c r="Q568" s="19" t="s">
        <v>51</v>
      </c>
      <c r="R568" s="24">
        <v>46271.0</v>
      </c>
      <c r="S568" s="20" t="str">
        <f>IFERROR(__xludf.DUMMYFUNCTION("IFERROR(
  INDEX(
    QUERY(
      Historial!A:G,
      ""select G where B = '""&amp;A568&amp;""' order by A desc limit 1"",
      0
    ),
    1
  ),
  """"
)"),"")</f>
        <v/>
      </c>
      <c r="T568" s="20" t="str">
        <f t="shared" si="3"/>
        <v/>
      </c>
      <c r="U568" s="20" t="str">
        <f t="shared" si="4"/>
        <v/>
      </c>
      <c r="V568" s="25">
        <v>0.0</v>
      </c>
      <c r="W568" s="26">
        <v>0.0</v>
      </c>
      <c r="X568" s="26">
        <v>0.0</v>
      </c>
      <c r="Y568" s="27"/>
      <c r="Z568" s="26">
        <v>10.0</v>
      </c>
      <c r="AA568" s="26">
        <v>0.0</v>
      </c>
      <c r="AB568" s="26">
        <v>0.0</v>
      </c>
      <c r="AC568" s="27"/>
      <c r="AD568" s="27"/>
      <c r="AE568" s="10" t="s">
        <v>38</v>
      </c>
      <c r="AF568" s="10" t="s">
        <v>44</v>
      </c>
      <c r="AG568" s="27"/>
    </row>
    <row r="569" ht="15.75" customHeight="1">
      <c r="A569" s="34" t="s">
        <v>1217</v>
      </c>
      <c r="B569" s="35">
        <v>3200.0</v>
      </c>
      <c r="C569" s="15" t="s">
        <v>87</v>
      </c>
      <c r="D569" s="15" t="s">
        <v>1218</v>
      </c>
      <c r="E569" s="15"/>
      <c r="F569" s="44">
        <v>0.0</v>
      </c>
      <c r="G569" s="15">
        <v>0.0</v>
      </c>
      <c r="H569" s="33">
        <v>0.0</v>
      </c>
      <c r="I569" s="19">
        <v>0.0</v>
      </c>
      <c r="J569" s="19" t="str">
        <f t="shared" si="27"/>
        <v>sin stock</v>
      </c>
      <c r="K569" s="20" t="str">
        <f t="shared" si="23"/>
        <v>SIN STOCK / CARGAR STOCK</v>
      </c>
      <c r="L569" s="20"/>
      <c r="M569" s="20"/>
      <c r="N569" s="21">
        <v>0.0</v>
      </c>
      <c r="O569" s="22">
        <v>3.0</v>
      </c>
      <c r="P569" s="23" t="str">
        <f>IFERROR(__xludf.DUMMYFUNCTION("IFERROR(
  INDEX(
    QUERY(
      Historial!A:I,
      ""select I where B = '""&amp;A569&amp;""' order by A desc limit 1"",
      0
    ),
    1
  ),
  """"
)"),"")</f>
        <v/>
      </c>
      <c r="Q569" s="19" t="s">
        <v>63</v>
      </c>
      <c r="R569" s="24">
        <v>46274.0</v>
      </c>
      <c r="S569" s="20" t="str">
        <f>IFERROR(__xludf.DUMMYFUNCTION("IFERROR(
  INDEX(
    QUERY(
      Historial!A:G,
      ""select G where B = '""&amp;A569&amp;""' order by A desc limit 1"",
      0
    ),
    1
  ),
  """"
)"),"")</f>
        <v/>
      </c>
      <c r="T569" s="20" t="str">
        <f t="shared" si="3"/>
        <v/>
      </c>
      <c r="U569" s="20" t="str">
        <f t="shared" si="4"/>
        <v/>
      </c>
      <c r="V569" s="25">
        <v>0.0</v>
      </c>
      <c r="W569" s="26">
        <v>0.0</v>
      </c>
      <c r="X569" s="26">
        <v>0.0</v>
      </c>
      <c r="Y569" s="27"/>
      <c r="Z569" s="26">
        <v>10.0</v>
      </c>
      <c r="AA569" s="26">
        <v>0.0</v>
      </c>
      <c r="AB569" s="26">
        <v>0.0</v>
      </c>
      <c r="AC569" s="27"/>
      <c r="AD569" s="27"/>
      <c r="AE569" s="10" t="s">
        <v>38</v>
      </c>
      <c r="AF569" s="10" t="s">
        <v>44</v>
      </c>
      <c r="AG569" s="27"/>
    </row>
    <row r="570" ht="15.75" customHeight="1">
      <c r="A570" s="34" t="s">
        <v>1219</v>
      </c>
      <c r="B570" s="35">
        <v>5500.0</v>
      </c>
      <c r="C570" s="15" t="s">
        <v>349</v>
      </c>
      <c r="D570" s="15" t="s">
        <v>1220</v>
      </c>
      <c r="E570" s="15"/>
      <c r="F570" s="41">
        <v>0.0</v>
      </c>
      <c r="G570" s="33">
        <v>0.0</v>
      </c>
      <c r="H570" s="33">
        <v>0.0</v>
      </c>
      <c r="I570" s="29">
        <v>0.0</v>
      </c>
      <c r="J570" s="19" t="str">
        <f t="shared" si="27"/>
        <v>sin stock</v>
      </c>
      <c r="K570" s="20" t="str">
        <f t="shared" si="23"/>
        <v>SIN STOCK / CARGAR STOCK</v>
      </c>
      <c r="L570" s="15"/>
      <c r="M570" s="20"/>
      <c r="N570" s="21">
        <v>0.0</v>
      </c>
      <c r="O570" s="22">
        <v>3.0</v>
      </c>
      <c r="P570" s="23" t="str">
        <f>IFERROR(__xludf.DUMMYFUNCTION("IFERROR(
  INDEX(
    QUERY(
      Historial!A:I,
      ""select I where B = '""&amp;A570&amp;""' order by A desc limit 1"",
      0
    ),
    1
  ),
  """"
)"),"")</f>
        <v/>
      </c>
      <c r="Q570" s="19" t="s">
        <v>51</v>
      </c>
      <c r="R570" s="24">
        <v>46341.0</v>
      </c>
      <c r="S570" s="20" t="str">
        <f>IFERROR(__xludf.DUMMYFUNCTION("IFERROR(
  INDEX(
    QUERY(
      Historial!A:G,
      ""select G where B = '""&amp;A570&amp;""' order by A desc limit 1"",
      0
    ),
    1
  ),
  """"
)"),"")</f>
        <v/>
      </c>
      <c r="T570" s="20" t="str">
        <f t="shared" si="3"/>
        <v/>
      </c>
      <c r="U570" s="20" t="str">
        <f t="shared" si="4"/>
        <v/>
      </c>
      <c r="V570" s="25">
        <v>0.0</v>
      </c>
      <c r="W570" s="26">
        <v>0.0</v>
      </c>
      <c r="X570" s="26">
        <v>0.0</v>
      </c>
      <c r="Y570" s="27"/>
      <c r="Z570" s="26">
        <v>10.0</v>
      </c>
      <c r="AA570" s="26">
        <v>0.0</v>
      </c>
      <c r="AB570" s="26">
        <v>0.0</v>
      </c>
      <c r="AC570" s="27"/>
      <c r="AD570" s="27"/>
      <c r="AE570" s="10" t="s">
        <v>38</v>
      </c>
      <c r="AF570" s="10" t="s">
        <v>44</v>
      </c>
      <c r="AG570" s="27"/>
    </row>
    <row r="571" ht="15.75" customHeight="1">
      <c r="A571" s="34" t="s">
        <v>1221</v>
      </c>
      <c r="B571" s="35">
        <v>4000.0</v>
      </c>
      <c r="C571" s="15" t="s">
        <v>349</v>
      </c>
      <c r="D571" s="15" t="s">
        <v>1222</v>
      </c>
      <c r="E571" s="15"/>
      <c r="F571" s="41">
        <v>0.0</v>
      </c>
      <c r="G571" s="33">
        <v>0.0</v>
      </c>
      <c r="H571" s="33">
        <v>0.0</v>
      </c>
      <c r="I571" s="29">
        <v>0.0</v>
      </c>
      <c r="J571" s="19" t="str">
        <f t="shared" si="27"/>
        <v>sin stock</v>
      </c>
      <c r="K571" s="20" t="str">
        <f t="shared" si="23"/>
        <v>SIN STOCK / CARGAR STOCK</v>
      </c>
      <c r="L571" s="15"/>
      <c r="M571" s="20"/>
      <c r="N571" s="21">
        <v>0.0</v>
      </c>
      <c r="O571" s="22">
        <v>3.0</v>
      </c>
      <c r="P571" s="23" t="str">
        <f>IFERROR(__xludf.DUMMYFUNCTION("IFERROR(
  INDEX(
    QUERY(
      Historial!A:I,
      ""select I where B = '""&amp;A571&amp;""' order by A desc limit 1"",
      0
    ),
    1
  ),
  """"
)"),"")</f>
        <v/>
      </c>
      <c r="Q571" s="19" t="s">
        <v>57</v>
      </c>
      <c r="R571" s="24">
        <v>46342.0</v>
      </c>
      <c r="S571" s="20" t="str">
        <f>IFERROR(__xludf.DUMMYFUNCTION("IFERROR(
  INDEX(
    QUERY(
      Historial!A:G,
      ""select G where B = '""&amp;A571&amp;""' order by A desc limit 1"",
      0
    ),
    1
  ),
  """"
)"),"")</f>
        <v/>
      </c>
      <c r="T571" s="20" t="str">
        <f t="shared" si="3"/>
        <v/>
      </c>
      <c r="U571" s="20" t="str">
        <f t="shared" si="4"/>
        <v/>
      </c>
      <c r="V571" s="25">
        <v>0.0</v>
      </c>
      <c r="W571" s="26">
        <v>0.0</v>
      </c>
      <c r="X571" s="26">
        <v>0.0</v>
      </c>
      <c r="Y571" s="27"/>
      <c r="Z571" s="26">
        <v>10.0</v>
      </c>
      <c r="AA571" s="26">
        <v>0.0</v>
      </c>
      <c r="AB571" s="26">
        <v>0.0</v>
      </c>
      <c r="AC571" s="27"/>
      <c r="AD571" s="27"/>
      <c r="AE571" s="10" t="s">
        <v>38</v>
      </c>
      <c r="AF571" s="10" t="s">
        <v>44</v>
      </c>
      <c r="AG571" s="27"/>
    </row>
    <row r="572" ht="15.75" customHeight="1">
      <c r="A572" s="34" t="s">
        <v>1223</v>
      </c>
      <c r="B572" s="35">
        <v>4500.0</v>
      </c>
      <c r="C572" s="15" t="s">
        <v>349</v>
      </c>
      <c r="D572" s="15" t="s">
        <v>1224</v>
      </c>
      <c r="E572" s="15"/>
      <c r="F572" s="41">
        <v>0.0</v>
      </c>
      <c r="G572" s="33">
        <v>0.0</v>
      </c>
      <c r="H572" s="33">
        <v>0.0</v>
      </c>
      <c r="I572" s="29">
        <v>0.0</v>
      </c>
      <c r="J572" s="19" t="str">
        <f t="shared" si="27"/>
        <v>sin stock</v>
      </c>
      <c r="K572" s="20" t="str">
        <f t="shared" si="23"/>
        <v>SIN STOCK / CARGAR STOCK</v>
      </c>
      <c r="L572" s="15"/>
      <c r="M572" s="20"/>
      <c r="N572" s="21">
        <v>0.0</v>
      </c>
      <c r="O572" s="22">
        <v>3.0</v>
      </c>
      <c r="P572" s="23" t="str">
        <f>IFERROR(__xludf.DUMMYFUNCTION("IFERROR(
  INDEX(
    QUERY(
      Historial!A:I,
      ""select I where B = '""&amp;A572&amp;""' order by A desc limit 1"",
      0
    ),
    1
  ),
  """"
)"),"")</f>
        <v/>
      </c>
      <c r="Q572" s="19" t="s">
        <v>37</v>
      </c>
      <c r="R572" s="24">
        <v>46345.0</v>
      </c>
      <c r="S572" s="20" t="str">
        <f>IFERROR(__xludf.DUMMYFUNCTION("IFERROR(
  INDEX(
    QUERY(
      Historial!A:G,
      ""select G where B = '""&amp;A572&amp;""' order by A desc limit 1"",
      0
    ),
    1
  ),
  """"
)"),"")</f>
        <v/>
      </c>
      <c r="T572" s="20" t="str">
        <f t="shared" si="3"/>
        <v/>
      </c>
      <c r="U572" s="20" t="str">
        <f t="shared" si="4"/>
        <v/>
      </c>
      <c r="V572" s="25">
        <v>0.0</v>
      </c>
      <c r="W572" s="26">
        <v>0.0</v>
      </c>
      <c r="X572" s="26">
        <v>0.0</v>
      </c>
      <c r="Y572" s="27"/>
      <c r="Z572" s="26">
        <v>10.0</v>
      </c>
      <c r="AA572" s="26">
        <v>0.0</v>
      </c>
      <c r="AB572" s="26">
        <v>0.0</v>
      </c>
      <c r="AC572" s="27"/>
      <c r="AD572" s="27"/>
      <c r="AE572" s="10" t="s">
        <v>38</v>
      </c>
      <c r="AF572" s="10" t="s">
        <v>44</v>
      </c>
      <c r="AG572" s="27"/>
    </row>
    <row r="573" ht="15.75" customHeight="1">
      <c r="A573" s="31" t="s">
        <v>1225</v>
      </c>
      <c r="B573" s="20">
        <v>100000.0</v>
      </c>
      <c r="C573" s="20" t="s">
        <v>703</v>
      </c>
      <c r="D573" s="15" t="s">
        <v>1226</v>
      </c>
      <c r="E573" s="15"/>
      <c r="F573" s="41">
        <v>0.0</v>
      </c>
      <c r="G573" s="33">
        <v>0.0</v>
      </c>
      <c r="H573" s="33">
        <v>0.0</v>
      </c>
      <c r="I573" s="29">
        <v>0.0</v>
      </c>
      <c r="J573" s="19" t="str">
        <f t="shared" si="27"/>
        <v>sin stock</v>
      </c>
      <c r="K573" s="20" t="str">
        <f t="shared" si="23"/>
        <v>SIN STOCK / CARGAR STOCK</v>
      </c>
      <c r="L573" s="15"/>
      <c r="M573" s="20"/>
      <c r="N573" s="21">
        <v>0.0</v>
      </c>
      <c r="O573" s="22">
        <v>3.0</v>
      </c>
      <c r="P573" s="23" t="str">
        <f>IFERROR(__xludf.DUMMYFUNCTION("IFERROR(
  INDEX(
    QUERY(
      Historial!A:I,
      ""select I where B = '""&amp;A573&amp;""' order by A desc limit 1"",
      0
    ),
    1
  ),
  """"
)"),"")</f>
        <v/>
      </c>
      <c r="Q573" s="19" t="s">
        <v>37</v>
      </c>
      <c r="R573" s="24">
        <v>46380.0</v>
      </c>
      <c r="S573" s="20" t="str">
        <f>IFERROR(__xludf.DUMMYFUNCTION("IFERROR(
  INDEX(
    QUERY(
      Historial!A:G,
      ""select G where B = '""&amp;A573&amp;""' order by A desc limit 1"",
      0
    ),
    1
  ),
  """"
)"),"")</f>
        <v/>
      </c>
      <c r="T573" s="20" t="str">
        <f t="shared" si="3"/>
        <v/>
      </c>
      <c r="U573" s="20" t="str">
        <f t="shared" si="4"/>
        <v/>
      </c>
      <c r="V573" s="25">
        <v>0.0</v>
      </c>
      <c r="W573" s="26">
        <v>0.0</v>
      </c>
      <c r="X573" s="26">
        <v>0.0</v>
      </c>
      <c r="Y573" s="27"/>
      <c r="Z573" s="26">
        <v>10.0</v>
      </c>
      <c r="AA573" s="26">
        <v>0.0</v>
      </c>
      <c r="AB573" s="26">
        <v>0.0</v>
      </c>
      <c r="AC573" s="27"/>
      <c r="AD573" s="27"/>
      <c r="AE573" s="10" t="s">
        <v>38</v>
      </c>
      <c r="AF573" s="10" t="s">
        <v>44</v>
      </c>
      <c r="AG573" s="27"/>
    </row>
    <row r="574" ht="15.75" customHeight="1">
      <c r="A574" s="34" t="s">
        <v>1227</v>
      </c>
      <c r="B574" s="35">
        <v>1500.0</v>
      </c>
      <c r="C574" s="15" t="s">
        <v>383</v>
      </c>
      <c r="D574" s="15" t="s">
        <v>1228</v>
      </c>
      <c r="E574" s="15"/>
      <c r="F574" s="41">
        <v>0.0</v>
      </c>
      <c r="G574" s="15">
        <v>0.0</v>
      </c>
      <c r="H574" s="33">
        <v>0.0</v>
      </c>
      <c r="I574" s="19">
        <v>0.0</v>
      </c>
      <c r="J574" s="19" t="str">
        <f t="shared" si="27"/>
        <v>sin stock</v>
      </c>
      <c r="K574" s="20" t="str">
        <f t="shared" si="23"/>
        <v>SIN STOCK / CARGAR STOCK</v>
      </c>
      <c r="L574" s="20"/>
      <c r="M574" s="20"/>
      <c r="N574" s="21">
        <v>0.0</v>
      </c>
      <c r="O574" s="22">
        <v>3.0</v>
      </c>
      <c r="P574" s="23" t="str">
        <f>IFERROR(__xludf.DUMMYFUNCTION("IFERROR(
  INDEX(
    QUERY(
      Historial!A:I,
      ""select I where B = '""&amp;A574&amp;""' order by A desc limit 1"",
      0
    ),
    1
  ),
  """"
)"),"")</f>
        <v/>
      </c>
      <c r="Q574" s="19" t="s">
        <v>48</v>
      </c>
      <c r="R574" s="24">
        <v>46438.0</v>
      </c>
      <c r="S574" s="20" t="str">
        <f>IFERROR(__xludf.DUMMYFUNCTION("IFERROR(
  INDEX(
    QUERY(
      Historial!A:G,
      ""select G where B = '""&amp;A574&amp;""' order by A desc limit 1"",
      0
    ),
    1
  ),
  """"
)"),"")</f>
        <v/>
      </c>
      <c r="T574" s="20" t="str">
        <f t="shared" si="3"/>
        <v/>
      </c>
      <c r="U574" s="20" t="str">
        <f t="shared" si="4"/>
        <v/>
      </c>
      <c r="V574" s="25">
        <v>0.0</v>
      </c>
      <c r="W574" s="26">
        <v>0.0</v>
      </c>
      <c r="X574" s="26">
        <v>0.0</v>
      </c>
      <c r="Y574" s="27"/>
      <c r="Z574" s="26">
        <v>10.0</v>
      </c>
      <c r="AA574" s="26">
        <v>0.0</v>
      </c>
      <c r="AB574" s="26">
        <v>0.0</v>
      </c>
      <c r="AC574" s="27"/>
      <c r="AD574" s="27"/>
      <c r="AE574" s="10" t="s">
        <v>38</v>
      </c>
      <c r="AF574" s="10" t="s">
        <v>44</v>
      </c>
      <c r="AG574" s="27"/>
    </row>
    <row r="575" ht="15.75" customHeight="1">
      <c r="A575" s="34" t="s">
        <v>1229</v>
      </c>
      <c r="B575" s="35">
        <v>5000.0</v>
      </c>
      <c r="C575" s="15" t="s">
        <v>383</v>
      </c>
      <c r="D575" s="15" t="s">
        <v>1230</v>
      </c>
      <c r="E575" s="15"/>
      <c r="F575" s="41">
        <v>0.0</v>
      </c>
      <c r="G575" s="33">
        <v>0.0</v>
      </c>
      <c r="H575" s="33">
        <v>0.0</v>
      </c>
      <c r="I575" s="29">
        <v>0.0</v>
      </c>
      <c r="J575" s="19" t="str">
        <f t="shared" si="27"/>
        <v>sin stock</v>
      </c>
      <c r="K575" s="20" t="str">
        <f t="shared" si="23"/>
        <v>SIN STOCK / CARGAR STOCK</v>
      </c>
      <c r="L575" s="15"/>
      <c r="M575" s="20"/>
      <c r="N575" s="21">
        <v>0.0</v>
      </c>
      <c r="O575" s="22">
        <v>3.0</v>
      </c>
      <c r="P575" s="23" t="str">
        <f>IFERROR(__xludf.DUMMYFUNCTION("IFERROR(
  INDEX(
    QUERY(
      Historial!A:I,
      ""select I where B = '""&amp;A575&amp;""' order by A desc limit 1"",
      0
    ),
    1
  ),
  """"
)"),"")</f>
        <v/>
      </c>
      <c r="Q575" s="19" t="s">
        <v>57</v>
      </c>
      <c r="R575" s="24">
        <v>46440.0</v>
      </c>
      <c r="S575" s="20" t="str">
        <f>IFERROR(__xludf.DUMMYFUNCTION("IFERROR(
  INDEX(
    QUERY(
      Historial!A:G,
      ""select G where B = '""&amp;A575&amp;""' order by A desc limit 1"",
      0
    ),
    1
  ),
  """"
)"),"")</f>
        <v/>
      </c>
      <c r="T575" s="20" t="str">
        <f t="shared" si="3"/>
        <v/>
      </c>
      <c r="U575" s="20" t="str">
        <f t="shared" si="4"/>
        <v/>
      </c>
      <c r="V575" s="25">
        <v>0.0</v>
      </c>
      <c r="W575" s="26">
        <v>0.0</v>
      </c>
      <c r="X575" s="26">
        <v>0.0</v>
      </c>
      <c r="Y575" s="27"/>
      <c r="Z575" s="26">
        <v>10.0</v>
      </c>
      <c r="AA575" s="26">
        <v>0.0</v>
      </c>
      <c r="AB575" s="26">
        <v>0.0</v>
      </c>
      <c r="AC575" s="27"/>
      <c r="AD575" s="27"/>
      <c r="AE575" s="10" t="s">
        <v>38</v>
      </c>
      <c r="AF575" s="10" t="s">
        <v>44</v>
      </c>
      <c r="AG575" s="27"/>
    </row>
    <row r="576" ht="15.75" customHeight="1">
      <c r="A576" s="31" t="s">
        <v>1231</v>
      </c>
      <c r="B576" s="20">
        <v>2500.0</v>
      </c>
      <c r="C576" s="20" t="s">
        <v>403</v>
      </c>
      <c r="D576" s="15" t="s">
        <v>1232</v>
      </c>
      <c r="E576" s="20" t="s">
        <v>74</v>
      </c>
      <c r="F576" s="39">
        <v>0.0</v>
      </c>
      <c r="G576" s="40">
        <v>0.0</v>
      </c>
      <c r="H576" s="40">
        <v>0.0</v>
      </c>
      <c r="I576" s="40">
        <v>0.0</v>
      </c>
      <c r="J576" s="19" t="str">
        <f t="shared" si="27"/>
        <v>sin stock</v>
      </c>
      <c r="K576" s="20" t="str">
        <f t="shared" si="23"/>
        <v>SIN STOCK / CARGAR STOCK</v>
      </c>
      <c r="L576" s="20">
        <v>0.0</v>
      </c>
      <c r="M576" s="20">
        <v>0.0</v>
      </c>
      <c r="N576" s="21">
        <v>0.0</v>
      </c>
      <c r="O576" s="22">
        <v>3.0</v>
      </c>
      <c r="P576" s="23" t="str">
        <f>IFERROR(__xludf.DUMMYFUNCTION("IFERROR(
  INDEX(
    QUERY(
      Historial!A:I,
      ""select I where B = '""&amp;A576&amp;""' order by A desc limit 1"",
      0
    ),
    1
  ),
  """"
)"),"")</f>
        <v/>
      </c>
      <c r="Q576" s="19" t="s">
        <v>63</v>
      </c>
      <c r="R576" s="24">
        <v>46449.0</v>
      </c>
      <c r="S576" s="20" t="str">
        <f>IFERROR(__xludf.DUMMYFUNCTION("IFERROR(
  INDEX(
    QUERY(
      Historial!A:G,
      ""select G where B = '""&amp;A576&amp;""' order by A desc limit 1"",
      0
    ),
    1
  ),
  """"
)"),"")</f>
        <v/>
      </c>
      <c r="T576" s="20" t="str">
        <f t="shared" si="3"/>
        <v/>
      </c>
      <c r="U576" s="20" t="str">
        <f t="shared" si="4"/>
        <v/>
      </c>
      <c r="V576" s="25">
        <v>0.0</v>
      </c>
      <c r="W576" s="26">
        <v>0.0</v>
      </c>
      <c r="X576" s="26">
        <v>0.0</v>
      </c>
      <c r="Y576" s="27"/>
      <c r="Z576" s="26">
        <v>10.0</v>
      </c>
      <c r="AA576" s="26">
        <v>0.0</v>
      </c>
      <c r="AB576" s="26">
        <v>0.0</v>
      </c>
      <c r="AC576" s="27"/>
      <c r="AD576" s="27"/>
      <c r="AE576" s="10" t="s">
        <v>38</v>
      </c>
      <c r="AF576" s="10" t="s">
        <v>44</v>
      </c>
      <c r="AG576" s="27"/>
    </row>
    <row r="577" ht="15.75" customHeight="1">
      <c r="A577" s="34" t="s">
        <v>1233</v>
      </c>
      <c r="B577" s="35">
        <v>4500.0</v>
      </c>
      <c r="C577" s="15" t="s">
        <v>458</v>
      </c>
      <c r="D577" s="15" t="s">
        <v>1234</v>
      </c>
      <c r="E577" s="15"/>
      <c r="F577" s="36">
        <v>0.0</v>
      </c>
      <c r="G577" s="33">
        <v>0.0</v>
      </c>
      <c r="H577" s="33">
        <v>0.0</v>
      </c>
      <c r="I577" s="29">
        <v>0.0</v>
      </c>
      <c r="J577" s="19" t="str">
        <f t="shared" si="27"/>
        <v>sin stock</v>
      </c>
      <c r="K577" s="20" t="str">
        <f t="shared" si="23"/>
        <v>SIN STOCK / CARGAR STOCK</v>
      </c>
      <c r="L577" s="15"/>
      <c r="M577" s="20"/>
      <c r="N577" s="21">
        <v>0.0</v>
      </c>
      <c r="O577" s="22">
        <v>3.0</v>
      </c>
      <c r="P577" s="23" t="str">
        <f>IFERROR(__xludf.DUMMYFUNCTION("IFERROR(
  INDEX(
    QUERY(
      Historial!A:I,
      ""select I where B = '""&amp;A577&amp;""' order by A desc limit 1"",
      0
    ),
    1
  ),
  """"
)"),"")</f>
        <v/>
      </c>
      <c r="Q577" s="19" t="s">
        <v>51</v>
      </c>
      <c r="R577" s="24">
        <v>46509.0</v>
      </c>
      <c r="S577" s="20" t="str">
        <f>IFERROR(__xludf.DUMMYFUNCTION("IFERROR(
  INDEX(
    QUERY(
      Historial!A:G,
      ""select G where B = '""&amp;A577&amp;""' order by A desc limit 1"",
      0
    ),
    1
  ),
  """"
)"),"")</f>
        <v/>
      </c>
      <c r="T577" s="20" t="str">
        <f t="shared" si="3"/>
        <v/>
      </c>
      <c r="U577" s="20" t="str">
        <f t="shared" si="4"/>
        <v/>
      </c>
      <c r="V577" s="25">
        <v>0.0</v>
      </c>
      <c r="W577" s="26">
        <v>0.0</v>
      </c>
      <c r="X577" s="26">
        <v>0.0</v>
      </c>
      <c r="Y577" s="27"/>
      <c r="Z577" s="26">
        <v>10.0</v>
      </c>
      <c r="AA577" s="26">
        <v>0.0</v>
      </c>
      <c r="AB577" s="26">
        <v>0.0</v>
      </c>
      <c r="AC577" s="27"/>
      <c r="AD577" s="27"/>
      <c r="AE577" s="10" t="s">
        <v>38</v>
      </c>
      <c r="AF577" s="10" t="s">
        <v>44</v>
      </c>
      <c r="AG577" s="27"/>
    </row>
    <row r="578" ht="15.75" customHeight="1">
      <c r="A578" s="34" t="s">
        <v>1235</v>
      </c>
      <c r="B578" s="35">
        <v>4500.0</v>
      </c>
      <c r="C578" s="15" t="s">
        <v>458</v>
      </c>
      <c r="D578" s="15" t="s">
        <v>1236</v>
      </c>
      <c r="E578" s="15"/>
      <c r="F578" s="36">
        <v>0.0</v>
      </c>
      <c r="G578" s="33">
        <v>0.0</v>
      </c>
      <c r="H578" s="33">
        <v>0.0</v>
      </c>
      <c r="I578" s="29">
        <v>0.0</v>
      </c>
      <c r="J578" s="19" t="str">
        <f t="shared" si="27"/>
        <v>sin stock</v>
      </c>
      <c r="K578" s="20" t="str">
        <f t="shared" si="23"/>
        <v>SIN STOCK / CARGAR STOCK</v>
      </c>
      <c r="L578" s="15"/>
      <c r="M578" s="20"/>
      <c r="N578" s="21">
        <v>4.0</v>
      </c>
      <c r="O578" s="22">
        <v>3.0</v>
      </c>
      <c r="P578" s="23" t="str">
        <f>IFERROR(__xludf.DUMMYFUNCTION("IFERROR(
  INDEX(
    QUERY(
      Historial!A:I,
      ""select I where B = '""&amp;A578&amp;""' order by A desc limit 1"",
      0
    ),
    1
  ),
  """"
)"),"")</f>
        <v/>
      </c>
      <c r="Q578" s="19" t="s">
        <v>60</v>
      </c>
      <c r="R578" s="24">
        <v>46511.0</v>
      </c>
      <c r="S578" s="20" t="str">
        <f>IFERROR(__xludf.DUMMYFUNCTION("IFERROR(
  INDEX(
    QUERY(
      Historial!A:G,
      ""select G where B = '""&amp;A578&amp;""' order by A desc limit 1"",
      0
    ),
    1
  ),
  """"
)"),"")</f>
        <v/>
      </c>
      <c r="T578" s="20" t="str">
        <f t="shared" si="3"/>
        <v/>
      </c>
      <c r="U578" s="20" t="str">
        <f t="shared" si="4"/>
        <v/>
      </c>
      <c r="V578" s="25">
        <v>3.0</v>
      </c>
      <c r="W578" s="26">
        <v>4.0</v>
      </c>
      <c r="X578" s="26">
        <v>0.31</v>
      </c>
      <c r="Y578" s="26">
        <v>0.0</v>
      </c>
      <c r="Z578" s="26">
        <v>10.0</v>
      </c>
      <c r="AA578" s="26">
        <v>4.34</v>
      </c>
      <c r="AB578" s="26">
        <v>5.0</v>
      </c>
      <c r="AC578" s="27"/>
      <c r="AD578" s="26">
        <v>0.0</v>
      </c>
      <c r="AE578" s="10" t="s">
        <v>38</v>
      </c>
      <c r="AF578" s="10" t="s">
        <v>44</v>
      </c>
      <c r="AG578" s="27"/>
    </row>
    <row r="579" ht="15.75" customHeight="1">
      <c r="A579" s="34" t="s">
        <v>1237</v>
      </c>
      <c r="B579" s="35">
        <v>3000.0</v>
      </c>
      <c r="C579" s="15" t="s">
        <v>458</v>
      </c>
      <c r="D579" s="15" t="s">
        <v>1238</v>
      </c>
      <c r="E579" s="15"/>
      <c r="F579" s="41">
        <v>0.0</v>
      </c>
      <c r="G579" s="33">
        <v>0.0</v>
      </c>
      <c r="H579" s="33">
        <v>0.0</v>
      </c>
      <c r="I579" s="29">
        <v>0.0</v>
      </c>
      <c r="J579" s="19" t="str">
        <f t="shared" si="27"/>
        <v>sin stock</v>
      </c>
      <c r="K579" s="20" t="str">
        <f t="shared" si="23"/>
        <v>SIN STOCK / CARGAR STOCK</v>
      </c>
      <c r="L579" s="15"/>
      <c r="M579" s="20"/>
      <c r="N579" s="21">
        <v>0.0</v>
      </c>
      <c r="O579" s="22">
        <v>3.0</v>
      </c>
      <c r="P579" s="23" t="str">
        <f>IFERROR(__xludf.DUMMYFUNCTION("IFERROR(
  INDEX(
    QUERY(
      Historial!A:I,
      ""select I where B = '""&amp;A579&amp;""' order by A desc limit 1"",
      0
    ),
    1
  ),
  """"
)"),"")</f>
        <v/>
      </c>
      <c r="Q579" s="19" t="s">
        <v>43</v>
      </c>
      <c r="R579" s="24">
        <v>46535.0</v>
      </c>
      <c r="S579" s="20" t="str">
        <f>IFERROR(__xludf.DUMMYFUNCTION("IFERROR(
  INDEX(
    QUERY(
      Historial!A:G,
      ""select G where B = '""&amp;A579&amp;""' order by A desc limit 1"",
      0
    ),
    1
  ),
  """"
)"),"")</f>
        <v/>
      </c>
      <c r="T579" s="20" t="str">
        <f t="shared" si="3"/>
        <v/>
      </c>
      <c r="U579" s="20" t="str">
        <f t="shared" si="4"/>
        <v/>
      </c>
      <c r="V579" s="25">
        <v>0.0</v>
      </c>
      <c r="W579" s="26">
        <v>0.0</v>
      </c>
      <c r="X579" s="26">
        <v>0.0</v>
      </c>
      <c r="Y579" s="27"/>
      <c r="Z579" s="26">
        <v>21.0</v>
      </c>
      <c r="AA579" s="26">
        <v>0.0</v>
      </c>
      <c r="AB579" s="26">
        <v>0.0</v>
      </c>
      <c r="AC579" s="27"/>
      <c r="AD579" s="27"/>
      <c r="AE579" s="10" t="s">
        <v>38</v>
      </c>
      <c r="AF579" s="10" t="s">
        <v>44</v>
      </c>
      <c r="AG579" s="27"/>
    </row>
    <row r="580" ht="15.75" customHeight="1">
      <c r="A580" s="34" t="s">
        <v>1239</v>
      </c>
      <c r="B580" s="35">
        <v>3000.0</v>
      </c>
      <c r="C580" s="15" t="s">
        <v>458</v>
      </c>
      <c r="D580" s="15" t="s">
        <v>1240</v>
      </c>
      <c r="E580" s="15"/>
      <c r="F580" s="41">
        <v>0.0</v>
      </c>
      <c r="G580" s="33">
        <v>0.0</v>
      </c>
      <c r="H580" s="33">
        <v>0.0</v>
      </c>
      <c r="I580" s="29">
        <v>0.0</v>
      </c>
      <c r="J580" s="19" t="str">
        <f t="shared" si="27"/>
        <v>sin stock</v>
      </c>
      <c r="K580" s="20" t="str">
        <f t="shared" si="23"/>
        <v>SIN STOCK / CARGAR STOCK</v>
      </c>
      <c r="L580" s="15"/>
      <c r="M580" s="20"/>
      <c r="N580" s="21">
        <v>0.0</v>
      </c>
      <c r="O580" s="22">
        <v>3.0</v>
      </c>
      <c r="P580" s="23" t="str">
        <f>IFERROR(__xludf.DUMMYFUNCTION("IFERROR(
  INDEX(
    QUERY(
      Historial!A:I,
      ""select I where B = '""&amp;A580&amp;""' order by A desc limit 1"",
      0
    ),
    1
  ),
  """"
)"),"")</f>
        <v/>
      </c>
      <c r="Q580" s="19" t="s">
        <v>48</v>
      </c>
      <c r="R580" s="24">
        <v>46536.0</v>
      </c>
      <c r="S580" s="20" t="str">
        <f>IFERROR(__xludf.DUMMYFUNCTION("IFERROR(
  INDEX(
    QUERY(
      Historial!A:G,
      ""select G where B = '""&amp;A580&amp;""' order by A desc limit 1"",
      0
    ),
    1
  ),
  """"
)"),"")</f>
        <v/>
      </c>
      <c r="T580" s="20" t="str">
        <f t="shared" si="3"/>
        <v/>
      </c>
      <c r="U580" s="20" t="str">
        <f t="shared" si="4"/>
        <v/>
      </c>
      <c r="V580" s="25">
        <v>0.0</v>
      </c>
      <c r="W580" s="26">
        <v>0.0</v>
      </c>
      <c r="X580" s="26">
        <v>0.0</v>
      </c>
      <c r="Y580" s="27"/>
      <c r="Z580" s="26">
        <v>10.0</v>
      </c>
      <c r="AA580" s="26">
        <v>0.0</v>
      </c>
      <c r="AB580" s="26">
        <v>0.0</v>
      </c>
      <c r="AC580" s="27"/>
      <c r="AD580" s="27"/>
      <c r="AE580" s="10" t="s">
        <v>38</v>
      </c>
      <c r="AF580" s="10" t="s">
        <v>44</v>
      </c>
      <c r="AG580" s="27"/>
    </row>
    <row r="581" ht="15.75" customHeight="1">
      <c r="A581" s="34" t="s">
        <v>1241</v>
      </c>
      <c r="B581" s="35">
        <v>7000.0</v>
      </c>
      <c r="C581" s="15" t="s">
        <v>502</v>
      </c>
      <c r="D581" s="15" t="s">
        <v>1242</v>
      </c>
      <c r="E581" s="15"/>
      <c r="F581" s="41">
        <v>0.0</v>
      </c>
      <c r="G581" s="33">
        <v>0.0</v>
      </c>
      <c r="H581" s="33">
        <v>0.0</v>
      </c>
      <c r="I581" s="29">
        <v>0.0</v>
      </c>
      <c r="J581" s="19" t="str">
        <f t="shared" si="27"/>
        <v>sin stock</v>
      </c>
      <c r="K581" s="20" t="str">
        <f t="shared" si="23"/>
        <v>SIN STOCK / CARGAR STOCK</v>
      </c>
      <c r="L581" s="15"/>
      <c r="M581" s="20"/>
      <c r="N581" s="21">
        <v>0.0</v>
      </c>
      <c r="O581" s="22">
        <v>3.0</v>
      </c>
      <c r="P581" s="23" t="str">
        <f>IFERROR(__xludf.DUMMYFUNCTION("IFERROR(
  INDEX(
    QUERY(
      Historial!A:I,
      ""select I where B = '""&amp;A581&amp;""' order by A desc limit 1"",
      0
    ),
    1
  ),
  """"
)"),"")</f>
        <v/>
      </c>
      <c r="Q581" s="19" t="s">
        <v>51</v>
      </c>
      <c r="R581" s="24">
        <v>46544.0</v>
      </c>
      <c r="S581" s="20" t="str">
        <f>IFERROR(__xludf.DUMMYFUNCTION("IFERROR(
  INDEX(
    QUERY(
      Historial!A:G,
      ""select G where B = '""&amp;A581&amp;""' order by A desc limit 1"",
      0
    ),
    1
  ),
  """"
)"),"")</f>
        <v/>
      </c>
      <c r="T581" s="20" t="str">
        <f t="shared" si="3"/>
        <v/>
      </c>
      <c r="U581" s="20" t="str">
        <f t="shared" si="4"/>
        <v/>
      </c>
      <c r="V581" s="25">
        <v>0.0</v>
      </c>
      <c r="W581" s="26">
        <v>0.0</v>
      </c>
      <c r="X581" s="26">
        <v>0.0</v>
      </c>
      <c r="Y581" s="27"/>
      <c r="Z581" s="26">
        <v>10.0</v>
      </c>
      <c r="AA581" s="26">
        <v>0.0</v>
      </c>
      <c r="AB581" s="26">
        <v>0.0</v>
      </c>
      <c r="AC581" s="27"/>
      <c r="AD581" s="27"/>
      <c r="AE581" s="10" t="s">
        <v>38</v>
      </c>
      <c r="AF581" s="10" t="s">
        <v>44</v>
      </c>
      <c r="AG581" s="27"/>
    </row>
    <row r="582" ht="15.75" customHeight="1">
      <c r="A582" s="34" t="s">
        <v>1243</v>
      </c>
      <c r="B582" s="35">
        <v>1200.0</v>
      </c>
      <c r="C582" s="15" t="s">
        <v>297</v>
      </c>
      <c r="D582" s="15" t="s">
        <v>1244</v>
      </c>
      <c r="E582" s="15"/>
      <c r="F582" s="36">
        <v>1.0</v>
      </c>
      <c r="G582" s="33">
        <v>0.0</v>
      </c>
      <c r="H582" s="33">
        <v>15.0</v>
      </c>
      <c r="I582" s="29">
        <v>0.0</v>
      </c>
      <c r="J582" s="19" t="str">
        <f t="shared" si="27"/>
        <v>destacada</v>
      </c>
      <c r="K582" s="20">
        <f t="shared" si="23"/>
        <v>1020</v>
      </c>
      <c r="L582" s="15"/>
      <c r="M582" s="20"/>
      <c r="N582" s="21">
        <v>3.0</v>
      </c>
      <c r="O582" s="22">
        <v>4.0</v>
      </c>
      <c r="P582" s="23" t="str">
        <f>IFERROR(__xludf.DUMMYFUNCTION("IFERROR(
  INDEX(
    QUERY(
      Historial!A:I,
      ""select I where B = '""&amp;A582&amp;""' order by A desc limit 1"",
      0
    ),
    1
  ),
  """"
)"),"")</f>
        <v/>
      </c>
      <c r="Q582" s="19" t="s">
        <v>57</v>
      </c>
      <c r="R582" s="24">
        <v>46566.0</v>
      </c>
      <c r="S582" s="20" t="str">
        <f>IFERROR(__xludf.DUMMYFUNCTION("IFERROR(
  INDEX(
    QUERY(
      Historial!A:G,
      ""select G where B = '""&amp;A582&amp;""' order by A desc limit 1"",
      0
    ),
    1
  ),
  """"
)"),"")</f>
        <v/>
      </c>
      <c r="T582" s="20" t="str">
        <f t="shared" si="3"/>
        <v/>
      </c>
      <c r="U582" s="20" t="str">
        <f t="shared" si="4"/>
        <v/>
      </c>
      <c r="V582" s="25">
        <v>2.0</v>
      </c>
      <c r="W582" s="26">
        <v>9.0</v>
      </c>
      <c r="X582" s="26">
        <v>0.291</v>
      </c>
      <c r="Y582" s="26">
        <v>3.436426116838488</v>
      </c>
      <c r="Z582" s="26">
        <v>7.0</v>
      </c>
      <c r="AA582" s="26">
        <v>5.2379999999999995</v>
      </c>
      <c r="AB582" s="26">
        <v>5.0</v>
      </c>
      <c r="AC582" s="27"/>
      <c r="AD582" s="26">
        <v>3.436426116838488</v>
      </c>
      <c r="AE582" s="10" t="s">
        <v>38</v>
      </c>
      <c r="AF582" s="10" t="s">
        <v>44</v>
      </c>
      <c r="AG582" s="27"/>
    </row>
    <row r="583" ht="15.75" customHeight="1">
      <c r="A583" s="34" t="s">
        <v>1245</v>
      </c>
      <c r="B583" s="35">
        <v>15000.0</v>
      </c>
      <c r="C583" s="15" t="s">
        <v>297</v>
      </c>
      <c r="D583" s="15" t="s">
        <v>1246</v>
      </c>
      <c r="E583" s="15"/>
      <c r="F583" s="41">
        <v>0.0</v>
      </c>
      <c r="G583" s="33">
        <v>0.0</v>
      </c>
      <c r="H583" s="33">
        <v>0.0</v>
      </c>
      <c r="I583" s="29">
        <v>0.0</v>
      </c>
      <c r="J583" s="19" t="str">
        <f t="shared" si="27"/>
        <v>sin stock</v>
      </c>
      <c r="K583" s="20" t="str">
        <f t="shared" si="23"/>
        <v>SIN STOCK / CARGAR STOCK</v>
      </c>
      <c r="L583" s="15"/>
      <c r="M583" s="20"/>
      <c r="N583" s="21">
        <v>0.0</v>
      </c>
      <c r="O583" s="22">
        <v>3.0</v>
      </c>
      <c r="P583" s="23" t="str">
        <f>IFERROR(__xludf.DUMMYFUNCTION("IFERROR(
  INDEX(
    QUERY(
      Historial!A:I,
      ""select I where B = '""&amp;A583&amp;""' order by A desc limit 1"",
      0
    ),
    1
  ),
  """"
)"),"")</f>
        <v/>
      </c>
      <c r="Q583" s="19" t="s">
        <v>48</v>
      </c>
      <c r="R583" s="24">
        <v>46578.0</v>
      </c>
      <c r="S583" s="20" t="str">
        <f>IFERROR(__xludf.DUMMYFUNCTION("IFERROR(
  INDEX(
    QUERY(
      Historial!A:G,
      ""select G where B = '""&amp;A583&amp;""' order by A desc limit 1"",
      0
    ),
    1
  ),
  """"
)"),"")</f>
        <v/>
      </c>
      <c r="T583" s="20" t="str">
        <f t="shared" si="3"/>
        <v/>
      </c>
      <c r="U583" s="20" t="str">
        <f t="shared" si="4"/>
        <v/>
      </c>
      <c r="V583" s="25">
        <v>0.0</v>
      </c>
      <c r="W583" s="26">
        <v>0.0</v>
      </c>
      <c r="X583" s="26">
        <v>0.0</v>
      </c>
      <c r="Y583" s="27"/>
      <c r="Z583" s="26">
        <v>14.0</v>
      </c>
      <c r="AA583" s="26">
        <v>0.0</v>
      </c>
      <c r="AB583" s="26">
        <v>0.0</v>
      </c>
      <c r="AC583" s="27"/>
      <c r="AD583" s="27"/>
      <c r="AE583" s="10" t="s">
        <v>38</v>
      </c>
      <c r="AF583" s="10" t="s">
        <v>44</v>
      </c>
      <c r="AG583" s="27"/>
    </row>
    <row r="584" ht="15.75" customHeight="1">
      <c r="A584" s="34" t="s">
        <v>1247</v>
      </c>
      <c r="B584" s="35">
        <v>6500.0</v>
      </c>
      <c r="C584" s="15" t="s">
        <v>297</v>
      </c>
      <c r="D584" s="15" t="s">
        <v>1248</v>
      </c>
      <c r="E584" s="15"/>
      <c r="F584" s="44">
        <v>0.0</v>
      </c>
      <c r="G584" s="15">
        <v>0.0</v>
      </c>
      <c r="H584" s="33">
        <v>0.0</v>
      </c>
      <c r="I584" s="19">
        <v>0.0</v>
      </c>
      <c r="J584" s="19" t="str">
        <f t="shared" si="27"/>
        <v>sin stock</v>
      </c>
      <c r="K584" s="20" t="str">
        <f t="shared" si="23"/>
        <v>SIN STOCK / CARGAR STOCK</v>
      </c>
      <c r="L584" s="20"/>
      <c r="M584" s="20"/>
      <c r="N584" s="21">
        <v>0.0</v>
      </c>
      <c r="O584" s="22">
        <v>3.0</v>
      </c>
      <c r="P584" s="23" t="str">
        <f>IFERROR(__xludf.DUMMYFUNCTION("IFERROR(
  INDEX(
    QUERY(
      Historial!A:I,
      ""select I where B = '""&amp;A584&amp;""' order by A desc limit 1"",
      0
    ),
    1
  ),
  """"
)"),"")</f>
        <v/>
      </c>
      <c r="Q584" s="19" t="s">
        <v>63</v>
      </c>
      <c r="R584" s="24">
        <v>46589.0</v>
      </c>
      <c r="S584" s="20">
        <f>IFERROR(__xludf.DUMMYFUNCTION("IFERROR(
  INDEX(
    QUERY(
      Historial!A:G,
      ""select G where B = '""&amp;A584&amp;""' order by A desc limit 1"",
      0
    ),
    1
  ),
  """"
)"),4000.0)</f>
        <v>4000</v>
      </c>
      <c r="T584" s="20" t="str">
        <f t="shared" si="3"/>
        <v/>
      </c>
      <c r="U584" s="20" t="str">
        <f t="shared" si="4"/>
        <v/>
      </c>
      <c r="V584" s="25">
        <v>0.0</v>
      </c>
      <c r="W584" s="26">
        <v>0.0</v>
      </c>
      <c r="X584" s="26">
        <v>0.0</v>
      </c>
      <c r="Y584" s="27"/>
      <c r="Z584" s="26">
        <v>10.0</v>
      </c>
      <c r="AA584" s="26">
        <v>0.0</v>
      </c>
      <c r="AB584" s="26">
        <v>0.0</v>
      </c>
      <c r="AC584" s="27"/>
      <c r="AD584" s="27"/>
      <c r="AE584" s="10" t="s">
        <v>38</v>
      </c>
      <c r="AF584" s="10" t="s">
        <v>44</v>
      </c>
      <c r="AG584" s="27"/>
    </row>
    <row r="585" ht="15.75" customHeight="1">
      <c r="A585" s="34" t="s">
        <v>1249</v>
      </c>
      <c r="B585" s="35">
        <v>3000.0</v>
      </c>
      <c r="C585" s="15" t="s">
        <v>297</v>
      </c>
      <c r="D585" s="15" t="s">
        <v>1250</v>
      </c>
      <c r="E585" s="15"/>
      <c r="F585" s="41">
        <v>0.0</v>
      </c>
      <c r="G585" s="15">
        <v>0.0</v>
      </c>
      <c r="H585" s="33">
        <v>0.0</v>
      </c>
      <c r="I585" s="19">
        <v>0.0</v>
      </c>
      <c r="J585" s="19" t="str">
        <f t="shared" si="27"/>
        <v>sin stock</v>
      </c>
      <c r="K585" s="20" t="str">
        <f t="shared" si="23"/>
        <v>SIN STOCK / CARGAR STOCK</v>
      </c>
      <c r="L585" s="20"/>
      <c r="M585" s="20"/>
      <c r="N585" s="21">
        <v>0.0</v>
      </c>
      <c r="O585" s="22">
        <v>3.0</v>
      </c>
      <c r="P585" s="23" t="str">
        <f>IFERROR(__xludf.DUMMYFUNCTION("IFERROR(
  INDEX(
    QUERY(
      Historial!A:I,
      ""select I where B = '""&amp;A585&amp;""' order by A desc limit 1"",
      0
    ),
    1
  ),
  """"
)"),"")</f>
        <v/>
      </c>
      <c r="Q585" s="19" t="s">
        <v>37</v>
      </c>
      <c r="R585" s="24">
        <v>46590.0</v>
      </c>
      <c r="S585" s="20" t="str">
        <f>IFERROR(__xludf.DUMMYFUNCTION("IFERROR(
  INDEX(
    QUERY(
      Historial!A:G,
      ""select G where B = '""&amp;A585&amp;""' order by A desc limit 1"",
      0
    ),
    1
  ),
  """"
)"),"")</f>
        <v/>
      </c>
      <c r="T585" s="20" t="str">
        <f t="shared" si="3"/>
        <v/>
      </c>
      <c r="U585" s="20" t="str">
        <f t="shared" si="4"/>
        <v/>
      </c>
      <c r="V585" s="25">
        <v>0.0</v>
      </c>
      <c r="W585" s="26">
        <v>0.0</v>
      </c>
      <c r="X585" s="26">
        <v>0.0</v>
      </c>
      <c r="Y585" s="27"/>
      <c r="Z585" s="26">
        <v>10.0</v>
      </c>
      <c r="AA585" s="26">
        <v>0.0</v>
      </c>
      <c r="AB585" s="26">
        <v>0.0</v>
      </c>
      <c r="AC585" s="27"/>
      <c r="AD585" s="27"/>
      <c r="AE585" s="10" t="s">
        <v>38</v>
      </c>
      <c r="AF585" s="10" t="s">
        <v>44</v>
      </c>
      <c r="AG585" s="27"/>
    </row>
    <row r="586" ht="15.75" customHeight="1">
      <c r="A586" s="34" t="s">
        <v>1251</v>
      </c>
      <c r="B586" s="35">
        <v>3000.0</v>
      </c>
      <c r="C586" s="15" t="s">
        <v>297</v>
      </c>
      <c r="D586" s="15" t="s">
        <v>1252</v>
      </c>
      <c r="E586" s="15"/>
      <c r="F586" s="41">
        <v>0.0</v>
      </c>
      <c r="G586" s="15">
        <v>0.0</v>
      </c>
      <c r="H586" s="33">
        <v>0.0</v>
      </c>
      <c r="I586" s="19">
        <v>0.0</v>
      </c>
      <c r="J586" s="19" t="str">
        <f t="shared" si="27"/>
        <v>sin stock</v>
      </c>
      <c r="K586" s="20" t="str">
        <f t="shared" si="23"/>
        <v>SIN STOCK / CARGAR STOCK</v>
      </c>
      <c r="L586" s="20"/>
      <c r="M586" s="20"/>
      <c r="N586" s="21">
        <v>0.0</v>
      </c>
      <c r="O586" s="22">
        <v>3.0</v>
      </c>
      <c r="P586" s="23" t="str">
        <f>IFERROR(__xludf.DUMMYFUNCTION("IFERROR(
  INDEX(
    QUERY(
      Historial!A:I,
      ""select I where B = '""&amp;A586&amp;""' order by A desc limit 1"",
      0
    ),
    1
  ),
  """"
)"),"")</f>
        <v/>
      </c>
      <c r="Q586" s="19" t="s">
        <v>43</v>
      </c>
      <c r="R586" s="24">
        <v>46591.0</v>
      </c>
      <c r="S586" s="20" t="str">
        <f>IFERROR(__xludf.DUMMYFUNCTION("IFERROR(
  INDEX(
    QUERY(
      Historial!A:G,
      ""select G where B = '""&amp;A586&amp;""' order by A desc limit 1"",
      0
    ),
    1
  ),
  """"
)"),"")</f>
        <v/>
      </c>
      <c r="T586" s="20" t="str">
        <f t="shared" si="3"/>
        <v/>
      </c>
      <c r="U586" s="20" t="str">
        <f t="shared" si="4"/>
        <v/>
      </c>
      <c r="V586" s="25">
        <v>0.0</v>
      </c>
      <c r="W586" s="26">
        <v>0.0</v>
      </c>
      <c r="X586" s="26">
        <v>0.0</v>
      </c>
      <c r="Y586" s="27"/>
      <c r="Z586" s="26">
        <v>10.0</v>
      </c>
      <c r="AA586" s="26">
        <v>0.0</v>
      </c>
      <c r="AB586" s="26">
        <v>0.0</v>
      </c>
      <c r="AC586" s="27"/>
      <c r="AD586" s="27"/>
      <c r="AE586" s="10" t="s">
        <v>38</v>
      </c>
      <c r="AF586" s="10" t="s">
        <v>44</v>
      </c>
      <c r="AG586" s="27"/>
    </row>
    <row r="587" ht="15.75" customHeight="1">
      <c r="A587" s="34" t="s">
        <v>1253</v>
      </c>
      <c r="B587" s="35">
        <v>26000.0</v>
      </c>
      <c r="C587" s="15" t="s">
        <v>1019</v>
      </c>
      <c r="D587" s="15" t="s">
        <v>1254</v>
      </c>
      <c r="E587" s="15"/>
      <c r="F587" s="41">
        <v>0.0</v>
      </c>
      <c r="G587" s="33">
        <v>0.0</v>
      </c>
      <c r="H587" s="33">
        <v>0.0</v>
      </c>
      <c r="I587" s="29">
        <v>0.0</v>
      </c>
      <c r="J587" s="19" t="str">
        <f t="shared" si="27"/>
        <v>sin stock</v>
      </c>
      <c r="K587" s="20" t="str">
        <f t="shared" si="23"/>
        <v>SIN STOCK / CARGAR STOCK</v>
      </c>
      <c r="L587" s="15">
        <v>30000.0</v>
      </c>
      <c r="M587" s="20"/>
      <c r="N587" s="21">
        <v>0.0</v>
      </c>
      <c r="O587" s="22">
        <v>3.0</v>
      </c>
      <c r="P587" s="23" t="str">
        <f>IFERROR(__xludf.DUMMYFUNCTION("IFERROR(
  INDEX(
    QUERY(
      Historial!A:I,
      ""select I where B = '""&amp;A587&amp;""' order by A desc limit 1"",
      0
    ),
    1
  ),
  """"
)"),"")</f>
        <v/>
      </c>
      <c r="Q587" s="19" t="s">
        <v>51</v>
      </c>
      <c r="R587" s="24">
        <v>46649.0</v>
      </c>
      <c r="S587" s="20" t="str">
        <f>IFERROR(__xludf.DUMMYFUNCTION("IFERROR(
  INDEX(
    QUERY(
      Historial!A:G,
      ""select G where B = '""&amp;A587&amp;""' order by A desc limit 1"",
      0
    ),
    1
  ),
  """"
)"),"")</f>
        <v/>
      </c>
      <c r="T587" s="20" t="str">
        <f t="shared" si="3"/>
        <v/>
      </c>
      <c r="U587" s="20" t="str">
        <f t="shared" si="4"/>
        <v/>
      </c>
      <c r="V587" s="25">
        <v>0.0</v>
      </c>
      <c r="W587" s="26">
        <v>0.0</v>
      </c>
      <c r="X587" s="26">
        <v>0.0</v>
      </c>
      <c r="Y587" s="27"/>
      <c r="Z587" s="26">
        <v>10.0</v>
      </c>
      <c r="AA587" s="26">
        <v>0.0</v>
      </c>
      <c r="AB587" s="26">
        <v>0.0</v>
      </c>
      <c r="AC587" s="27"/>
      <c r="AD587" s="27"/>
      <c r="AE587" s="10" t="s">
        <v>38</v>
      </c>
      <c r="AF587" s="10" t="s">
        <v>44</v>
      </c>
      <c r="AG587" s="27"/>
    </row>
    <row r="588" ht="15.75" customHeight="1">
      <c r="A588" s="34" t="s">
        <v>1255</v>
      </c>
      <c r="B588" s="35">
        <v>6499.0</v>
      </c>
      <c r="C588" s="20" t="s">
        <v>1019</v>
      </c>
      <c r="D588" s="15" t="s">
        <v>1256</v>
      </c>
      <c r="E588" s="15"/>
      <c r="F588" s="42">
        <v>0.0</v>
      </c>
      <c r="G588" s="33">
        <v>0.0</v>
      </c>
      <c r="H588" s="33">
        <v>0.0</v>
      </c>
      <c r="I588" s="29">
        <v>0.0</v>
      </c>
      <c r="J588" s="19" t="str">
        <f t="shared" si="27"/>
        <v>sin stock</v>
      </c>
      <c r="K588" s="20" t="str">
        <f t="shared" si="23"/>
        <v>SIN STOCK / CARGAR STOCK</v>
      </c>
      <c r="L588" s="15">
        <v>7500.0</v>
      </c>
      <c r="M588" s="20"/>
      <c r="N588" s="21">
        <v>0.0</v>
      </c>
      <c r="O588" s="22">
        <v>3.0</v>
      </c>
      <c r="P588" s="23" t="str">
        <f>IFERROR(__xludf.DUMMYFUNCTION("IFERROR(
  INDEX(
    QUERY(
      Historial!A:I,
      ""select I where B = '""&amp;A588&amp;""' order by A desc limit 1"",
      0
    ),
    1
  ),
  """"
)"),"")</f>
        <v/>
      </c>
      <c r="Q588" s="19" t="s">
        <v>57</v>
      </c>
      <c r="R588" s="24">
        <v>46650.0</v>
      </c>
      <c r="S588" s="20" t="str">
        <f>IFERROR(__xludf.DUMMYFUNCTION("IFERROR(
  INDEX(
    QUERY(
      Historial!A:G,
      ""select G where B = '""&amp;A588&amp;""' order by A desc limit 1"",
      0
    ),
    1
  ),
  """"
)"),"")</f>
        <v/>
      </c>
      <c r="T588" s="20" t="str">
        <f t="shared" si="3"/>
        <v/>
      </c>
      <c r="U588" s="20" t="str">
        <f t="shared" si="4"/>
        <v/>
      </c>
      <c r="V588" s="25">
        <v>0.0</v>
      </c>
      <c r="W588" s="26">
        <v>0.0</v>
      </c>
      <c r="X588" s="26">
        <v>0.0</v>
      </c>
      <c r="Y588" s="27"/>
      <c r="Z588" s="26">
        <v>10.0</v>
      </c>
      <c r="AA588" s="26">
        <v>0.0</v>
      </c>
      <c r="AB588" s="26">
        <v>0.0</v>
      </c>
      <c r="AC588" s="27"/>
      <c r="AD588" s="27"/>
      <c r="AE588" s="10" t="s">
        <v>38</v>
      </c>
      <c r="AF588" s="10" t="s">
        <v>44</v>
      </c>
      <c r="AG588" s="27"/>
    </row>
    <row r="589" ht="15.75" customHeight="1">
      <c r="A589" s="34" t="s">
        <v>1257</v>
      </c>
      <c r="B589" s="35">
        <v>2100.0</v>
      </c>
      <c r="C589" s="15" t="s">
        <v>625</v>
      </c>
      <c r="D589" s="15" t="s">
        <v>1258</v>
      </c>
      <c r="E589" s="15"/>
      <c r="F589" s="36">
        <v>0.0</v>
      </c>
      <c r="G589" s="33">
        <v>0.0</v>
      </c>
      <c r="H589" s="33">
        <v>0.0</v>
      </c>
      <c r="I589" s="29">
        <v>1.0</v>
      </c>
      <c r="J589" s="19" t="str">
        <f t="shared" si="27"/>
        <v>sin stock</v>
      </c>
      <c r="K589" s="20" t="str">
        <f t="shared" si="23"/>
        <v>SIN STOCK / CARGAR STOCK</v>
      </c>
      <c r="L589" s="15"/>
      <c r="M589" s="20"/>
      <c r="N589" s="21">
        <v>5.0</v>
      </c>
      <c r="O589" s="22">
        <v>2.0</v>
      </c>
      <c r="P589" s="23" t="str">
        <f>IFERROR(__xludf.DUMMYFUNCTION("IFERROR(
  INDEX(
    QUERY(
      Historial!A:I,
      ""select I where B = '""&amp;A589&amp;""' order by A desc limit 1"",
      0
    ),
    1
  ),
  """"
)"),"")</f>
        <v/>
      </c>
      <c r="Q589" s="19" t="s">
        <v>63</v>
      </c>
      <c r="R589" s="24">
        <v>46659.0</v>
      </c>
      <c r="S589" s="20" t="str">
        <f>IFERROR(__xludf.DUMMYFUNCTION("IFERROR(
  INDEX(
    QUERY(
      Historial!A:G,
      ""select G where B = '""&amp;A589&amp;""' order by A desc limit 1"",
      0
    ),
    1
  ),
  """"
)"),"")</f>
        <v/>
      </c>
      <c r="T589" s="20" t="str">
        <f t="shared" si="3"/>
        <v/>
      </c>
      <c r="U589" s="20" t="str">
        <f t="shared" si="4"/>
        <v/>
      </c>
      <c r="V589" s="25">
        <v>3.0</v>
      </c>
      <c r="W589" s="26">
        <v>3.0</v>
      </c>
      <c r="X589" s="26">
        <v>0.297</v>
      </c>
      <c r="Y589" s="26">
        <v>0.0</v>
      </c>
      <c r="Z589" s="26">
        <v>14.0</v>
      </c>
      <c r="AA589" s="26">
        <v>2.9699999999999998</v>
      </c>
      <c r="AB589" s="26">
        <v>5.0</v>
      </c>
      <c r="AC589" s="27"/>
      <c r="AD589" s="26">
        <v>0.0</v>
      </c>
      <c r="AE589" s="10" t="s">
        <v>38</v>
      </c>
      <c r="AF589" s="10" t="s">
        <v>44</v>
      </c>
      <c r="AG589" s="27"/>
    </row>
    <row r="590" ht="15.75" customHeight="1">
      <c r="A590" s="34" t="s">
        <v>1259</v>
      </c>
      <c r="B590" s="35">
        <v>1500.0</v>
      </c>
      <c r="C590" s="15" t="s">
        <v>625</v>
      </c>
      <c r="D590" s="15" t="s">
        <v>1260</v>
      </c>
      <c r="E590" s="15"/>
      <c r="F590" s="41">
        <v>0.0</v>
      </c>
      <c r="G590" s="15">
        <v>0.0</v>
      </c>
      <c r="H590" s="33">
        <v>0.0</v>
      </c>
      <c r="I590" s="19">
        <v>0.0</v>
      </c>
      <c r="J590" s="19" t="str">
        <f t="shared" si="27"/>
        <v>sin stock</v>
      </c>
      <c r="K590" s="20" t="str">
        <f t="shared" si="23"/>
        <v>SIN STOCK / CARGAR STOCK</v>
      </c>
      <c r="L590" s="20"/>
      <c r="M590" s="20"/>
      <c r="N590" s="21">
        <v>0.0</v>
      </c>
      <c r="O590" s="22">
        <v>3.0</v>
      </c>
      <c r="P590" s="23" t="str">
        <f>IFERROR(__xludf.DUMMYFUNCTION("IFERROR(
  INDEX(
    QUERY(
      Historial!A:I,
      ""select I where B = '""&amp;A590&amp;""' order by A desc limit 1"",
      0
    ),
    1
  ),
  """"
)"),"")</f>
        <v/>
      </c>
      <c r="Q590" s="19" t="s">
        <v>37</v>
      </c>
      <c r="R590" s="24">
        <v>46660.0</v>
      </c>
      <c r="S590" s="20" t="str">
        <f>IFERROR(__xludf.DUMMYFUNCTION("IFERROR(
  INDEX(
    QUERY(
      Historial!A:G,
      ""select G where B = '""&amp;A590&amp;""' order by A desc limit 1"",
      0
    ),
    1
  ),
  """"
)"),"")</f>
        <v/>
      </c>
      <c r="T590" s="20" t="str">
        <f t="shared" si="3"/>
        <v/>
      </c>
      <c r="U590" s="20" t="str">
        <f t="shared" si="4"/>
        <v/>
      </c>
      <c r="V590" s="25">
        <v>0.0</v>
      </c>
      <c r="W590" s="26">
        <v>0.0</v>
      </c>
      <c r="X590" s="26">
        <v>0.0</v>
      </c>
      <c r="Y590" s="27"/>
      <c r="Z590" s="26">
        <v>21.0</v>
      </c>
      <c r="AA590" s="26">
        <v>0.0</v>
      </c>
      <c r="AB590" s="26">
        <v>0.0</v>
      </c>
      <c r="AC590" s="27"/>
      <c r="AD590" s="27"/>
      <c r="AE590" s="10" t="s">
        <v>38</v>
      </c>
      <c r="AF590" s="10" t="s">
        <v>44</v>
      </c>
      <c r="AG590" s="27"/>
    </row>
    <row r="591" ht="15.75" customHeight="1">
      <c r="A591" s="34" t="s">
        <v>1261</v>
      </c>
      <c r="B591" s="35">
        <v>1500.0</v>
      </c>
      <c r="C591" s="15" t="s">
        <v>625</v>
      </c>
      <c r="D591" s="15" t="s">
        <v>1262</v>
      </c>
      <c r="E591" s="15"/>
      <c r="F591" s="41">
        <v>0.0</v>
      </c>
      <c r="G591" s="15">
        <v>0.0</v>
      </c>
      <c r="H591" s="33">
        <v>0.0</v>
      </c>
      <c r="I591" s="19">
        <v>0.0</v>
      </c>
      <c r="J591" s="19" t="str">
        <f t="shared" si="27"/>
        <v>sin stock</v>
      </c>
      <c r="K591" s="20" t="str">
        <f t="shared" si="23"/>
        <v>SIN STOCK / CARGAR STOCK</v>
      </c>
      <c r="L591" s="20"/>
      <c r="M591" s="20"/>
      <c r="N591" s="21">
        <v>0.0</v>
      </c>
      <c r="O591" s="22">
        <v>3.0</v>
      </c>
      <c r="P591" s="23" t="str">
        <f>IFERROR(__xludf.DUMMYFUNCTION("IFERROR(
  INDEX(
    QUERY(
      Historial!A:I,
      ""select I where B = '""&amp;A591&amp;""' order by A desc limit 1"",
      0
    ),
    1
  ),
  """"
)"),"")</f>
        <v/>
      </c>
      <c r="Q591" s="19" t="s">
        <v>43</v>
      </c>
      <c r="R591" s="24">
        <v>46661.0</v>
      </c>
      <c r="S591" s="20" t="str">
        <f>IFERROR(__xludf.DUMMYFUNCTION("IFERROR(
  INDEX(
    QUERY(
      Historial!A:G,
      ""select G where B = '""&amp;A591&amp;""' order by A desc limit 1"",
      0
    ),
    1
  ),
  """"
)"),"")</f>
        <v/>
      </c>
      <c r="T591" s="20" t="str">
        <f t="shared" si="3"/>
        <v/>
      </c>
      <c r="U591" s="20" t="str">
        <f t="shared" si="4"/>
        <v/>
      </c>
      <c r="V591" s="25">
        <v>0.0</v>
      </c>
      <c r="W591" s="26">
        <v>0.0</v>
      </c>
      <c r="X591" s="26">
        <v>0.0</v>
      </c>
      <c r="Y591" s="27"/>
      <c r="Z591" s="26">
        <v>10.0</v>
      </c>
      <c r="AA591" s="26">
        <v>0.0</v>
      </c>
      <c r="AB591" s="26">
        <v>0.0</v>
      </c>
      <c r="AC591" s="27"/>
      <c r="AD591" s="27"/>
      <c r="AE591" s="10" t="s">
        <v>38</v>
      </c>
      <c r="AF591" s="10" t="s">
        <v>44</v>
      </c>
      <c r="AG591" s="27"/>
    </row>
    <row r="592" ht="15.75" customHeight="1">
      <c r="A592" s="34" t="s">
        <v>1263</v>
      </c>
      <c r="B592" s="35">
        <v>4000.0</v>
      </c>
      <c r="C592" s="15" t="s">
        <v>638</v>
      </c>
      <c r="D592" s="15" t="s">
        <v>1264</v>
      </c>
      <c r="E592" s="15"/>
      <c r="F592" s="41">
        <v>0.0</v>
      </c>
      <c r="G592" s="33">
        <v>0.0</v>
      </c>
      <c r="H592" s="33">
        <v>0.0</v>
      </c>
      <c r="I592" s="29">
        <v>0.0</v>
      </c>
      <c r="J592" s="19" t="str">
        <f t="shared" si="27"/>
        <v>sin stock</v>
      </c>
      <c r="K592" s="20" t="str">
        <f t="shared" si="23"/>
        <v>SIN STOCK / CARGAR STOCK</v>
      </c>
      <c r="L592" s="15"/>
      <c r="M592" s="20"/>
      <c r="N592" s="21">
        <v>0.0</v>
      </c>
      <c r="O592" s="22">
        <v>3.0</v>
      </c>
      <c r="P592" s="23" t="str">
        <f>IFERROR(__xludf.DUMMYFUNCTION("IFERROR(
  INDEX(
    QUERY(
      Historial!A:I,
      ""select I where B = '""&amp;A592&amp;""' order by A desc limit 1"",
      0
    ),
    1
  ),
  """"
)"),"")</f>
        <v/>
      </c>
      <c r="Q592" s="19" t="s">
        <v>60</v>
      </c>
      <c r="R592" s="24">
        <v>46665.0</v>
      </c>
      <c r="S592" s="20" t="str">
        <f>IFERROR(__xludf.DUMMYFUNCTION("IFERROR(
  INDEX(
    QUERY(
      Historial!A:G,
      ""select G where B = '""&amp;A592&amp;""' order by A desc limit 1"",
      0
    ),
    1
  ),
  """"
)"),"")</f>
        <v/>
      </c>
      <c r="T592" s="20" t="str">
        <f t="shared" si="3"/>
        <v/>
      </c>
      <c r="U592" s="20" t="str">
        <f t="shared" si="4"/>
        <v/>
      </c>
      <c r="V592" s="25">
        <v>0.0</v>
      </c>
      <c r="W592" s="26">
        <v>0.0</v>
      </c>
      <c r="X592" s="26">
        <v>0.0</v>
      </c>
      <c r="Y592" s="27"/>
      <c r="Z592" s="26">
        <v>10.0</v>
      </c>
      <c r="AA592" s="26">
        <v>0.0</v>
      </c>
      <c r="AB592" s="26">
        <v>0.0</v>
      </c>
      <c r="AC592" s="27"/>
      <c r="AD592" s="27"/>
      <c r="AE592" s="10" t="s">
        <v>38</v>
      </c>
      <c r="AF592" s="10" t="s">
        <v>44</v>
      </c>
      <c r="AG592" s="27"/>
    </row>
    <row r="593" ht="15.75" customHeight="1">
      <c r="A593" s="34" t="s">
        <v>1265</v>
      </c>
      <c r="B593" s="35">
        <v>5000.0</v>
      </c>
      <c r="C593" s="15" t="s">
        <v>638</v>
      </c>
      <c r="D593" s="15" t="s">
        <v>1266</v>
      </c>
      <c r="E593" s="15"/>
      <c r="F593" s="41">
        <v>0.0</v>
      </c>
      <c r="G593" s="33">
        <v>0.0</v>
      </c>
      <c r="H593" s="33">
        <v>0.0</v>
      </c>
      <c r="I593" s="29">
        <v>0.0</v>
      </c>
      <c r="J593" s="19" t="str">
        <f t="shared" si="27"/>
        <v>sin stock</v>
      </c>
      <c r="K593" s="20" t="str">
        <f t="shared" si="23"/>
        <v>SIN STOCK / CARGAR STOCK</v>
      </c>
      <c r="L593" s="15"/>
      <c r="M593" s="20"/>
      <c r="N593" s="21">
        <v>0.0</v>
      </c>
      <c r="O593" s="22">
        <v>3.0</v>
      </c>
      <c r="P593" s="23" t="str">
        <f>IFERROR(__xludf.DUMMYFUNCTION("IFERROR(
  INDEX(
    QUERY(
      Historial!A:I,
      ""select I where B = '""&amp;A593&amp;""' order by A desc limit 1"",
      0
    ),
    1
  ),
  """"
)"),"")</f>
        <v/>
      </c>
      <c r="Q593" s="19" t="s">
        <v>48</v>
      </c>
      <c r="R593" s="24">
        <v>46676.0</v>
      </c>
      <c r="S593" s="20" t="str">
        <f>IFERROR(__xludf.DUMMYFUNCTION("IFERROR(
  INDEX(
    QUERY(
      Historial!A:G,
      ""select G where B = '""&amp;A593&amp;""' order by A desc limit 1"",
      0
    ),
    1
  ),
  """"
)"),"")</f>
        <v/>
      </c>
      <c r="T593" s="20" t="str">
        <f t="shared" si="3"/>
        <v/>
      </c>
      <c r="U593" s="20" t="str">
        <f t="shared" si="4"/>
        <v/>
      </c>
      <c r="V593" s="25">
        <v>0.0</v>
      </c>
      <c r="W593" s="26">
        <v>0.0</v>
      </c>
      <c r="X593" s="26">
        <v>0.0</v>
      </c>
      <c r="Y593" s="27"/>
      <c r="Z593" s="26">
        <v>10.0</v>
      </c>
      <c r="AA593" s="26">
        <v>0.0</v>
      </c>
      <c r="AB593" s="26">
        <v>0.0</v>
      </c>
      <c r="AC593" s="27"/>
      <c r="AD593" s="27"/>
      <c r="AE593" s="10" t="s">
        <v>38</v>
      </c>
      <c r="AF593" s="10" t="s">
        <v>44</v>
      </c>
      <c r="AG593" s="27"/>
    </row>
    <row r="594" ht="15.75" customHeight="1">
      <c r="A594" s="34" t="s">
        <v>1267</v>
      </c>
      <c r="B594" s="35">
        <v>500.0</v>
      </c>
      <c r="C594" s="14" t="s">
        <v>35</v>
      </c>
      <c r="D594" s="15" t="s">
        <v>1268</v>
      </c>
      <c r="E594" s="15" t="s">
        <v>74</v>
      </c>
      <c r="F594" s="36">
        <v>6.0</v>
      </c>
      <c r="G594" s="33">
        <v>0.0</v>
      </c>
      <c r="H594" s="33">
        <v>0.0</v>
      </c>
      <c r="I594" s="29">
        <v>0.0</v>
      </c>
      <c r="J594" s="19" t="str">
        <f t="shared" si="27"/>
        <v>sin oferta</v>
      </c>
      <c r="K594" s="20" t="str">
        <f t="shared" si="23"/>
        <v>NORMAL / SIN OFERTA</v>
      </c>
      <c r="L594" s="15"/>
      <c r="M594" s="20"/>
      <c r="N594" s="21">
        <v>3.0</v>
      </c>
      <c r="O594" s="22">
        <v>5.0</v>
      </c>
      <c r="P594" s="23">
        <f>IFERROR(__xludf.DUMMYFUNCTION("IFERROR(
  INDEX(
    QUERY(
      Historial!A:I,
      ""select I where B = '""&amp;A594&amp;""' order by A desc limit 1"",
      0
    ),
    1
  ),
  """"
)"),46297.0)</f>
        <v>46297</v>
      </c>
      <c r="Q594" s="19" t="s">
        <v>43</v>
      </c>
      <c r="R594" s="24">
        <v>46094.0</v>
      </c>
      <c r="S594" s="20">
        <f>IFERROR(__xludf.DUMMYFUNCTION("IFERROR(
  INDEX(
    QUERY(
      Historial!A:G,
      ""select G where B = '""&amp;A594&amp;""' order by A desc limit 1"",
      0
    ),
    1
  ),
  """"
)"),700.0)</f>
        <v>700</v>
      </c>
      <c r="T594" s="20" t="str">
        <f t="shared" si="3"/>
        <v>✅ OK</v>
      </c>
      <c r="U594" s="20" t="str">
        <f t="shared" si="4"/>
        <v/>
      </c>
      <c r="V594" s="25">
        <v>4.0</v>
      </c>
      <c r="W594" s="26">
        <v>16.0</v>
      </c>
      <c r="X594" s="26">
        <v>0.556</v>
      </c>
      <c r="Y594" s="26">
        <v>10.791366906474819</v>
      </c>
      <c r="Z594" s="26">
        <v>5.0</v>
      </c>
      <c r="AA594" s="26">
        <v>11.676000000000002</v>
      </c>
      <c r="AB594" s="26">
        <v>6.0</v>
      </c>
      <c r="AC594" s="26">
        <v>205.0</v>
      </c>
      <c r="AD594" s="26">
        <v>10.791366906474819</v>
      </c>
      <c r="AE594" s="10" t="s">
        <v>38</v>
      </c>
      <c r="AF594" s="10" t="s">
        <v>44</v>
      </c>
      <c r="AG594" s="27"/>
    </row>
    <row r="595" ht="15.75" customHeight="1">
      <c r="A595" s="34" t="s">
        <v>1269</v>
      </c>
      <c r="B595" s="35">
        <v>4500.0</v>
      </c>
      <c r="C595" s="15" t="s">
        <v>458</v>
      </c>
      <c r="D595" s="15" t="s">
        <v>1270</v>
      </c>
      <c r="E595" s="15" t="s">
        <v>480</v>
      </c>
      <c r="F595" s="36">
        <v>1.0</v>
      </c>
      <c r="G595" s="33">
        <v>0.0</v>
      </c>
      <c r="H595" s="33">
        <v>0.0</v>
      </c>
      <c r="I595" s="29">
        <v>0.0</v>
      </c>
      <c r="J595" s="19" t="str">
        <f t="shared" si="27"/>
        <v>sin oferta</v>
      </c>
      <c r="K595" s="20" t="str">
        <f t="shared" si="23"/>
        <v>NORMAL / SIN OFERTA</v>
      </c>
      <c r="L595" s="15"/>
      <c r="M595" s="20"/>
      <c r="N595" s="21">
        <v>4.0</v>
      </c>
      <c r="O595" s="22">
        <v>4.0</v>
      </c>
      <c r="P595" s="23" t="str">
        <f>IFERROR(__xludf.DUMMYFUNCTION("IFERROR(
  INDEX(
    QUERY(
      Historial!A:I,
      ""select I where B = '""&amp;A595&amp;""' order by A desc limit 1"",
      0
    ),
    1
  ),
  """"
)"),"")</f>
        <v/>
      </c>
      <c r="Q595" s="19" t="s">
        <v>57</v>
      </c>
      <c r="R595" s="24">
        <v>46517.0</v>
      </c>
      <c r="S595" s="20" t="str">
        <f>IFERROR(__xludf.DUMMYFUNCTION("IFERROR(
  INDEX(
    QUERY(
      Historial!A:G,
      ""select G where B = '""&amp;A595&amp;""' order by A desc limit 1"",
      0
    ),
    1
  ),
  """"
)"),"")</f>
        <v/>
      </c>
      <c r="T595" s="20" t="str">
        <f t="shared" si="3"/>
        <v/>
      </c>
      <c r="U595" s="20" t="str">
        <f t="shared" si="4"/>
        <v/>
      </c>
      <c r="V595" s="25">
        <v>3.0</v>
      </c>
      <c r="W595" s="26">
        <v>8.0</v>
      </c>
      <c r="X595" s="26">
        <v>0.364</v>
      </c>
      <c r="Y595" s="26">
        <v>2.7472527472527473</v>
      </c>
      <c r="Z595" s="26">
        <v>10.0</v>
      </c>
      <c r="AA595" s="26">
        <v>5.096</v>
      </c>
      <c r="AB595" s="26">
        <v>5.0</v>
      </c>
      <c r="AC595" s="27"/>
      <c r="AD595" s="26">
        <v>2.7472527472527473</v>
      </c>
      <c r="AE595" s="10" t="s">
        <v>38</v>
      </c>
      <c r="AF595" s="10" t="s">
        <v>44</v>
      </c>
      <c r="AG595" s="27"/>
    </row>
    <row r="596" ht="15.75" customHeight="1">
      <c r="A596" s="34" t="s">
        <v>1271</v>
      </c>
      <c r="B596" s="46">
        <v>5000.0</v>
      </c>
      <c r="C596" s="47" t="s">
        <v>638</v>
      </c>
      <c r="D596" s="15" t="s">
        <v>1272</v>
      </c>
      <c r="E596" s="47" t="s">
        <v>147</v>
      </c>
      <c r="F596" s="36">
        <v>9.0</v>
      </c>
      <c r="G596" s="33">
        <v>0.0</v>
      </c>
      <c r="H596" s="33">
        <v>20.0</v>
      </c>
      <c r="I596" s="29">
        <v>0.0</v>
      </c>
      <c r="J596" s="19" t="str">
        <f t="shared" si="27"/>
        <v>destacada</v>
      </c>
      <c r="K596" s="20">
        <f t="shared" si="23"/>
        <v>4000</v>
      </c>
      <c r="L596" s="15"/>
      <c r="M596" s="20"/>
      <c r="N596" s="21">
        <v>13.0</v>
      </c>
      <c r="O596" s="22">
        <v>4.0</v>
      </c>
      <c r="P596" s="23" t="str">
        <f>IFERROR(__xludf.DUMMYFUNCTION("IFERROR(
  INDEX(
    QUERY(
      Historial!A:I,
      ""select I where B = '""&amp;A596&amp;""' order by A desc limit 1"",
      0
    ),
    1
  ),
  """"
)"),"")</f>
        <v/>
      </c>
      <c r="Q596" s="19" t="s">
        <v>60</v>
      </c>
      <c r="R596" s="24">
        <v>46679.0</v>
      </c>
      <c r="S596" s="20">
        <f>IFERROR(__xludf.DUMMYFUNCTION("IFERROR(
  INDEX(
    QUERY(
      Historial!A:G,
      ""select G where B = '""&amp;A596&amp;""' order by A desc limit 1"",
      0
    ),
    1
  ),
  """"
)"),2200.0)</f>
        <v>2200</v>
      </c>
      <c r="T596" s="20" t="str">
        <f t="shared" si="3"/>
        <v/>
      </c>
      <c r="U596" s="20" t="str">
        <f t="shared" si="4"/>
        <v/>
      </c>
      <c r="V596" s="25">
        <v>9.0</v>
      </c>
      <c r="W596" s="26">
        <v>11.0</v>
      </c>
      <c r="X596" s="26">
        <v>0.918</v>
      </c>
      <c r="Y596" s="26">
        <v>9.80392156862745</v>
      </c>
      <c r="Z596" s="26">
        <v>14.0</v>
      </c>
      <c r="AA596" s="26">
        <v>9.18</v>
      </c>
      <c r="AB596" s="26">
        <v>4.0</v>
      </c>
      <c r="AC596" s="27"/>
      <c r="AD596" s="26">
        <v>9.80392156862745</v>
      </c>
      <c r="AE596" s="10" t="s">
        <v>38</v>
      </c>
      <c r="AF596" s="10" t="s">
        <v>44</v>
      </c>
      <c r="AG596" s="27"/>
    </row>
    <row r="597" ht="15.75" customHeight="1">
      <c r="A597" s="34" t="s">
        <v>1273</v>
      </c>
      <c r="B597" s="46">
        <v>2500.0</v>
      </c>
      <c r="C597" s="47" t="s">
        <v>87</v>
      </c>
      <c r="D597" s="15" t="s">
        <v>1274</v>
      </c>
      <c r="E597" s="47" t="s">
        <v>385</v>
      </c>
      <c r="F597" s="36">
        <v>2.0</v>
      </c>
      <c r="G597" s="33">
        <v>0.0</v>
      </c>
      <c r="H597" s="33">
        <v>0.0</v>
      </c>
      <c r="I597" s="29">
        <v>0.0</v>
      </c>
      <c r="J597" s="19" t="str">
        <f t="shared" si="27"/>
        <v>sin oferta</v>
      </c>
      <c r="K597" s="20" t="str">
        <f t="shared" si="23"/>
        <v>NORMAL / SIN OFERTA</v>
      </c>
      <c r="L597" s="15"/>
      <c r="M597" s="20"/>
      <c r="N597" s="21">
        <v>10.0</v>
      </c>
      <c r="O597" s="22">
        <v>4.0</v>
      </c>
      <c r="P597" s="23" t="str">
        <f>IFERROR(__xludf.DUMMYFUNCTION("IFERROR(
  INDEX(
    QUERY(
      Historial!A:I,
      ""select I where B = '""&amp;A597&amp;""' order by A desc limit 1"",
      0
    ),
    1
  ),
  """"
)"),"")</f>
        <v/>
      </c>
      <c r="Q597" s="19" t="s">
        <v>43</v>
      </c>
      <c r="R597" s="24">
        <v>46171.0</v>
      </c>
      <c r="S597" s="20">
        <f>IFERROR(__xludf.DUMMYFUNCTION("IFERROR(
  INDEX(
    QUERY(
      Historial!A:G,
      ""select G where B = '""&amp;A597&amp;""' order by A desc limit 1"",
      0
    ),
    1
  ),
  """"
)"),1400.0)</f>
        <v>1400</v>
      </c>
      <c r="T597" s="20" t="str">
        <f t="shared" si="3"/>
        <v/>
      </c>
      <c r="U597" s="20" t="str">
        <f t="shared" si="4"/>
        <v/>
      </c>
      <c r="V597" s="25">
        <v>6.0</v>
      </c>
      <c r="W597" s="26">
        <v>10.0</v>
      </c>
      <c r="X597" s="26">
        <v>0.648</v>
      </c>
      <c r="Y597" s="26">
        <v>3.0864197530864197</v>
      </c>
      <c r="Z597" s="26">
        <v>14.0</v>
      </c>
      <c r="AA597" s="26">
        <v>6.48</v>
      </c>
      <c r="AB597" s="26">
        <v>8.0</v>
      </c>
      <c r="AC597" s="27"/>
      <c r="AD597" s="26">
        <v>3.0864197530864197</v>
      </c>
      <c r="AE597" s="10" t="s">
        <v>38</v>
      </c>
      <c r="AF597" s="10" t="s">
        <v>44</v>
      </c>
      <c r="AG597" s="27"/>
    </row>
    <row r="598" ht="15.75" customHeight="1">
      <c r="A598" s="34" t="s">
        <v>1275</v>
      </c>
      <c r="B598" s="35">
        <v>1000.0</v>
      </c>
      <c r="C598" s="15" t="s">
        <v>502</v>
      </c>
      <c r="D598" s="15" t="s">
        <v>1276</v>
      </c>
      <c r="E598" s="15"/>
      <c r="F598" s="36">
        <v>3.0</v>
      </c>
      <c r="G598" s="33">
        <v>0.0</v>
      </c>
      <c r="H598" s="33">
        <v>0.0</v>
      </c>
      <c r="I598" s="29">
        <v>0.0</v>
      </c>
      <c r="J598" s="19" t="str">
        <f t="shared" si="27"/>
        <v>sin oferta</v>
      </c>
      <c r="K598" s="20" t="str">
        <f t="shared" si="23"/>
        <v>NORMAL / SIN OFERTA</v>
      </c>
      <c r="L598" s="15"/>
      <c r="M598" s="20"/>
      <c r="N598" s="21">
        <v>9.0</v>
      </c>
      <c r="O598" s="22">
        <v>5.0</v>
      </c>
      <c r="P598" s="23" t="str">
        <f>IFERROR(__xludf.DUMMYFUNCTION("IFERROR(
  INDEX(
    QUERY(
      Historial!A:I,
      ""select I where B = '""&amp;A598&amp;""' order by A desc limit 1"",
      0
    ),
    1
  ),
  """"
)"),"")</f>
        <v/>
      </c>
      <c r="Q598" s="19" t="s">
        <v>63</v>
      </c>
      <c r="R598" s="24">
        <v>46547.0</v>
      </c>
      <c r="S598" s="20" t="str">
        <f>IFERROR(__xludf.DUMMYFUNCTION("IFERROR(
  INDEX(
    QUERY(
      Historial!A:G,
      ""select G where B = '""&amp;A598&amp;""' order by A desc limit 1"",
      0
    ),
    1
  ),
  """"
)"),"")</f>
        <v/>
      </c>
      <c r="T598" s="20" t="str">
        <f t="shared" si="3"/>
        <v/>
      </c>
      <c r="U598" s="20" t="str">
        <f t="shared" si="4"/>
        <v/>
      </c>
      <c r="V598" s="25">
        <v>5.0</v>
      </c>
      <c r="W598" s="26">
        <v>14.0</v>
      </c>
      <c r="X598" s="26">
        <v>0.615</v>
      </c>
      <c r="Y598" s="26">
        <v>4.878048780487805</v>
      </c>
      <c r="Z598" s="26">
        <v>14.0</v>
      </c>
      <c r="AA598" s="26">
        <v>6.15</v>
      </c>
      <c r="AB598" s="26">
        <v>6.0</v>
      </c>
      <c r="AC598" s="27"/>
      <c r="AD598" s="26">
        <v>4.878048780487805</v>
      </c>
      <c r="AE598" s="10" t="s">
        <v>38</v>
      </c>
      <c r="AF598" s="10" t="s">
        <v>44</v>
      </c>
      <c r="AG598" s="27"/>
    </row>
    <row r="599" ht="15.75" customHeight="1">
      <c r="A599" s="34" t="s">
        <v>1277</v>
      </c>
      <c r="B599" s="46">
        <v>4300.0</v>
      </c>
      <c r="C599" s="47" t="s">
        <v>349</v>
      </c>
      <c r="D599" s="15" t="s">
        <v>1278</v>
      </c>
      <c r="E599" s="47" t="s">
        <v>114</v>
      </c>
      <c r="F599" s="36">
        <v>12.0</v>
      </c>
      <c r="G599" s="33">
        <v>0.0</v>
      </c>
      <c r="H599" s="33">
        <v>0.0</v>
      </c>
      <c r="I599" s="29">
        <v>0.0</v>
      </c>
      <c r="J599" s="19" t="str">
        <f t="shared" si="27"/>
        <v>sin oferta</v>
      </c>
      <c r="K599" s="20" t="str">
        <f t="shared" si="23"/>
        <v>NORMAL / SIN OFERTA</v>
      </c>
      <c r="L599" s="15"/>
      <c r="M599" s="20"/>
      <c r="N599" s="21">
        <v>20.0</v>
      </c>
      <c r="O599" s="22">
        <v>5.0</v>
      </c>
      <c r="P599" s="23" t="str">
        <f>IFERROR(__xludf.DUMMYFUNCTION("IFERROR(
  INDEX(
    QUERY(
      Historial!A:I,
      ""select I where B = '""&amp;A599&amp;""' order by A desc limit 1"",
      0
    ),
    1
  ),
  """"
)"),"")</f>
        <v/>
      </c>
      <c r="Q599" s="19" t="s">
        <v>48</v>
      </c>
      <c r="R599" s="24">
        <v>46333.0</v>
      </c>
      <c r="S599" s="20">
        <f>IFERROR(__xludf.DUMMYFUNCTION("IFERROR(
  INDEX(
    QUERY(
      Historial!A:G,
      ""select G where B = '""&amp;A599&amp;""' order by A desc limit 1"",
      0
    ),
    1
  ),
  """"
)"),2634.0)</f>
        <v>2634</v>
      </c>
      <c r="T599" s="20" t="str">
        <f t="shared" si="3"/>
        <v/>
      </c>
      <c r="U599" s="20" t="str">
        <f t="shared" si="4"/>
        <v/>
      </c>
      <c r="V599" s="25">
        <v>12.0</v>
      </c>
      <c r="W599" s="26">
        <v>26.0</v>
      </c>
      <c r="X599" s="26">
        <v>1.375</v>
      </c>
      <c r="Y599" s="26">
        <v>8.727272727272727</v>
      </c>
      <c r="Z599" s="26">
        <v>14.0</v>
      </c>
      <c r="AA599" s="26">
        <v>13.75</v>
      </c>
      <c r="AB599" s="26">
        <v>8.0</v>
      </c>
      <c r="AC599" s="27"/>
      <c r="AD599" s="26">
        <v>8.727272727272727</v>
      </c>
      <c r="AE599" s="10" t="s">
        <v>38</v>
      </c>
      <c r="AF599" s="10" t="s">
        <v>44</v>
      </c>
      <c r="AG599" s="27"/>
    </row>
    <row r="600" ht="15.75" customHeight="1">
      <c r="A600" s="34" t="s">
        <v>1279</v>
      </c>
      <c r="B600" s="35">
        <v>3500.0</v>
      </c>
      <c r="C600" s="15" t="s">
        <v>349</v>
      </c>
      <c r="D600" s="15" t="s">
        <v>1280</v>
      </c>
      <c r="E600" s="15" t="s">
        <v>147</v>
      </c>
      <c r="F600" s="36">
        <v>1.0</v>
      </c>
      <c r="G600" s="17">
        <v>6.0</v>
      </c>
      <c r="H600" s="17">
        <v>0.0</v>
      </c>
      <c r="I600" s="18">
        <v>0.0</v>
      </c>
      <c r="J600" s="19" t="str">
        <f t="shared" si="27"/>
        <v>REPONER 6 PARA PROMO</v>
      </c>
      <c r="K600" s="20">
        <f t="shared" si="23"/>
        <v>2999.85</v>
      </c>
      <c r="L600" s="15"/>
      <c r="M600" s="20"/>
      <c r="N600" s="21">
        <v>22.0</v>
      </c>
      <c r="O600" s="22">
        <v>5.0</v>
      </c>
      <c r="P600" s="23" t="str">
        <f>IFERROR(__xludf.DUMMYFUNCTION("IFERROR(
  INDEX(
    QUERY(
      Historial!A:I,
      ""select I where B = '""&amp;A600&amp;""' order by A desc limit 1"",
      0
    ),
    1
  ),
  """"
)"),"")</f>
        <v/>
      </c>
      <c r="Q600" s="19" t="s">
        <v>60</v>
      </c>
      <c r="R600" s="24">
        <v>46336.0</v>
      </c>
      <c r="S600" s="20" t="str">
        <f>IFERROR(__xludf.DUMMYFUNCTION("IFERROR(
  INDEX(
    QUERY(
      Historial!A:G,
      ""select G where B = '""&amp;A600&amp;""' order by A desc limit 1"",
      0
    ),
    1
  ),
  """"
)"),"")</f>
        <v/>
      </c>
      <c r="T600" s="20" t="str">
        <f t="shared" si="3"/>
        <v/>
      </c>
      <c r="U600" s="20" t="str">
        <f t="shared" si="4"/>
        <v/>
      </c>
      <c r="V600" s="25">
        <v>20.0</v>
      </c>
      <c r="W600" s="26">
        <v>34.0</v>
      </c>
      <c r="X600" s="26">
        <v>2.168</v>
      </c>
      <c r="Y600" s="26">
        <v>0.46125461254612543</v>
      </c>
      <c r="Z600" s="26">
        <v>10.0</v>
      </c>
      <c r="AA600" s="26">
        <v>30.352000000000004</v>
      </c>
      <c r="AB600" s="26">
        <v>30.0</v>
      </c>
      <c r="AC600" s="27"/>
      <c r="AD600" s="26">
        <v>0.46125461254612543</v>
      </c>
      <c r="AE600" s="10" t="s">
        <v>38</v>
      </c>
      <c r="AF600" s="10" t="s">
        <v>44</v>
      </c>
      <c r="AG600" s="27"/>
    </row>
    <row r="601" ht="15.75" customHeight="1">
      <c r="A601" s="82"/>
      <c r="B601" s="82"/>
      <c r="C601" s="82"/>
      <c r="D601" s="82"/>
      <c r="E601" s="82"/>
      <c r="F601" s="83"/>
      <c r="G601" s="82"/>
      <c r="H601" s="82"/>
      <c r="I601" s="82"/>
      <c r="J601" s="82"/>
      <c r="K601" s="82"/>
      <c r="L601" s="82"/>
      <c r="M601" s="82"/>
      <c r="N601" s="82"/>
      <c r="V601" s="84"/>
    </row>
    <row r="602" ht="15.75" customHeight="1">
      <c r="A602" s="82"/>
      <c r="B602" s="82"/>
      <c r="C602" s="82"/>
      <c r="D602" s="82"/>
      <c r="E602" s="82"/>
      <c r="F602" s="83"/>
      <c r="G602" s="82"/>
      <c r="H602" s="82"/>
      <c r="I602" s="82"/>
      <c r="J602" s="82"/>
      <c r="K602" s="82"/>
      <c r="L602" s="82"/>
      <c r="M602" s="82"/>
      <c r="N602" s="82"/>
      <c r="V602" s="84"/>
    </row>
    <row r="603" ht="15.75" customHeight="1">
      <c r="A603" s="82"/>
      <c r="B603" s="82"/>
      <c r="C603" s="82"/>
      <c r="D603" s="82"/>
      <c r="E603" s="82"/>
      <c r="F603" s="83"/>
      <c r="G603" s="82"/>
      <c r="H603" s="82"/>
      <c r="I603" s="82"/>
      <c r="J603" s="82"/>
      <c r="K603" s="82"/>
      <c r="L603" s="82"/>
      <c r="M603" s="82"/>
      <c r="N603" s="82"/>
      <c r="V603" s="84"/>
    </row>
    <row r="604" ht="15.75" customHeight="1">
      <c r="A604" s="82"/>
      <c r="B604" s="82"/>
      <c r="C604" s="82"/>
      <c r="D604" s="82"/>
      <c r="E604" s="82"/>
      <c r="F604" s="83"/>
      <c r="G604" s="82"/>
      <c r="H604" s="82"/>
      <c r="I604" s="82"/>
      <c r="J604" s="82"/>
      <c r="K604" s="82"/>
      <c r="L604" s="82"/>
      <c r="M604" s="82"/>
      <c r="N604" s="82"/>
      <c r="V604" s="84"/>
    </row>
    <row r="605" ht="15.75" customHeight="1">
      <c r="A605" s="82"/>
      <c r="B605" s="82"/>
      <c r="C605" s="82"/>
      <c r="D605" s="82"/>
      <c r="E605" s="82"/>
      <c r="F605" s="83"/>
      <c r="G605" s="82"/>
      <c r="H605" s="82"/>
      <c r="I605" s="82"/>
      <c r="J605" s="82"/>
      <c r="K605" s="82"/>
      <c r="L605" s="82"/>
      <c r="M605" s="82"/>
      <c r="N605" s="82"/>
      <c r="V605" s="84"/>
    </row>
    <row r="606" ht="15.75" customHeight="1">
      <c r="A606" s="82"/>
      <c r="B606" s="82"/>
      <c r="C606" s="82"/>
      <c r="D606" s="82"/>
      <c r="E606" s="82"/>
      <c r="F606" s="83"/>
      <c r="G606" s="82"/>
      <c r="H606" s="82"/>
      <c r="I606" s="82"/>
      <c r="J606" s="82"/>
      <c r="K606" s="82"/>
      <c r="L606" s="82"/>
      <c r="M606" s="82"/>
      <c r="V606" s="84"/>
    </row>
    <row r="607" ht="15.75" customHeight="1">
      <c r="A607" s="82"/>
      <c r="B607" s="82"/>
      <c r="C607" s="82"/>
      <c r="D607" s="82"/>
      <c r="E607" s="82"/>
      <c r="F607" s="83"/>
      <c r="G607" s="82"/>
      <c r="H607" s="82"/>
      <c r="I607" s="82"/>
      <c r="J607" s="82"/>
      <c r="K607" s="82"/>
      <c r="L607" s="82"/>
      <c r="M607" s="82"/>
      <c r="V607" s="84"/>
    </row>
    <row r="608" ht="15.75" customHeight="1">
      <c r="A608" s="82"/>
      <c r="B608" s="82"/>
      <c r="C608" s="82"/>
      <c r="D608" s="82"/>
      <c r="E608" s="82"/>
      <c r="F608" s="83"/>
      <c r="G608" s="82"/>
      <c r="H608" s="82"/>
      <c r="I608" s="82"/>
      <c r="J608" s="82"/>
      <c r="K608" s="82"/>
      <c r="L608" s="82"/>
      <c r="M608" s="82"/>
      <c r="V608" s="84"/>
    </row>
    <row r="609" ht="15.75" customHeight="1">
      <c r="A609" s="82"/>
      <c r="B609" s="82"/>
      <c r="C609" s="82"/>
      <c r="D609" s="82"/>
      <c r="E609" s="82"/>
      <c r="F609" s="83"/>
      <c r="G609" s="82"/>
      <c r="H609" s="82"/>
      <c r="I609" s="82"/>
      <c r="J609" s="82"/>
      <c r="K609" s="82"/>
      <c r="L609" s="82"/>
      <c r="M609" s="82"/>
      <c r="V609" s="84"/>
    </row>
    <row r="610" ht="15.75" customHeight="1">
      <c r="A610" s="82"/>
      <c r="B610" s="82"/>
      <c r="C610" s="82"/>
      <c r="D610" s="82"/>
      <c r="E610" s="82"/>
      <c r="F610" s="83"/>
      <c r="G610" s="82"/>
      <c r="H610" s="82"/>
      <c r="I610" s="82"/>
      <c r="J610" s="82"/>
      <c r="K610" s="82"/>
      <c r="L610" s="82"/>
      <c r="M610" s="82"/>
      <c r="V610" s="84"/>
    </row>
    <row r="611" ht="15.75" customHeight="1">
      <c r="A611" s="82"/>
      <c r="B611" s="82"/>
      <c r="C611" s="82"/>
      <c r="D611" s="82"/>
      <c r="E611" s="82"/>
      <c r="F611" s="83"/>
      <c r="G611" s="82"/>
      <c r="H611" s="82"/>
      <c r="I611" s="82"/>
      <c r="J611" s="82"/>
      <c r="K611" s="82"/>
      <c r="L611" s="82"/>
      <c r="M611" s="82"/>
      <c r="V611" s="84"/>
    </row>
    <row r="612" ht="15.75" customHeight="1">
      <c r="A612" s="82"/>
      <c r="B612" s="82"/>
      <c r="C612" s="82"/>
      <c r="D612" s="82"/>
      <c r="E612" s="82"/>
      <c r="F612" s="83"/>
      <c r="G612" s="82"/>
      <c r="H612" s="82"/>
      <c r="I612" s="82"/>
      <c r="J612" s="82"/>
      <c r="K612" s="82"/>
      <c r="L612" s="82"/>
      <c r="M612" s="82"/>
      <c r="V612" s="84"/>
    </row>
    <row r="613" ht="15.75" customHeight="1">
      <c r="A613" s="82"/>
      <c r="B613" s="82"/>
      <c r="C613" s="82"/>
      <c r="D613" s="82"/>
      <c r="E613" s="82"/>
      <c r="F613" s="83"/>
      <c r="G613" s="82"/>
      <c r="H613" s="82"/>
      <c r="I613" s="82"/>
      <c r="J613" s="82"/>
      <c r="K613" s="82"/>
      <c r="L613" s="82"/>
      <c r="M613" s="82"/>
      <c r="V613" s="84"/>
    </row>
    <row r="614" ht="15.75" customHeight="1">
      <c r="A614" s="82"/>
      <c r="B614" s="82"/>
      <c r="C614" s="82"/>
      <c r="D614" s="82"/>
      <c r="E614" s="82"/>
      <c r="F614" s="83"/>
      <c r="G614" s="82"/>
      <c r="H614" s="82"/>
      <c r="I614" s="82"/>
      <c r="J614" s="82"/>
      <c r="K614" s="82"/>
      <c r="L614" s="82"/>
      <c r="M614" s="82"/>
      <c r="V614" s="84"/>
    </row>
    <row r="615" ht="15.75" customHeight="1">
      <c r="A615" s="82"/>
      <c r="B615" s="82"/>
      <c r="C615" s="82"/>
      <c r="D615" s="82"/>
      <c r="E615" s="82"/>
      <c r="F615" s="83"/>
      <c r="G615" s="82"/>
      <c r="H615" s="82"/>
      <c r="I615" s="82"/>
      <c r="J615" s="82"/>
      <c r="K615" s="82"/>
      <c r="L615" s="82"/>
      <c r="M615" s="82"/>
      <c r="V615" s="84"/>
    </row>
    <row r="616" ht="15.75" customHeight="1">
      <c r="A616" s="82"/>
      <c r="B616" s="82"/>
      <c r="C616" s="82"/>
      <c r="D616" s="82"/>
      <c r="E616" s="82"/>
      <c r="F616" s="83"/>
      <c r="G616" s="82"/>
      <c r="H616" s="82"/>
      <c r="I616" s="82"/>
      <c r="J616" s="82"/>
      <c r="K616" s="82"/>
      <c r="L616" s="82"/>
      <c r="M616" s="82"/>
      <c r="V616" s="84"/>
    </row>
    <row r="617" ht="15.75" customHeight="1">
      <c r="A617" s="82"/>
      <c r="B617" s="82"/>
      <c r="C617" s="82"/>
      <c r="D617" s="82"/>
      <c r="E617" s="82"/>
      <c r="F617" s="83"/>
      <c r="G617" s="82"/>
      <c r="H617" s="82"/>
      <c r="I617" s="82"/>
      <c r="J617" s="82"/>
      <c r="K617" s="82"/>
      <c r="L617" s="82"/>
      <c r="M617" s="82"/>
      <c r="V617" s="84"/>
    </row>
    <row r="618" ht="15.75" customHeight="1">
      <c r="A618" s="82"/>
      <c r="B618" s="82"/>
      <c r="C618" s="82"/>
      <c r="D618" s="82"/>
      <c r="E618" s="82"/>
      <c r="F618" s="83"/>
      <c r="G618" s="82"/>
      <c r="H618" s="82"/>
      <c r="I618" s="82"/>
      <c r="J618" s="82"/>
      <c r="K618" s="82"/>
      <c r="L618" s="82"/>
      <c r="M618" s="82"/>
      <c r="V618" s="84"/>
    </row>
    <row r="619" ht="15.75" customHeight="1">
      <c r="A619" s="82"/>
      <c r="B619" s="82"/>
      <c r="C619" s="82"/>
      <c r="D619" s="82"/>
      <c r="E619" s="82"/>
      <c r="F619" s="83"/>
      <c r="G619" s="82"/>
      <c r="H619" s="82"/>
      <c r="I619" s="82"/>
      <c r="J619" s="82"/>
      <c r="K619" s="82"/>
      <c r="L619" s="82"/>
      <c r="M619" s="82"/>
      <c r="V619" s="84"/>
    </row>
    <row r="620" ht="15.75" customHeight="1">
      <c r="A620" s="82"/>
      <c r="B620" s="82"/>
      <c r="C620" s="82"/>
      <c r="D620" s="82"/>
      <c r="E620" s="82"/>
      <c r="F620" s="83"/>
      <c r="G620" s="82"/>
      <c r="H620" s="82"/>
      <c r="I620" s="82"/>
      <c r="J620" s="82"/>
      <c r="K620" s="82"/>
      <c r="L620" s="82"/>
      <c r="M620" s="82"/>
      <c r="V620" s="84"/>
    </row>
    <row r="621" ht="15.75" customHeight="1">
      <c r="A621" s="82"/>
      <c r="B621" s="82"/>
      <c r="C621" s="82"/>
      <c r="D621" s="82"/>
      <c r="E621" s="82"/>
      <c r="F621" s="83"/>
      <c r="G621" s="82"/>
      <c r="H621" s="82"/>
      <c r="I621" s="82"/>
      <c r="J621" s="82"/>
      <c r="K621" s="82"/>
      <c r="L621" s="82"/>
      <c r="M621" s="82"/>
      <c r="V621" s="84"/>
    </row>
    <row r="622" ht="15.75" customHeight="1">
      <c r="A622" s="82"/>
      <c r="B622" s="82"/>
      <c r="C622" s="82"/>
      <c r="D622" s="82"/>
      <c r="E622" s="82"/>
      <c r="F622" s="83"/>
      <c r="G622" s="82"/>
      <c r="H622" s="82"/>
      <c r="I622" s="82"/>
      <c r="J622" s="82"/>
      <c r="K622" s="82"/>
      <c r="L622" s="82"/>
      <c r="M622" s="82"/>
      <c r="V622" s="84"/>
    </row>
    <row r="623" ht="15.75" customHeight="1">
      <c r="A623" s="82"/>
      <c r="B623" s="82"/>
      <c r="C623" s="82"/>
      <c r="D623" s="82"/>
      <c r="E623" s="82"/>
      <c r="F623" s="83"/>
      <c r="G623" s="82"/>
      <c r="H623" s="82"/>
      <c r="I623" s="82"/>
      <c r="J623" s="82"/>
      <c r="K623" s="82"/>
      <c r="L623" s="82"/>
      <c r="M623" s="82"/>
      <c r="V623" s="84"/>
    </row>
    <row r="624" ht="15.75" customHeight="1">
      <c r="A624" s="82"/>
      <c r="B624" s="82"/>
      <c r="C624" s="82"/>
      <c r="D624" s="82"/>
      <c r="E624" s="82"/>
      <c r="F624" s="83"/>
      <c r="G624" s="82"/>
      <c r="H624" s="82"/>
      <c r="I624" s="82"/>
      <c r="J624" s="82"/>
      <c r="K624" s="82"/>
      <c r="L624" s="82"/>
      <c r="M624" s="82"/>
      <c r="V624" s="84"/>
    </row>
    <row r="625" ht="15.75" customHeight="1">
      <c r="A625" s="82"/>
      <c r="B625" s="82"/>
      <c r="C625" s="82"/>
      <c r="D625" s="82"/>
      <c r="E625" s="82"/>
      <c r="F625" s="83"/>
      <c r="G625" s="82"/>
      <c r="H625" s="82"/>
      <c r="I625" s="82"/>
      <c r="J625" s="82"/>
      <c r="K625" s="82"/>
      <c r="L625" s="82"/>
      <c r="M625" s="82"/>
      <c r="V625" s="84"/>
    </row>
    <row r="626" ht="15.75" customHeight="1">
      <c r="A626" s="82"/>
      <c r="B626" s="82"/>
      <c r="C626" s="82"/>
      <c r="D626" s="82"/>
      <c r="E626" s="82"/>
      <c r="F626" s="83"/>
      <c r="G626" s="82"/>
      <c r="H626" s="82"/>
      <c r="I626" s="82"/>
      <c r="J626" s="82"/>
      <c r="K626" s="82"/>
      <c r="L626" s="82"/>
      <c r="M626" s="82"/>
      <c r="V626" s="84"/>
    </row>
    <row r="627" ht="15.75" customHeight="1">
      <c r="A627" s="82"/>
      <c r="B627" s="82"/>
      <c r="C627" s="82"/>
      <c r="D627" s="82"/>
      <c r="E627" s="82"/>
      <c r="F627" s="83"/>
      <c r="G627" s="82"/>
      <c r="H627" s="82"/>
      <c r="I627" s="82"/>
      <c r="J627" s="82"/>
      <c r="K627" s="82"/>
      <c r="L627" s="82"/>
      <c r="M627" s="82"/>
      <c r="V627" s="84"/>
    </row>
    <row r="628" ht="15.75" customHeight="1">
      <c r="A628" s="82"/>
      <c r="B628" s="82"/>
      <c r="C628" s="82"/>
      <c r="D628" s="82"/>
      <c r="E628" s="82"/>
      <c r="F628" s="83"/>
      <c r="G628" s="82"/>
      <c r="H628" s="82"/>
      <c r="I628" s="82"/>
      <c r="J628" s="82"/>
      <c r="K628" s="82"/>
      <c r="L628" s="82"/>
      <c r="M628" s="82"/>
      <c r="V628" s="84"/>
    </row>
    <row r="629" ht="15.75" customHeight="1">
      <c r="A629" s="82"/>
      <c r="B629" s="82"/>
      <c r="C629" s="82"/>
      <c r="D629" s="82"/>
      <c r="E629" s="82"/>
      <c r="F629" s="83"/>
      <c r="G629" s="82"/>
      <c r="H629" s="82"/>
      <c r="I629" s="82"/>
      <c r="J629" s="82"/>
      <c r="K629" s="82"/>
      <c r="L629" s="82"/>
      <c r="M629" s="82"/>
      <c r="V629" s="84"/>
    </row>
    <row r="630" ht="15.75" customHeight="1">
      <c r="A630" s="82"/>
      <c r="B630" s="82"/>
      <c r="C630" s="82"/>
      <c r="D630" s="82"/>
      <c r="E630" s="82"/>
      <c r="F630" s="83"/>
      <c r="G630" s="82"/>
      <c r="H630" s="82"/>
      <c r="I630" s="82"/>
      <c r="J630" s="82"/>
      <c r="K630" s="82"/>
      <c r="L630" s="82"/>
      <c r="M630" s="82"/>
      <c r="V630" s="84"/>
    </row>
    <row r="631" ht="15.75" customHeight="1">
      <c r="A631" s="82"/>
      <c r="B631" s="82"/>
      <c r="C631" s="82"/>
      <c r="D631" s="82"/>
      <c r="E631" s="82"/>
      <c r="F631" s="83"/>
      <c r="G631" s="82"/>
      <c r="H631" s="82"/>
      <c r="I631" s="82"/>
      <c r="J631" s="82"/>
      <c r="K631" s="82"/>
      <c r="L631" s="82"/>
      <c r="M631" s="82"/>
      <c r="V631" s="84"/>
    </row>
    <row r="632" ht="15.75" customHeight="1">
      <c r="A632" s="82"/>
      <c r="B632" s="82"/>
      <c r="C632" s="82"/>
      <c r="D632" s="82"/>
      <c r="E632" s="82"/>
      <c r="F632" s="83"/>
      <c r="G632" s="82"/>
      <c r="H632" s="82"/>
      <c r="I632" s="82"/>
      <c r="J632" s="82"/>
      <c r="K632" s="82"/>
      <c r="L632" s="82"/>
      <c r="M632" s="82"/>
      <c r="V632" s="84"/>
    </row>
    <row r="633" ht="15.75" customHeight="1">
      <c r="A633" s="82"/>
      <c r="B633" s="82"/>
      <c r="C633" s="82"/>
      <c r="D633" s="82"/>
      <c r="E633" s="82"/>
      <c r="F633" s="83"/>
      <c r="G633" s="82"/>
      <c r="H633" s="82"/>
      <c r="I633" s="82"/>
      <c r="J633" s="82"/>
      <c r="K633" s="82"/>
      <c r="L633" s="82"/>
      <c r="M633" s="82"/>
      <c r="V633" s="84"/>
    </row>
    <row r="634" ht="15.75" customHeight="1">
      <c r="A634" s="82"/>
      <c r="B634" s="82"/>
      <c r="C634" s="82"/>
      <c r="D634" s="82"/>
      <c r="E634" s="82"/>
      <c r="F634" s="83"/>
      <c r="G634" s="82"/>
      <c r="H634" s="82"/>
      <c r="I634" s="82"/>
      <c r="J634" s="82"/>
      <c r="K634" s="82"/>
      <c r="L634" s="82"/>
      <c r="M634" s="82"/>
      <c r="V634" s="84"/>
    </row>
    <row r="635" ht="15.75" customHeight="1">
      <c r="A635" s="82"/>
      <c r="B635" s="82"/>
      <c r="C635" s="82"/>
      <c r="D635" s="82"/>
      <c r="E635" s="82"/>
      <c r="F635" s="83"/>
      <c r="G635" s="82"/>
      <c r="H635" s="82"/>
      <c r="I635" s="82"/>
      <c r="J635" s="82"/>
      <c r="K635" s="82"/>
      <c r="L635" s="82"/>
      <c r="M635" s="82"/>
      <c r="V635" s="84"/>
    </row>
    <row r="636" ht="15.75" customHeight="1">
      <c r="A636" s="82"/>
      <c r="B636" s="82"/>
      <c r="C636" s="82"/>
      <c r="D636" s="82"/>
      <c r="E636" s="82"/>
      <c r="F636" s="83"/>
      <c r="G636" s="82"/>
      <c r="H636" s="82"/>
      <c r="I636" s="82"/>
      <c r="J636" s="82"/>
      <c r="K636" s="82"/>
      <c r="L636" s="82"/>
      <c r="M636" s="82"/>
      <c r="V636" s="84"/>
    </row>
    <row r="637" ht="15.75" customHeight="1">
      <c r="A637" s="82"/>
      <c r="B637" s="82"/>
      <c r="C637" s="82"/>
      <c r="D637" s="82"/>
      <c r="E637" s="82"/>
      <c r="F637" s="83"/>
      <c r="G637" s="82"/>
      <c r="H637" s="82"/>
      <c r="I637" s="82"/>
      <c r="J637" s="82"/>
      <c r="K637" s="82"/>
      <c r="L637" s="82"/>
      <c r="M637" s="82"/>
      <c r="V637" s="84"/>
    </row>
    <row r="638" ht="15.75" customHeight="1">
      <c r="A638" s="82"/>
      <c r="B638" s="82"/>
      <c r="C638" s="82"/>
      <c r="D638" s="82"/>
      <c r="E638" s="82"/>
      <c r="F638" s="83"/>
      <c r="G638" s="82"/>
      <c r="H638" s="82"/>
      <c r="I638" s="82"/>
      <c r="J638" s="82"/>
      <c r="K638" s="82"/>
      <c r="L638" s="82"/>
      <c r="M638" s="82"/>
      <c r="V638" s="84"/>
    </row>
    <row r="639" ht="15.75" customHeight="1">
      <c r="A639" s="82"/>
      <c r="B639" s="82"/>
      <c r="C639" s="82"/>
      <c r="D639" s="82"/>
      <c r="E639" s="82"/>
      <c r="F639" s="83"/>
      <c r="G639" s="82"/>
      <c r="H639" s="82"/>
      <c r="I639" s="82"/>
      <c r="J639" s="82"/>
      <c r="K639" s="82"/>
      <c r="L639" s="82"/>
      <c r="M639" s="82"/>
      <c r="V639" s="84"/>
    </row>
    <row r="640" ht="15.75" customHeight="1">
      <c r="A640" s="82"/>
      <c r="B640" s="82"/>
      <c r="C640" s="82"/>
      <c r="D640" s="82"/>
      <c r="E640" s="82"/>
      <c r="F640" s="83"/>
      <c r="G640" s="82"/>
      <c r="H640" s="82"/>
      <c r="I640" s="82"/>
      <c r="J640" s="82"/>
      <c r="K640" s="82"/>
      <c r="L640" s="82"/>
      <c r="M640" s="82"/>
      <c r="V640" s="84"/>
    </row>
    <row r="641" ht="15.75" customHeight="1">
      <c r="A641" s="82"/>
      <c r="B641" s="82"/>
      <c r="C641" s="82"/>
      <c r="D641" s="82"/>
      <c r="E641" s="82"/>
      <c r="F641" s="83"/>
      <c r="G641" s="82"/>
      <c r="H641" s="82"/>
      <c r="I641" s="82"/>
      <c r="J641" s="82"/>
      <c r="K641" s="82"/>
      <c r="L641" s="82"/>
      <c r="M641" s="82"/>
      <c r="V641" s="84"/>
    </row>
    <row r="642" ht="15.75" customHeight="1">
      <c r="A642" s="82"/>
      <c r="B642" s="82"/>
      <c r="C642" s="82"/>
      <c r="D642" s="82"/>
      <c r="E642" s="82"/>
      <c r="F642" s="83"/>
      <c r="G642" s="82"/>
      <c r="H642" s="82"/>
      <c r="I642" s="82"/>
      <c r="J642" s="82"/>
      <c r="K642" s="82"/>
      <c r="L642" s="82"/>
      <c r="M642" s="82"/>
      <c r="V642" s="84"/>
    </row>
    <row r="643" ht="15.75" customHeight="1">
      <c r="A643" s="82"/>
      <c r="B643" s="82"/>
      <c r="C643" s="82"/>
      <c r="D643" s="82"/>
      <c r="E643" s="82"/>
      <c r="F643" s="83"/>
      <c r="G643" s="82"/>
      <c r="H643" s="82"/>
      <c r="I643" s="82"/>
      <c r="J643" s="82"/>
      <c r="K643" s="82"/>
      <c r="L643" s="82"/>
      <c r="M643" s="82"/>
      <c r="V643" s="84"/>
    </row>
    <row r="644" ht="15.75" customHeight="1">
      <c r="A644" s="82"/>
      <c r="B644" s="82"/>
      <c r="C644" s="82"/>
      <c r="D644" s="82"/>
      <c r="E644" s="82"/>
      <c r="F644" s="83"/>
      <c r="G644" s="82"/>
      <c r="H644" s="82"/>
      <c r="I644" s="82"/>
      <c r="J644" s="82"/>
      <c r="K644" s="82"/>
      <c r="L644" s="82"/>
      <c r="M644" s="82"/>
      <c r="V644" s="84"/>
    </row>
    <row r="645" ht="15.75" customHeight="1">
      <c r="A645" s="82"/>
      <c r="B645" s="82"/>
      <c r="C645" s="82"/>
      <c r="D645" s="82"/>
      <c r="E645" s="82"/>
      <c r="F645" s="83"/>
      <c r="G645" s="82"/>
      <c r="H645" s="82"/>
      <c r="I645" s="82"/>
      <c r="J645" s="82"/>
      <c r="K645" s="82"/>
      <c r="L645" s="82"/>
      <c r="M645" s="82"/>
      <c r="V645" s="84"/>
    </row>
    <row r="646" ht="15.75" customHeight="1">
      <c r="A646" s="82"/>
      <c r="B646" s="82"/>
      <c r="C646" s="82"/>
      <c r="D646" s="82"/>
      <c r="E646" s="82"/>
      <c r="F646" s="83"/>
      <c r="G646" s="82"/>
      <c r="H646" s="82"/>
      <c r="I646" s="82"/>
      <c r="J646" s="82"/>
      <c r="K646" s="82"/>
      <c r="L646" s="82"/>
      <c r="M646" s="82"/>
      <c r="V646" s="84"/>
    </row>
    <row r="647" ht="15.75" customHeight="1">
      <c r="A647" s="82"/>
      <c r="B647" s="82"/>
      <c r="C647" s="82"/>
      <c r="D647" s="82"/>
      <c r="E647" s="82"/>
      <c r="F647" s="83"/>
      <c r="G647" s="82"/>
      <c r="H647" s="82"/>
      <c r="I647" s="82"/>
      <c r="J647" s="82"/>
      <c r="K647" s="82"/>
      <c r="L647" s="82"/>
      <c r="M647" s="82"/>
      <c r="V647" s="84"/>
    </row>
    <row r="648" ht="15.75" customHeight="1">
      <c r="A648" s="82"/>
      <c r="B648" s="82"/>
      <c r="C648" s="82"/>
      <c r="D648" s="82"/>
      <c r="E648" s="82"/>
      <c r="F648" s="83"/>
      <c r="G648" s="82"/>
      <c r="H648" s="82"/>
      <c r="I648" s="82"/>
      <c r="J648" s="82"/>
      <c r="K648" s="82"/>
      <c r="L648" s="82"/>
      <c r="M648" s="82"/>
      <c r="V648" s="84"/>
    </row>
    <row r="649" ht="15.75" customHeight="1">
      <c r="A649" s="82"/>
      <c r="B649" s="82"/>
      <c r="C649" s="82"/>
      <c r="D649" s="82"/>
      <c r="E649" s="82"/>
      <c r="F649" s="83"/>
      <c r="G649" s="82"/>
      <c r="H649" s="82"/>
      <c r="I649" s="82"/>
      <c r="J649" s="82"/>
      <c r="K649" s="82"/>
      <c r="L649" s="82"/>
      <c r="M649" s="82"/>
      <c r="V649" s="84"/>
    </row>
    <row r="650" ht="15.75" customHeight="1">
      <c r="A650" s="82"/>
      <c r="B650" s="82"/>
      <c r="C650" s="82"/>
      <c r="D650" s="82"/>
      <c r="E650" s="82"/>
      <c r="F650" s="83"/>
      <c r="G650" s="82"/>
      <c r="H650" s="82"/>
      <c r="I650" s="82"/>
      <c r="J650" s="82"/>
      <c r="K650" s="82"/>
      <c r="L650" s="82"/>
      <c r="M650" s="82"/>
      <c r="V650" s="84"/>
    </row>
    <row r="651" ht="15.75" customHeight="1">
      <c r="A651" s="82"/>
      <c r="B651" s="82"/>
      <c r="C651" s="82"/>
      <c r="D651" s="82"/>
      <c r="E651" s="82"/>
      <c r="F651" s="83"/>
      <c r="G651" s="82"/>
      <c r="H651" s="82"/>
      <c r="I651" s="82"/>
      <c r="J651" s="82"/>
      <c r="K651" s="82"/>
      <c r="L651" s="82"/>
      <c r="M651" s="82"/>
      <c r="V651" s="84"/>
    </row>
    <row r="652" ht="15.75" customHeight="1">
      <c r="A652" s="82"/>
      <c r="B652" s="82"/>
      <c r="C652" s="82"/>
      <c r="D652" s="82"/>
      <c r="E652" s="82"/>
      <c r="F652" s="83"/>
      <c r="G652" s="82"/>
      <c r="H652" s="82"/>
      <c r="I652" s="82"/>
      <c r="J652" s="82"/>
      <c r="K652" s="82"/>
      <c r="L652" s="82"/>
      <c r="M652" s="82"/>
      <c r="V652" s="84"/>
    </row>
    <row r="653" ht="15.75" customHeight="1">
      <c r="A653" s="82"/>
      <c r="B653" s="82"/>
      <c r="C653" s="82"/>
      <c r="D653" s="82"/>
      <c r="E653" s="82"/>
      <c r="F653" s="83"/>
      <c r="G653" s="82"/>
      <c r="H653" s="82"/>
      <c r="I653" s="82"/>
      <c r="J653" s="82"/>
      <c r="K653" s="82"/>
      <c r="L653" s="82"/>
      <c r="M653" s="82"/>
      <c r="V653" s="84"/>
    </row>
    <row r="654" ht="15.75" customHeight="1">
      <c r="A654" s="82"/>
      <c r="B654" s="82"/>
      <c r="C654" s="82"/>
      <c r="D654" s="82"/>
      <c r="E654" s="82"/>
      <c r="F654" s="83"/>
      <c r="G654" s="82"/>
      <c r="H654" s="82"/>
      <c r="I654" s="82"/>
      <c r="J654" s="82"/>
      <c r="K654" s="82"/>
      <c r="L654" s="82"/>
      <c r="M654" s="82"/>
      <c r="V654" s="84"/>
    </row>
    <row r="655" ht="15.75" customHeight="1">
      <c r="A655" s="82"/>
      <c r="B655" s="82"/>
      <c r="C655" s="82"/>
      <c r="D655" s="82"/>
      <c r="E655" s="82"/>
      <c r="F655" s="83"/>
      <c r="G655" s="82"/>
      <c r="H655" s="82"/>
      <c r="I655" s="82"/>
      <c r="J655" s="82"/>
      <c r="K655" s="82"/>
      <c r="L655" s="82"/>
      <c r="M655" s="82"/>
      <c r="V655" s="84"/>
    </row>
    <row r="656" ht="15.75" customHeight="1">
      <c r="A656" s="82"/>
      <c r="B656" s="82"/>
      <c r="C656" s="82"/>
      <c r="D656" s="82"/>
      <c r="E656" s="82"/>
      <c r="F656" s="83"/>
      <c r="G656" s="82"/>
      <c r="H656" s="82"/>
      <c r="I656" s="82"/>
      <c r="J656" s="82"/>
      <c r="K656" s="82"/>
      <c r="L656" s="82"/>
      <c r="M656" s="82"/>
      <c r="V656" s="84"/>
    </row>
    <row r="657" ht="15.75" customHeight="1">
      <c r="A657" s="82"/>
      <c r="B657" s="82"/>
      <c r="C657" s="82"/>
      <c r="D657" s="82"/>
      <c r="E657" s="82"/>
      <c r="F657" s="83"/>
      <c r="G657" s="82"/>
      <c r="H657" s="82"/>
      <c r="I657" s="82"/>
      <c r="J657" s="82"/>
      <c r="K657" s="82"/>
      <c r="L657" s="82"/>
      <c r="M657" s="82"/>
      <c r="V657" s="84"/>
    </row>
    <row r="658" ht="15.75" customHeight="1">
      <c r="A658" s="82"/>
      <c r="B658" s="82"/>
      <c r="C658" s="82"/>
      <c r="D658" s="82"/>
      <c r="E658" s="82"/>
      <c r="F658" s="83"/>
      <c r="G658" s="82"/>
      <c r="H658" s="82"/>
      <c r="I658" s="82"/>
      <c r="J658" s="82"/>
      <c r="K658" s="82"/>
      <c r="L658" s="82"/>
      <c r="M658" s="82"/>
      <c r="V658" s="84"/>
    </row>
    <row r="659" ht="15.75" customHeight="1">
      <c r="A659" s="82"/>
      <c r="B659" s="82"/>
      <c r="C659" s="82"/>
      <c r="D659" s="82"/>
      <c r="E659" s="82"/>
      <c r="F659" s="83"/>
      <c r="G659" s="82"/>
      <c r="H659" s="82"/>
      <c r="I659" s="82"/>
      <c r="J659" s="82"/>
      <c r="K659" s="82"/>
      <c r="L659" s="82"/>
      <c r="M659" s="82"/>
      <c r="V659" s="84"/>
    </row>
    <row r="660" ht="15.75" customHeight="1">
      <c r="A660" s="82"/>
      <c r="B660" s="82"/>
      <c r="C660" s="82"/>
      <c r="D660" s="82"/>
      <c r="E660" s="82"/>
      <c r="F660" s="83"/>
      <c r="G660" s="82"/>
      <c r="H660" s="82"/>
      <c r="I660" s="82"/>
      <c r="J660" s="82"/>
      <c r="K660" s="82"/>
      <c r="L660" s="82"/>
      <c r="M660" s="82"/>
      <c r="V660" s="84"/>
    </row>
    <row r="661" ht="15.75" customHeight="1">
      <c r="A661" s="82"/>
      <c r="B661" s="82"/>
      <c r="C661" s="82"/>
      <c r="D661" s="82"/>
      <c r="E661" s="82"/>
      <c r="F661" s="83"/>
      <c r="G661" s="82"/>
      <c r="H661" s="82"/>
      <c r="I661" s="82"/>
      <c r="J661" s="82"/>
      <c r="K661" s="82"/>
      <c r="L661" s="82"/>
      <c r="M661" s="82"/>
      <c r="V661" s="84"/>
    </row>
    <row r="662" ht="15.75" customHeight="1">
      <c r="A662" s="82"/>
      <c r="B662" s="82"/>
      <c r="C662" s="82"/>
      <c r="D662" s="82"/>
      <c r="E662" s="82"/>
      <c r="F662" s="83"/>
      <c r="G662" s="82"/>
      <c r="H662" s="82"/>
      <c r="I662" s="82"/>
      <c r="J662" s="82"/>
      <c r="K662" s="82"/>
      <c r="L662" s="82"/>
      <c r="M662" s="82"/>
      <c r="V662" s="84"/>
    </row>
    <row r="663" ht="15.75" customHeight="1">
      <c r="A663" s="82"/>
      <c r="B663" s="82"/>
      <c r="C663" s="82"/>
      <c r="D663" s="82"/>
      <c r="E663" s="82"/>
      <c r="F663" s="83"/>
      <c r="G663" s="82"/>
      <c r="H663" s="82"/>
      <c r="I663" s="82"/>
      <c r="J663" s="82"/>
      <c r="K663" s="82"/>
      <c r="L663" s="82"/>
      <c r="M663" s="82"/>
      <c r="V663" s="84"/>
    </row>
    <row r="664" ht="15.75" customHeight="1">
      <c r="A664" s="82"/>
      <c r="B664" s="82"/>
      <c r="C664" s="82"/>
      <c r="D664" s="82"/>
      <c r="E664" s="82"/>
      <c r="F664" s="83"/>
      <c r="G664" s="82"/>
      <c r="H664" s="82"/>
      <c r="I664" s="82"/>
      <c r="J664" s="82"/>
      <c r="K664" s="82"/>
      <c r="L664" s="82"/>
      <c r="M664" s="82"/>
      <c r="V664" s="84"/>
    </row>
    <row r="665" ht="15.75" customHeight="1">
      <c r="A665" s="82"/>
      <c r="B665" s="82"/>
      <c r="C665" s="82"/>
      <c r="D665" s="82"/>
      <c r="E665" s="82"/>
      <c r="F665" s="83"/>
      <c r="G665" s="82"/>
      <c r="H665" s="82"/>
      <c r="I665" s="82"/>
      <c r="J665" s="82"/>
      <c r="K665" s="82"/>
      <c r="L665" s="82"/>
      <c r="M665" s="82"/>
      <c r="V665" s="84"/>
    </row>
    <row r="666" ht="15.75" customHeight="1">
      <c r="A666" s="82"/>
      <c r="B666" s="82"/>
      <c r="C666" s="82"/>
      <c r="D666" s="82"/>
      <c r="E666" s="82"/>
      <c r="F666" s="83"/>
      <c r="G666" s="82"/>
      <c r="H666" s="82"/>
      <c r="I666" s="82"/>
      <c r="J666" s="82"/>
      <c r="K666" s="82"/>
      <c r="L666" s="82"/>
      <c r="M666" s="82"/>
      <c r="V666" s="84"/>
    </row>
    <row r="667" ht="15.75" customHeight="1">
      <c r="A667" s="82"/>
      <c r="B667" s="82"/>
      <c r="C667" s="82"/>
      <c r="D667" s="82"/>
      <c r="E667" s="82"/>
      <c r="F667" s="83"/>
      <c r="G667" s="82"/>
      <c r="H667" s="82"/>
      <c r="I667" s="82"/>
      <c r="J667" s="82"/>
      <c r="K667" s="82"/>
      <c r="L667" s="82"/>
      <c r="M667" s="82"/>
      <c r="V667" s="84"/>
    </row>
    <row r="668" ht="15.75" customHeight="1">
      <c r="A668" s="82"/>
      <c r="B668" s="82"/>
      <c r="C668" s="82"/>
      <c r="D668" s="82"/>
      <c r="E668" s="82"/>
      <c r="F668" s="83"/>
      <c r="G668" s="82"/>
      <c r="H668" s="82"/>
      <c r="I668" s="82"/>
      <c r="J668" s="82"/>
      <c r="K668" s="82"/>
      <c r="L668" s="82"/>
      <c r="M668" s="82"/>
      <c r="V668" s="84"/>
    </row>
    <row r="669" ht="15.75" customHeight="1">
      <c r="A669" s="82"/>
      <c r="B669" s="82"/>
      <c r="C669" s="82"/>
      <c r="D669" s="82"/>
      <c r="E669" s="82"/>
      <c r="F669" s="83"/>
      <c r="G669" s="82"/>
      <c r="H669" s="82"/>
      <c r="I669" s="82"/>
      <c r="J669" s="82"/>
      <c r="K669" s="82"/>
      <c r="L669" s="82"/>
      <c r="M669" s="82"/>
      <c r="V669" s="84"/>
    </row>
    <row r="670" ht="15.75" customHeight="1">
      <c r="A670" s="82"/>
      <c r="B670" s="82"/>
      <c r="C670" s="82"/>
      <c r="D670" s="82"/>
      <c r="E670" s="82"/>
      <c r="F670" s="83"/>
      <c r="G670" s="82"/>
      <c r="H670" s="82"/>
      <c r="I670" s="82"/>
      <c r="J670" s="82"/>
      <c r="K670" s="82"/>
      <c r="L670" s="82"/>
      <c r="M670" s="82"/>
      <c r="V670" s="84"/>
    </row>
    <row r="671" ht="15.75" customHeight="1">
      <c r="A671" s="82"/>
      <c r="B671" s="82"/>
      <c r="C671" s="82"/>
      <c r="D671" s="82"/>
      <c r="E671" s="82"/>
      <c r="F671" s="83"/>
      <c r="G671" s="82"/>
      <c r="H671" s="82"/>
      <c r="I671" s="82"/>
      <c r="J671" s="82"/>
      <c r="K671" s="82"/>
      <c r="L671" s="82"/>
      <c r="M671" s="82"/>
      <c r="V671" s="84"/>
    </row>
    <row r="672" ht="15.75" customHeight="1">
      <c r="A672" s="82"/>
      <c r="B672" s="82"/>
      <c r="C672" s="82"/>
      <c r="D672" s="82"/>
      <c r="E672" s="82"/>
      <c r="F672" s="83"/>
      <c r="G672" s="82"/>
      <c r="H672" s="82"/>
      <c r="I672" s="82"/>
      <c r="J672" s="82"/>
      <c r="K672" s="82"/>
      <c r="L672" s="82"/>
      <c r="M672" s="82"/>
      <c r="V672" s="84"/>
    </row>
    <row r="673" ht="15.75" customHeight="1">
      <c r="A673" s="82"/>
      <c r="B673" s="82"/>
      <c r="C673" s="82"/>
      <c r="D673" s="82"/>
      <c r="E673" s="82"/>
      <c r="F673" s="83"/>
      <c r="G673" s="82"/>
      <c r="H673" s="82"/>
      <c r="I673" s="82"/>
      <c r="J673" s="82"/>
      <c r="K673" s="82"/>
      <c r="L673" s="82"/>
      <c r="M673" s="82"/>
      <c r="V673" s="84"/>
    </row>
    <row r="674" ht="15.75" customHeight="1">
      <c r="A674" s="82"/>
      <c r="B674" s="82"/>
      <c r="C674" s="82"/>
      <c r="D674" s="82"/>
      <c r="E674" s="82"/>
      <c r="F674" s="83"/>
      <c r="G674" s="82"/>
      <c r="H674" s="82"/>
      <c r="I674" s="82"/>
      <c r="J674" s="82"/>
      <c r="K674" s="82"/>
      <c r="L674" s="82"/>
      <c r="M674" s="82"/>
      <c r="V674" s="84"/>
    </row>
    <row r="675" ht="15.75" customHeight="1">
      <c r="A675" s="82"/>
      <c r="B675" s="82"/>
      <c r="C675" s="82"/>
      <c r="D675" s="82"/>
      <c r="E675" s="82"/>
      <c r="F675" s="83"/>
      <c r="G675" s="82"/>
      <c r="H675" s="82"/>
      <c r="I675" s="82"/>
      <c r="J675" s="82"/>
      <c r="K675" s="82"/>
      <c r="L675" s="82"/>
      <c r="M675" s="82"/>
      <c r="V675" s="84"/>
    </row>
    <row r="676" ht="15.75" customHeight="1">
      <c r="A676" s="82"/>
      <c r="B676" s="82"/>
      <c r="C676" s="82"/>
      <c r="D676" s="82"/>
      <c r="E676" s="82"/>
      <c r="F676" s="83"/>
      <c r="G676" s="82"/>
      <c r="H676" s="82"/>
      <c r="I676" s="82"/>
      <c r="J676" s="82"/>
      <c r="K676" s="82"/>
      <c r="L676" s="82"/>
      <c r="M676" s="82"/>
      <c r="V676" s="84"/>
    </row>
    <row r="677" ht="15.75" customHeight="1">
      <c r="A677" s="82"/>
      <c r="B677" s="82"/>
      <c r="C677" s="82"/>
      <c r="D677" s="82"/>
      <c r="E677" s="82"/>
      <c r="F677" s="83"/>
      <c r="G677" s="82"/>
      <c r="H677" s="82"/>
      <c r="I677" s="82"/>
      <c r="J677" s="82"/>
      <c r="K677" s="82"/>
      <c r="L677" s="82"/>
      <c r="M677" s="82"/>
      <c r="V677" s="84"/>
    </row>
    <row r="678" ht="15.75" customHeight="1">
      <c r="A678" s="82"/>
      <c r="B678" s="82"/>
      <c r="C678" s="82"/>
      <c r="D678" s="82"/>
      <c r="E678" s="82"/>
      <c r="F678" s="83"/>
      <c r="G678" s="82"/>
      <c r="H678" s="82"/>
      <c r="I678" s="82"/>
      <c r="J678" s="82"/>
      <c r="K678" s="82"/>
      <c r="L678" s="82"/>
      <c r="M678" s="82"/>
      <c r="V678" s="84"/>
    </row>
    <row r="679" ht="15.75" customHeight="1">
      <c r="A679" s="82"/>
      <c r="B679" s="82"/>
      <c r="C679" s="82"/>
      <c r="D679" s="82"/>
      <c r="E679" s="82"/>
      <c r="F679" s="83"/>
      <c r="G679" s="82"/>
      <c r="H679" s="82"/>
      <c r="I679" s="82"/>
      <c r="J679" s="82"/>
      <c r="K679" s="82"/>
      <c r="L679" s="82"/>
      <c r="M679" s="82"/>
      <c r="V679" s="84"/>
    </row>
    <row r="680" ht="15.75" customHeight="1">
      <c r="A680" s="82"/>
      <c r="B680" s="82"/>
      <c r="C680" s="82"/>
      <c r="D680" s="82"/>
      <c r="E680" s="82"/>
      <c r="F680" s="83"/>
      <c r="G680" s="82"/>
      <c r="H680" s="82"/>
      <c r="I680" s="82"/>
      <c r="J680" s="82"/>
      <c r="K680" s="82"/>
      <c r="L680" s="82"/>
      <c r="M680" s="82"/>
      <c r="V680" s="84"/>
    </row>
    <row r="681" ht="15.75" customHeight="1">
      <c r="A681" s="82"/>
      <c r="B681" s="82"/>
      <c r="C681" s="82"/>
      <c r="D681" s="82"/>
      <c r="E681" s="82"/>
      <c r="F681" s="83"/>
      <c r="G681" s="82"/>
      <c r="H681" s="82"/>
      <c r="I681" s="82"/>
      <c r="J681" s="82"/>
      <c r="K681" s="82"/>
      <c r="L681" s="82"/>
      <c r="M681" s="82"/>
      <c r="V681" s="84"/>
    </row>
    <row r="682" ht="15.75" customHeight="1">
      <c r="A682" s="82"/>
      <c r="B682" s="82"/>
      <c r="C682" s="82"/>
      <c r="D682" s="82"/>
      <c r="E682" s="82"/>
      <c r="F682" s="83"/>
      <c r="G682" s="82"/>
      <c r="H682" s="82"/>
      <c r="I682" s="82"/>
      <c r="J682" s="82"/>
      <c r="K682" s="82"/>
      <c r="L682" s="82"/>
      <c r="M682" s="82"/>
      <c r="V682" s="84"/>
    </row>
    <row r="683" ht="15.75" customHeight="1">
      <c r="A683" s="82"/>
      <c r="B683" s="82"/>
      <c r="C683" s="82"/>
      <c r="D683" s="82"/>
      <c r="E683" s="82"/>
      <c r="F683" s="83"/>
      <c r="G683" s="82"/>
      <c r="H683" s="82"/>
      <c r="I683" s="82"/>
      <c r="J683" s="82"/>
      <c r="K683" s="82"/>
      <c r="L683" s="82"/>
      <c r="M683" s="82"/>
      <c r="V683" s="84"/>
    </row>
    <row r="684" ht="15.75" customHeight="1">
      <c r="A684" s="82"/>
      <c r="B684" s="82"/>
      <c r="C684" s="82"/>
      <c r="D684" s="82"/>
      <c r="E684" s="82"/>
      <c r="F684" s="83"/>
      <c r="G684" s="82"/>
      <c r="H684" s="82"/>
      <c r="I684" s="82"/>
      <c r="J684" s="82"/>
      <c r="K684" s="82"/>
      <c r="L684" s="82"/>
      <c r="M684" s="82"/>
      <c r="V684" s="84"/>
    </row>
    <row r="685" ht="15.75" customHeight="1">
      <c r="A685" s="82"/>
      <c r="B685" s="82"/>
      <c r="C685" s="82"/>
      <c r="D685" s="82"/>
      <c r="E685" s="82"/>
      <c r="F685" s="83"/>
      <c r="G685" s="82"/>
      <c r="H685" s="82"/>
      <c r="I685" s="82"/>
      <c r="J685" s="82"/>
      <c r="K685" s="82"/>
      <c r="L685" s="82"/>
      <c r="M685" s="82"/>
      <c r="V685" s="84"/>
    </row>
    <row r="686" ht="15.75" customHeight="1">
      <c r="A686" s="82"/>
      <c r="B686" s="82"/>
      <c r="C686" s="82"/>
      <c r="D686" s="82"/>
      <c r="E686" s="82"/>
      <c r="F686" s="83"/>
      <c r="G686" s="82"/>
      <c r="H686" s="82"/>
      <c r="I686" s="82"/>
      <c r="J686" s="82"/>
      <c r="K686" s="82"/>
      <c r="L686" s="82"/>
      <c r="M686" s="82"/>
      <c r="V686" s="84"/>
    </row>
    <row r="687" ht="15.75" customHeight="1">
      <c r="A687" s="82"/>
      <c r="B687" s="82"/>
      <c r="C687" s="82"/>
      <c r="D687" s="82"/>
      <c r="E687" s="82"/>
      <c r="F687" s="83"/>
      <c r="G687" s="82"/>
      <c r="H687" s="82"/>
      <c r="I687" s="82"/>
      <c r="J687" s="82"/>
      <c r="K687" s="82"/>
      <c r="L687" s="82"/>
      <c r="M687" s="82"/>
      <c r="V687" s="84"/>
    </row>
    <row r="688" ht="15.75" customHeight="1">
      <c r="A688" s="82"/>
      <c r="B688" s="82"/>
      <c r="C688" s="82"/>
      <c r="D688" s="82"/>
      <c r="E688" s="82"/>
      <c r="F688" s="83"/>
      <c r="G688" s="82"/>
      <c r="H688" s="82"/>
      <c r="I688" s="82"/>
      <c r="J688" s="82"/>
      <c r="K688" s="82"/>
      <c r="L688" s="82"/>
      <c r="M688" s="82"/>
      <c r="V688" s="84"/>
    </row>
    <row r="689" ht="15.75" customHeight="1">
      <c r="A689" s="82"/>
      <c r="B689" s="82"/>
      <c r="C689" s="82"/>
      <c r="D689" s="82"/>
      <c r="E689" s="82"/>
      <c r="F689" s="83"/>
      <c r="G689" s="82"/>
      <c r="H689" s="82"/>
      <c r="I689" s="82"/>
      <c r="J689" s="82"/>
      <c r="K689" s="82"/>
      <c r="L689" s="82"/>
      <c r="M689" s="82"/>
      <c r="V689" s="84"/>
    </row>
    <row r="690" ht="15.75" customHeight="1">
      <c r="A690" s="82"/>
      <c r="B690" s="82"/>
      <c r="C690" s="82"/>
      <c r="D690" s="82"/>
      <c r="E690" s="82"/>
      <c r="F690" s="83"/>
      <c r="G690" s="82"/>
      <c r="H690" s="82"/>
      <c r="I690" s="82"/>
      <c r="J690" s="82"/>
      <c r="K690" s="82"/>
      <c r="L690" s="82"/>
      <c r="M690" s="82"/>
      <c r="V690" s="84"/>
    </row>
    <row r="691" ht="15.75" customHeight="1">
      <c r="A691" s="82"/>
      <c r="B691" s="82"/>
      <c r="C691" s="82"/>
      <c r="D691" s="82"/>
      <c r="E691" s="82"/>
      <c r="F691" s="83"/>
      <c r="G691" s="82"/>
      <c r="H691" s="82"/>
      <c r="I691" s="82"/>
      <c r="J691" s="82"/>
      <c r="K691" s="82"/>
      <c r="L691" s="82"/>
      <c r="M691" s="82"/>
      <c r="V691" s="84"/>
    </row>
    <row r="692" ht="15.75" customHeight="1">
      <c r="A692" s="82"/>
      <c r="B692" s="82"/>
      <c r="C692" s="82"/>
      <c r="D692" s="82"/>
      <c r="E692" s="82"/>
      <c r="F692" s="83"/>
      <c r="G692" s="82"/>
      <c r="H692" s="82"/>
      <c r="I692" s="82"/>
      <c r="J692" s="82"/>
      <c r="K692" s="82"/>
      <c r="L692" s="82"/>
      <c r="M692" s="82"/>
      <c r="V692" s="84"/>
    </row>
    <row r="693" ht="15.75" customHeight="1">
      <c r="A693" s="82"/>
      <c r="B693" s="82"/>
      <c r="C693" s="82"/>
      <c r="D693" s="82"/>
      <c r="E693" s="82"/>
      <c r="F693" s="83"/>
      <c r="G693" s="82"/>
      <c r="H693" s="82"/>
      <c r="I693" s="82"/>
      <c r="J693" s="82"/>
      <c r="K693" s="82"/>
      <c r="L693" s="82"/>
      <c r="M693" s="82"/>
      <c r="V693" s="84"/>
    </row>
    <row r="694" ht="15.75" customHeight="1">
      <c r="A694" s="82"/>
      <c r="B694" s="82"/>
      <c r="C694" s="82"/>
      <c r="D694" s="82"/>
      <c r="E694" s="82"/>
      <c r="F694" s="83"/>
      <c r="G694" s="82"/>
      <c r="H694" s="82"/>
      <c r="I694" s="82"/>
      <c r="J694" s="82"/>
      <c r="K694" s="82"/>
      <c r="L694" s="82"/>
      <c r="M694" s="82"/>
      <c r="V694" s="84"/>
    </row>
    <row r="695" ht="15.75" customHeight="1">
      <c r="A695" s="82"/>
      <c r="B695" s="82"/>
      <c r="C695" s="82"/>
      <c r="D695" s="82"/>
      <c r="E695" s="82"/>
      <c r="F695" s="83"/>
      <c r="G695" s="82"/>
      <c r="H695" s="82"/>
      <c r="I695" s="82"/>
      <c r="J695" s="82"/>
      <c r="K695" s="82"/>
      <c r="L695" s="82"/>
      <c r="M695" s="82"/>
      <c r="V695" s="84"/>
    </row>
    <row r="696" ht="15.75" customHeight="1">
      <c r="A696" s="82"/>
      <c r="B696" s="82"/>
      <c r="C696" s="82"/>
      <c r="D696" s="82"/>
      <c r="E696" s="82"/>
      <c r="F696" s="83"/>
      <c r="G696" s="82"/>
      <c r="H696" s="82"/>
      <c r="I696" s="82"/>
      <c r="J696" s="82"/>
      <c r="K696" s="82"/>
      <c r="L696" s="82"/>
      <c r="M696" s="82"/>
      <c r="V696" s="84"/>
    </row>
    <row r="697" ht="15.75" customHeight="1">
      <c r="A697" s="82"/>
      <c r="B697" s="82"/>
      <c r="C697" s="82"/>
      <c r="D697" s="82"/>
      <c r="E697" s="82"/>
      <c r="F697" s="83"/>
      <c r="G697" s="82"/>
      <c r="H697" s="82"/>
      <c r="I697" s="82"/>
      <c r="J697" s="82"/>
      <c r="K697" s="82"/>
      <c r="L697" s="82"/>
      <c r="M697" s="82"/>
      <c r="V697" s="84"/>
    </row>
    <row r="698" ht="15.75" customHeight="1">
      <c r="A698" s="82"/>
      <c r="B698" s="82"/>
      <c r="C698" s="82"/>
      <c r="D698" s="82"/>
      <c r="E698" s="82"/>
      <c r="F698" s="83"/>
      <c r="G698" s="82"/>
      <c r="H698" s="82"/>
      <c r="I698" s="82"/>
      <c r="J698" s="82"/>
      <c r="K698" s="82"/>
      <c r="L698" s="82"/>
      <c r="M698" s="82"/>
      <c r="V698" s="84"/>
    </row>
    <row r="699" ht="15.75" customHeight="1">
      <c r="A699" s="82"/>
      <c r="B699" s="82"/>
      <c r="C699" s="82"/>
      <c r="D699" s="82"/>
      <c r="E699" s="82"/>
      <c r="F699" s="83"/>
      <c r="G699" s="82"/>
      <c r="H699" s="82"/>
      <c r="I699" s="82"/>
      <c r="J699" s="82"/>
      <c r="K699" s="82"/>
      <c r="L699" s="82"/>
      <c r="M699" s="82"/>
      <c r="V699" s="84"/>
    </row>
    <row r="700" ht="15.75" customHeight="1">
      <c r="A700" s="82"/>
      <c r="B700" s="82"/>
      <c r="C700" s="82"/>
      <c r="D700" s="82"/>
      <c r="E700" s="82"/>
      <c r="F700" s="83"/>
      <c r="G700" s="82"/>
      <c r="H700" s="82"/>
      <c r="I700" s="82"/>
      <c r="J700" s="82"/>
      <c r="K700" s="82"/>
      <c r="L700" s="82"/>
      <c r="M700" s="82"/>
      <c r="V700" s="84"/>
    </row>
    <row r="701" ht="15.75" customHeight="1">
      <c r="A701" s="82"/>
      <c r="B701" s="82"/>
      <c r="C701" s="82"/>
      <c r="D701" s="82"/>
      <c r="E701" s="82"/>
      <c r="F701" s="83"/>
      <c r="G701" s="82"/>
      <c r="H701" s="82"/>
      <c r="I701" s="82"/>
      <c r="J701" s="82"/>
      <c r="K701" s="82"/>
      <c r="L701" s="82"/>
      <c r="M701" s="82"/>
      <c r="V701" s="84"/>
    </row>
    <row r="702" ht="15.75" customHeight="1">
      <c r="A702" s="82"/>
      <c r="B702" s="82"/>
      <c r="C702" s="82"/>
      <c r="D702" s="82"/>
      <c r="E702" s="82"/>
      <c r="F702" s="83"/>
      <c r="G702" s="82"/>
      <c r="H702" s="82"/>
      <c r="I702" s="82"/>
      <c r="J702" s="82"/>
      <c r="K702" s="82"/>
      <c r="L702" s="82"/>
      <c r="M702" s="82"/>
      <c r="V702" s="84"/>
    </row>
    <row r="703" ht="15.75" customHeight="1">
      <c r="A703" s="82"/>
      <c r="B703" s="82"/>
      <c r="C703" s="82"/>
      <c r="D703" s="82"/>
      <c r="E703" s="82"/>
      <c r="F703" s="83"/>
      <c r="G703" s="82"/>
      <c r="H703" s="82"/>
      <c r="I703" s="82"/>
      <c r="J703" s="82"/>
      <c r="K703" s="82"/>
      <c r="L703" s="82"/>
      <c r="M703" s="82"/>
      <c r="V703" s="84"/>
    </row>
    <row r="704" ht="15.75" customHeight="1">
      <c r="A704" s="82"/>
      <c r="B704" s="82"/>
      <c r="C704" s="82"/>
      <c r="D704" s="82"/>
      <c r="E704" s="82"/>
      <c r="F704" s="83"/>
      <c r="G704" s="82"/>
      <c r="H704" s="82"/>
      <c r="I704" s="82"/>
      <c r="J704" s="82"/>
      <c r="K704" s="82"/>
      <c r="L704" s="82"/>
      <c r="M704" s="82"/>
      <c r="V704" s="84"/>
    </row>
    <row r="705" ht="15.75" customHeight="1">
      <c r="A705" s="82"/>
      <c r="B705" s="82"/>
      <c r="C705" s="82"/>
      <c r="D705" s="82"/>
      <c r="E705" s="82"/>
      <c r="F705" s="83"/>
      <c r="G705" s="82"/>
      <c r="H705" s="82"/>
      <c r="I705" s="82"/>
      <c r="J705" s="82"/>
      <c r="K705" s="82"/>
      <c r="L705" s="82"/>
      <c r="M705" s="82"/>
      <c r="V705" s="84"/>
    </row>
    <row r="706" ht="15.75" customHeight="1">
      <c r="A706" s="82"/>
      <c r="B706" s="82"/>
      <c r="C706" s="82"/>
      <c r="D706" s="82"/>
      <c r="E706" s="82"/>
      <c r="F706" s="83"/>
      <c r="G706" s="82"/>
      <c r="H706" s="82"/>
      <c r="I706" s="82"/>
      <c r="J706" s="82"/>
      <c r="K706" s="82"/>
      <c r="L706" s="82"/>
      <c r="M706" s="82"/>
      <c r="V706" s="84"/>
    </row>
    <row r="707" ht="15.75" customHeight="1">
      <c r="A707" s="82"/>
      <c r="B707" s="82"/>
      <c r="C707" s="82"/>
      <c r="D707" s="82"/>
      <c r="E707" s="82"/>
      <c r="F707" s="83"/>
      <c r="G707" s="82"/>
      <c r="H707" s="82"/>
      <c r="I707" s="82"/>
      <c r="J707" s="82"/>
      <c r="K707" s="82"/>
      <c r="L707" s="82"/>
      <c r="M707" s="82"/>
      <c r="V707" s="84"/>
    </row>
    <row r="708" ht="15.75" customHeight="1">
      <c r="A708" s="82"/>
      <c r="B708" s="82"/>
      <c r="C708" s="82"/>
      <c r="D708" s="82"/>
      <c r="E708" s="82"/>
      <c r="F708" s="83"/>
      <c r="G708" s="82"/>
      <c r="H708" s="82"/>
      <c r="I708" s="82"/>
      <c r="J708" s="82"/>
      <c r="K708" s="82"/>
      <c r="L708" s="82"/>
      <c r="M708" s="82"/>
      <c r="V708" s="84"/>
    </row>
    <row r="709" ht="15.75" customHeight="1">
      <c r="A709" s="82"/>
      <c r="B709" s="82"/>
      <c r="C709" s="82"/>
      <c r="D709" s="82"/>
      <c r="E709" s="82"/>
      <c r="F709" s="83"/>
      <c r="G709" s="82"/>
      <c r="H709" s="82"/>
      <c r="I709" s="82"/>
      <c r="J709" s="82"/>
      <c r="K709" s="82"/>
      <c r="L709" s="82"/>
      <c r="M709" s="82"/>
      <c r="V709" s="84"/>
    </row>
    <row r="710" ht="15.75" customHeight="1">
      <c r="A710" s="82"/>
      <c r="B710" s="82"/>
      <c r="C710" s="82"/>
      <c r="D710" s="82"/>
      <c r="E710" s="82"/>
      <c r="F710" s="83"/>
      <c r="G710" s="82"/>
      <c r="H710" s="82"/>
      <c r="I710" s="82"/>
      <c r="J710" s="82"/>
      <c r="K710" s="82"/>
      <c r="L710" s="82"/>
      <c r="M710" s="82"/>
      <c r="V710" s="84"/>
    </row>
    <row r="711" ht="15.75" customHeight="1">
      <c r="A711" s="82"/>
      <c r="B711" s="82"/>
      <c r="C711" s="82"/>
      <c r="D711" s="82"/>
      <c r="E711" s="82"/>
      <c r="F711" s="83"/>
      <c r="G711" s="82"/>
      <c r="H711" s="82"/>
      <c r="I711" s="82"/>
      <c r="J711" s="82"/>
      <c r="K711" s="82"/>
      <c r="L711" s="82"/>
      <c r="M711" s="82"/>
      <c r="V711" s="84"/>
    </row>
    <row r="712" ht="15.75" customHeight="1">
      <c r="A712" s="82"/>
      <c r="B712" s="82"/>
      <c r="C712" s="82"/>
      <c r="D712" s="82"/>
      <c r="E712" s="82"/>
      <c r="F712" s="83"/>
      <c r="G712" s="82"/>
      <c r="H712" s="82"/>
      <c r="I712" s="82"/>
      <c r="J712" s="82"/>
      <c r="K712" s="82"/>
      <c r="L712" s="82"/>
      <c r="M712" s="82"/>
      <c r="V712" s="84"/>
    </row>
    <row r="713" ht="15.75" customHeight="1">
      <c r="A713" s="82"/>
      <c r="B713" s="82"/>
      <c r="C713" s="82"/>
      <c r="D713" s="82"/>
      <c r="E713" s="82"/>
      <c r="F713" s="83"/>
      <c r="G713" s="82"/>
      <c r="H713" s="82"/>
      <c r="I713" s="82"/>
      <c r="J713" s="82"/>
      <c r="K713" s="82"/>
      <c r="L713" s="82"/>
      <c r="M713" s="82"/>
      <c r="V713" s="84"/>
    </row>
    <row r="714" ht="15.75" customHeight="1">
      <c r="A714" s="82"/>
      <c r="B714" s="82"/>
      <c r="C714" s="82"/>
      <c r="D714" s="82"/>
      <c r="E714" s="82"/>
      <c r="F714" s="83"/>
      <c r="G714" s="82"/>
      <c r="H714" s="82"/>
      <c r="I714" s="82"/>
      <c r="J714" s="82"/>
      <c r="K714" s="82"/>
      <c r="L714" s="82"/>
      <c r="M714" s="82"/>
      <c r="V714" s="84"/>
    </row>
    <row r="715" ht="15.75" customHeight="1">
      <c r="A715" s="82"/>
      <c r="B715" s="82"/>
      <c r="C715" s="82"/>
      <c r="D715" s="82"/>
      <c r="E715" s="82"/>
      <c r="F715" s="83"/>
      <c r="G715" s="82"/>
      <c r="H715" s="82"/>
      <c r="I715" s="82"/>
      <c r="J715" s="82"/>
      <c r="K715" s="82"/>
      <c r="L715" s="82"/>
      <c r="M715" s="82"/>
      <c r="V715" s="84"/>
    </row>
    <row r="716" ht="15.75" customHeight="1">
      <c r="A716" s="82"/>
      <c r="B716" s="82"/>
      <c r="C716" s="82"/>
      <c r="D716" s="82"/>
      <c r="E716" s="82"/>
      <c r="F716" s="83"/>
      <c r="G716" s="82"/>
      <c r="H716" s="82"/>
      <c r="I716" s="82"/>
      <c r="J716" s="82"/>
      <c r="K716" s="82"/>
      <c r="L716" s="82"/>
      <c r="M716" s="82"/>
      <c r="V716" s="84"/>
    </row>
    <row r="717" ht="15.75" customHeight="1">
      <c r="A717" s="82"/>
      <c r="B717" s="82"/>
      <c r="C717" s="82"/>
      <c r="D717" s="82"/>
      <c r="E717" s="82"/>
      <c r="F717" s="83"/>
      <c r="G717" s="82"/>
      <c r="H717" s="82"/>
      <c r="I717" s="82"/>
      <c r="J717" s="82"/>
      <c r="K717" s="82"/>
      <c r="L717" s="82"/>
      <c r="M717" s="82"/>
      <c r="V717" s="84"/>
    </row>
    <row r="718" ht="15.75" customHeight="1">
      <c r="A718" s="82"/>
      <c r="B718" s="82"/>
      <c r="C718" s="82"/>
      <c r="D718" s="82"/>
      <c r="E718" s="82"/>
      <c r="F718" s="83"/>
      <c r="G718" s="82"/>
      <c r="H718" s="82"/>
      <c r="I718" s="82"/>
      <c r="J718" s="82"/>
      <c r="K718" s="82"/>
      <c r="L718" s="82"/>
      <c r="M718" s="82"/>
      <c r="V718" s="84"/>
    </row>
    <row r="719" ht="15.75" customHeight="1">
      <c r="A719" s="82"/>
      <c r="B719" s="82"/>
      <c r="C719" s="82"/>
      <c r="D719" s="82"/>
      <c r="E719" s="82"/>
      <c r="F719" s="83"/>
      <c r="G719" s="82"/>
      <c r="H719" s="82"/>
      <c r="I719" s="82"/>
      <c r="J719" s="82"/>
      <c r="K719" s="82"/>
      <c r="L719" s="82"/>
      <c r="M719" s="82"/>
      <c r="V719" s="84"/>
    </row>
    <row r="720" ht="15.75" customHeight="1">
      <c r="A720" s="82"/>
      <c r="B720" s="82"/>
      <c r="C720" s="82"/>
      <c r="D720" s="82"/>
      <c r="E720" s="82"/>
      <c r="F720" s="83"/>
      <c r="G720" s="82"/>
      <c r="H720" s="82"/>
      <c r="I720" s="82"/>
      <c r="J720" s="82"/>
      <c r="K720" s="82"/>
      <c r="L720" s="82"/>
      <c r="M720" s="82"/>
      <c r="V720" s="84"/>
    </row>
    <row r="721" ht="15.75" customHeight="1">
      <c r="A721" s="82"/>
      <c r="B721" s="82"/>
      <c r="C721" s="82"/>
      <c r="D721" s="82"/>
      <c r="E721" s="82"/>
      <c r="F721" s="83"/>
      <c r="G721" s="82"/>
      <c r="H721" s="82"/>
      <c r="I721" s="82"/>
      <c r="J721" s="82"/>
      <c r="K721" s="82"/>
      <c r="L721" s="82"/>
      <c r="M721" s="82"/>
      <c r="V721" s="84"/>
    </row>
    <row r="722" ht="15.75" customHeight="1">
      <c r="A722" s="82"/>
      <c r="B722" s="82"/>
      <c r="C722" s="82"/>
      <c r="D722" s="82"/>
      <c r="E722" s="82"/>
      <c r="F722" s="83"/>
      <c r="G722" s="82"/>
      <c r="H722" s="82"/>
      <c r="I722" s="82"/>
      <c r="J722" s="82"/>
      <c r="K722" s="82"/>
      <c r="L722" s="82"/>
      <c r="M722" s="82"/>
      <c r="V722" s="84"/>
    </row>
    <row r="723" ht="15.75" customHeight="1">
      <c r="A723" s="82"/>
      <c r="B723" s="82"/>
      <c r="C723" s="82"/>
      <c r="D723" s="82"/>
      <c r="E723" s="82"/>
      <c r="F723" s="83"/>
      <c r="G723" s="82"/>
      <c r="H723" s="82"/>
      <c r="I723" s="82"/>
      <c r="J723" s="82"/>
      <c r="K723" s="82"/>
      <c r="L723" s="82"/>
      <c r="M723" s="82"/>
      <c r="V723" s="84"/>
    </row>
    <row r="724" ht="15.75" customHeight="1">
      <c r="A724" s="82"/>
      <c r="B724" s="82"/>
      <c r="C724" s="82"/>
      <c r="D724" s="82"/>
      <c r="E724" s="82"/>
      <c r="F724" s="83"/>
      <c r="G724" s="82"/>
      <c r="H724" s="82"/>
      <c r="I724" s="82"/>
      <c r="J724" s="82"/>
      <c r="K724" s="82"/>
      <c r="L724" s="82"/>
      <c r="M724" s="82"/>
      <c r="V724" s="84"/>
    </row>
    <row r="725" ht="15.75" customHeight="1">
      <c r="A725" s="82"/>
      <c r="B725" s="82"/>
      <c r="C725" s="82"/>
      <c r="D725" s="82"/>
      <c r="E725" s="82"/>
      <c r="F725" s="83"/>
      <c r="G725" s="82"/>
      <c r="H725" s="82"/>
      <c r="I725" s="82"/>
      <c r="J725" s="82"/>
      <c r="K725" s="82"/>
      <c r="L725" s="82"/>
      <c r="M725" s="82"/>
      <c r="V725" s="84"/>
    </row>
    <row r="726" ht="15.75" customHeight="1">
      <c r="A726" s="82"/>
      <c r="B726" s="82"/>
      <c r="C726" s="82"/>
      <c r="D726" s="82"/>
      <c r="E726" s="82"/>
      <c r="F726" s="83"/>
      <c r="G726" s="82"/>
      <c r="H726" s="82"/>
      <c r="I726" s="82"/>
      <c r="J726" s="82"/>
      <c r="K726" s="82"/>
      <c r="L726" s="82"/>
      <c r="M726" s="82"/>
      <c r="V726" s="84"/>
    </row>
    <row r="727" ht="15.75" customHeight="1">
      <c r="A727" s="82"/>
      <c r="B727" s="82"/>
      <c r="C727" s="82"/>
      <c r="D727" s="82"/>
      <c r="E727" s="82"/>
      <c r="F727" s="83"/>
      <c r="G727" s="82"/>
      <c r="H727" s="82"/>
      <c r="I727" s="82"/>
      <c r="J727" s="82"/>
      <c r="K727" s="82"/>
      <c r="L727" s="82"/>
      <c r="M727" s="82"/>
      <c r="V727" s="84"/>
    </row>
    <row r="728" ht="15.75" customHeight="1">
      <c r="A728" s="82"/>
      <c r="B728" s="82"/>
      <c r="C728" s="82"/>
      <c r="D728" s="82"/>
      <c r="E728" s="82"/>
      <c r="F728" s="83"/>
      <c r="G728" s="82"/>
      <c r="H728" s="82"/>
      <c r="I728" s="82"/>
      <c r="J728" s="82"/>
      <c r="K728" s="82"/>
      <c r="L728" s="82"/>
      <c r="M728" s="82"/>
      <c r="V728" s="84"/>
    </row>
    <row r="729" ht="15.75" customHeight="1">
      <c r="A729" s="82"/>
      <c r="B729" s="82"/>
      <c r="C729" s="82"/>
      <c r="D729" s="82"/>
      <c r="E729" s="82"/>
      <c r="F729" s="83"/>
      <c r="G729" s="82"/>
      <c r="H729" s="82"/>
      <c r="I729" s="82"/>
      <c r="J729" s="82"/>
      <c r="K729" s="82"/>
      <c r="L729" s="82"/>
      <c r="M729" s="82"/>
      <c r="V729" s="84"/>
    </row>
  </sheetData>
  <conditionalFormatting sqref="N516:N521">
    <cfRule type="cellIs" dxfId="0" priority="1" operator="equal">
      <formula>"NORMAL / SIN OFERTA"</formula>
    </cfRule>
  </conditionalFormatting>
  <conditionalFormatting sqref="N516:N521">
    <cfRule type="cellIs" dxfId="1" priority="2" operator="equal">
      <formula>"SIN STOCK / CARGAR PRECIO"</formula>
    </cfRule>
  </conditionalFormatting>
  <conditionalFormatting sqref="F516">
    <cfRule type="expression" dxfId="2" priority="3">
      <formula>$F516=1</formula>
    </cfRule>
  </conditionalFormatting>
  <conditionalFormatting sqref="F516">
    <cfRule type="expression" dxfId="3" priority="4">
      <formula>$F516=2</formula>
    </cfRule>
  </conditionalFormatting>
  <conditionalFormatting sqref="F516">
    <cfRule type="expression" dxfId="4" priority="5">
      <formula>$F516=3</formula>
    </cfRule>
  </conditionalFormatting>
  <conditionalFormatting sqref="F516">
    <cfRule type="expression" dxfId="5" priority="6">
      <formula>$F516&gt;=4</formula>
    </cfRule>
  </conditionalFormatting>
  <conditionalFormatting sqref="A516:F516 G516:M521">
    <cfRule type="expression" dxfId="6" priority="7">
      <formula>$F516=0</formula>
    </cfRule>
  </conditionalFormatting>
  <conditionalFormatting sqref="A516:F516 G516:M521">
    <cfRule type="expression" dxfId="7" priority="8">
      <formula>$G516&gt;=1</formula>
    </cfRule>
  </conditionalFormatting>
  <conditionalFormatting sqref="A516:F516 G516:M521">
    <cfRule type="expression" dxfId="8" priority="9">
      <formula>$H516&gt;=1</formula>
    </cfRule>
  </conditionalFormatting>
  <conditionalFormatting sqref="A516:F516 G516:M521">
    <cfRule type="expression" dxfId="9" priority="10">
      <formula>$I516&gt;=1</formula>
    </cfRule>
  </conditionalFormatting>
  <conditionalFormatting sqref="N515:N521">
    <cfRule type="cellIs" dxfId="0" priority="11" operator="equal">
      <formula>"NORMAL / SIN OFERTA"</formula>
    </cfRule>
  </conditionalFormatting>
  <conditionalFormatting sqref="N515:N521">
    <cfRule type="cellIs" dxfId="1" priority="12" operator="equal">
      <formula>"SIN STOCK / CARGAR PRECIO"</formula>
    </cfRule>
  </conditionalFormatting>
  <conditionalFormatting sqref="A515:C515 D515:F516 G515:M521">
    <cfRule type="expression" dxfId="6" priority="13">
      <formula>$F515=0</formula>
    </cfRule>
  </conditionalFormatting>
  <conditionalFormatting sqref="A515:C515 D515:F516 G515:M521">
    <cfRule type="expression" dxfId="7" priority="14">
      <formula>$G515&gt;=1</formula>
    </cfRule>
  </conditionalFormatting>
  <conditionalFormatting sqref="A515:C515 D515:F516 G515:M521">
    <cfRule type="expression" dxfId="8" priority="15">
      <formula>$H515&gt;=1</formula>
    </cfRule>
  </conditionalFormatting>
  <conditionalFormatting sqref="A515:C515 D515:F516 G515:M521">
    <cfRule type="expression" dxfId="9" priority="16">
      <formula>$I515&gt;=1</formula>
    </cfRule>
  </conditionalFormatting>
  <conditionalFormatting sqref="F515:F516">
    <cfRule type="expression" dxfId="2" priority="17">
      <formula>$F515=1</formula>
    </cfRule>
  </conditionalFormatting>
  <conditionalFormatting sqref="F515:F516">
    <cfRule type="expression" dxfId="3" priority="18">
      <formula>$F515=2</formula>
    </cfRule>
  </conditionalFormatting>
  <conditionalFormatting sqref="F515:F516">
    <cfRule type="expression" dxfId="4" priority="19">
      <formula>$F515=3</formula>
    </cfRule>
  </conditionalFormatting>
  <conditionalFormatting sqref="F515:F516">
    <cfRule type="expression" dxfId="5" priority="20">
      <formula>$F515&gt;=4</formula>
    </cfRule>
  </conditionalFormatting>
  <conditionalFormatting sqref="N514:N521">
    <cfRule type="cellIs" dxfId="0" priority="21" operator="equal">
      <formula>"NORMAL / SIN OFERTA"</formula>
    </cfRule>
  </conditionalFormatting>
  <conditionalFormatting sqref="N514:N521">
    <cfRule type="cellIs" dxfId="1" priority="22" operator="equal">
      <formula>"SIN STOCK / CARGAR PRECIO"</formula>
    </cfRule>
  </conditionalFormatting>
  <conditionalFormatting sqref="A514:C514 D514:F516 G514:M521">
    <cfRule type="expression" dxfId="6" priority="23">
      <formula>$F514=0</formula>
    </cfRule>
  </conditionalFormatting>
  <conditionalFormatting sqref="A514:C514 D514:F516 G514:M521">
    <cfRule type="expression" dxfId="7" priority="24">
      <formula>$G514&gt;=1</formula>
    </cfRule>
  </conditionalFormatting>
  <conditionalFormatting sqref="A514:C514 D514:F516 G514:M521">
    <cfRule type="expression" dxfId="8" priority="25">
      <formula>$H514&gt;=1</formula>
    </cfRule>
  </conditionalFormatting>
  <conditionalFormatting sqref="A514:C514 D514:F516 G514:M521">
    <cfRule type="expression" dxfId="9" priority="26">
      <formula>$I514&gt;=1</formula>
    </cfRule>
  </conditionalFormatting>
  <conditionalFormatting sqref="F514:F516">
    <cfRule type="expression" dxfId="2" priority="27">
      <formula>$F514=1</formula>
    </cfRule>
  </conditionalFormatting>
  <conditionalFormatting sqref="F514:F516">
    <cfRule type="expression" dxfId="3" priority="28">
      <formula>$F514=2</formula>
    </cfRule>
  </conditionalFormatting>
  <conditionalFormatting sqref="F514:F516">
    <cfRule type="expression" dxfId="4" priority="29">
      <formula>$F514=3</formula>
    </cfRule>
  </conditionalFormatting>
  <conditionalFormatting sqref="F514:F516">
    <cfRule type="expression" dxfId="5" priority="30">
      <formula>$F514&gt;=4</formula>
    </cfRule>
  </conditionalFormatting>
  <conditionalFormatting sqref="A510:C510 D510:D512 E510:M510">
    <cfRule type="expression" dxfId="6" priority="31">
      <formula>$F510=0</formula>
    </cfRule>
  </conditionalFormatting>
  <conditionalFormatting sqref="A510:C510 D510:D512 E510:M510">
    <cfRule type="expression" dxfId="7" priority="32">
      <formula>$G510&gt;=1</formula>
    </cfRule>
  </conditionalFormatting>
  <conditionalFormatting sqref="A510:C510 D510:D512 E510:M510">
    <cfRule type="expression" dxfId="8" priority="33">
      <formula>$H510&gt;=1</formula>
    </cfRule>
  </conditionalFormatting>
  <conditionalFormatting sqref="A510:C510 D510:D512 E510:M510">
    <cfRule type="expression" dxfId="9" priority="34">
      <formula>$I510&gt;=1</formula>
    </cfRule>
  </conditionalFormatting>
  <conditionalFormatting sqref="F510">
    <cfRule type="expression" dxfId="2" priority="35">
      <formula>$F510=1</formula>
    </cfRule>
  </conditionalFormatting>
  <conditionalFormatting sqref="F510">
    <cfRule type="expression" dxfId="3" priority="36">
      <formula>$F510=2</formula>
    </cfRule>
  </conditionalFormatting>
  <conditionalFormatting sqref="F510">
    <cfRule type="expression" dxfId="4" priority="37">
      <formula>$F510=3</formula>
    </cfRule>
  </conditionalFormatting>
  <conditionalFormatting sqref="F510">
    <cfRule type="expression" dxfId="5" priority="38">
      <formula>$F510&gt;=4</formula>
    </cfRule>
  </conditionalFormatting>
  <conditionalFormatting sqref="N510">
    <cfRule type="cellIs" dxfId="0" priority="39" operator="equal">
      <formula>"NORMAL / SIN OFERTA"</formula>
    </cfRule>
  </conditionalFormatting>
  <conditionalFormatting sqref="N510">
    <cfRule type="cellIs" dxfId="1" priority="40" operator="equal">
      <formula>"SIN STOCK / CARGAR PRECIO"</formula>
    </cfRule>
  </conditionalFormatting>
  <conditionalFormatting sqref="A2:A729">
    <cfRule type="expression" dxfId="10" priority="41">
      <formula>$C2="PROMOS"</formula>
    </cfRule>
  </conditionalFormatting>
  <conditionalFormatting sqref="A2:K729">
    <cfRule type="containsText" dxfId="10" priority="42" operator="containsText" text="PROMOS">
      <formula>NOT(ISERROR(SEARCH(("PROMOS"),(A2))))</formula>
    </cfRule>
  </conditionalFormatting>
  <conditionalFormatting sqref="A2:M729">
    <cfRule type="expression" dxfId="6" priority="43">
      <formula>$F2=0</formula>
    </cfRule>
  </conditionalFormatting>
  <conditionalFormatting sqref="A2:M729">
    <cfRule type="expression" dxfId="9" priority="44">
      <formula>$I2&gt;=1</formula>
    </cfRule>
  </conditionalFormatting>
  <conditionalFormatting sqref="A2:M729">
    <cfRule type="expression" dxfId="8" priority="45">
      <formula>$H2&gt;=1</formula>
    </cfRule>
  </conditionalFormatting>
  <conditionalFormatting sqref="A2:M729">
    <cfRule type="expression" dxfId="7" priority="46">
      <formula>$G2&gt;=1</formula>
    </cfRule>
  </conditionalFormatting>
  <conditionalFormatting sqref="F506:F516">
    <cfRule type="expression" dxfId="5" priority="47">
      <formula>$F506&gt;=4</formula>
    </cfRule>
  </conditionalFormatting>
  <conditionalFormatting sqref="F506:F516">
    <cfRule type="expression" dxfId="4" priority="48">
      <formula>$F506=3</formula>
    </cfRule>
  </conditionalFormatting>
  <conditionalFormatting sqref="F506:F516">
    <cfRule type="expression" dxfId="3" priority="49">
      <formula>$F506=2</formula>
    </cfRule>
  </conditionalFormatting>
  <conditionalFormatting sqref="F506:F516">
    <cfRule type="expression" dxfId="2" priority="50">
      <formula>$F506=1</formula>
    </cfRule>
  </conditionalFormatting>
  <conditionalFormatting sqref="F505">
    <cfRule type="expression" dxfId="5" priority="51">
      <formula>$F505&gt;=4</formula>
    </cfRule>
  </conditionalFormatting>
  <conditionalFormatting sqref="F505">
    <cfRule type="expression" dxfId="4" priority="52">
      <formula>$F505=3</formula>
    </cfRule>
  </conditionalFormatting>
  <conditionalFormatting sqref="F505">
    <cfRule type="expression" dxfId="3" priority="53">
      <formula>$F505=2</formula>
    </cfRule>
  </conditionalFormatting>
  <conditionalFormatting sqref="F505">
    <cfRule type="expression" dxfId="2" priority="54">
      <formula>$F505=1</formula>
    </cfRule>
  </conditionalFormatting>
  <conditionalFormatting sqref="B505:M505">
    <cfRule type="expression" dxfId="6" priority="55">
      <formula>$F505=0</formula>
    </cfRule>
  </conditionalFormatting>
  <conditionalFormatting sqref="A505">
    <cfRule type="expression" dxfId="6" priority="56">
      <formula>#REF!=0</formula>
    </cfRule>
  </conditionalFormatting>
  <conditionalFormatting sqref="A505">
    <cfRule type="expression" dxfId="7" priority="57">
      <formula>#REF!&gt;=1</formula>
    </cfRule>
  </conditionalFormatting>
  <conditionalFormatting sqref="A505">
    <cfRule type="expression" dxfId="8" priority="58">
      <formula>#REF!&gt;=1</formula>
    </cfRule>
  </conditionalFormatting>
  <conditionalFormatting sqref="A505">
    <cfRule type="expression" dxfId="9" priority="59">
      <formula>#REF!&gt;=1</formula>
    </cfRule>
  </conditionalFormatting>
  <conditionalFormatting sqref="N503:N505">
    <cfRule type="cellIs" dxfId="0" priority="60" operator="equal">
      <formula>"NORMAL / SIN OFERTA"</formula>
    </cfRule>
  </conditionalFormatting>
  <conditionalFormatting sqref="N503:N505">
    <cfRule type="cellIs" dxfId="1" priority="61" operator="equal">
      <formula>"SIN STOCK / CARGAR PRECIO"</formula>
    </cfRule>
  </conditionalFormatting>
  <conditionalFormatting sqref="N488:N489">
    <cfRule type="cellIs" dxfId="0" priority="62" operator="equal">
      <formula>"NORMAL / SIN OFERTA"</formula>
    </cfRule>
  </conditionalFormatting>
  <conditionalFormatting sqref="N488:N489">
    <cfRule type="cellIs" dxfId="1" priority="63" operator="equal">
      <formula>"SIN STOCK / CARGAR PRECIO"</formula>
    </cfRule>
  </conditionalFormatting>
  <conditionalFormatting sqref="F488:F489">
    <cfRule type="expression" dxfId="2" priority="64">
      <formula>$F488=1</formula>
    </cfRule>
  </conditionalFormatting>
  <conditionalFormatting sqref="F488:F489">
    <cfRule type="expression" dxfId="3" priority="65">
      <formula>$F488=2</formula>
    </cfRule>
  </conditionalFormatting>
  <conditionalFormatting sqref="F488:F489">
    <cfRule type="expression" dxfId="4" priority="66">
      <formula>$F488=3</formula>
    </cfRule>
  </conditionalFormatting>
  <conditionalFormatting sqref="F488:F489">
    <cfRule type="expression" dxfId="5" priority="67">
      <formula>$F488&gt;=4</formula>
    </cfRule>
  </conditionalFormatting>
  <conditionalFormatting sqref="A488:B489 C488:C491 D488:M489">
    <cfRule type="expression" dxfId="6" priority="68">
      <formula>$F488=0</formula>
    </cfRule>
  </conditionalFormatting>
  <conditionalFormatting sqref="A488:B489 C488:C491 D488:M489">
    <cfRule type="expression" dxfId="7" priority="69">
      <formula>$G488&gt;=1</formula>
    </cfRule>
  </conditionalFormatting>
  <conditionalFormatting sqref="A488:B489 C488:C491 D488:M489">
    <cfRule type="expression" dxfId="8" priority="70">
      <formula>$H488&gt;=1</formula>
    </cfRule>
  </conditionalFormatting>
  <conditionalFormatting sqref="A488:B489 C488:C491 D488:M489">
    <cfRule type="expression" dxfId="9" priority="71">
      <formula>$I488&gt;=1</formula>
    </cfRule>
  </conditionalFormatting>
  <conditionalFormatting sqref="N487">
    <cfRule type="cellIs" dxfId="0" priority="72" operator="equal">
      <formula>"NORMAL / SIN OFERTA"</formula>
    </cfRule>
  </conditionalFormatting>
  <conditionalFormatting sqref="N487">
    <cfRule type="cellIs" dxfId="1" priority="73" operator="equal">
      <formula>"SIN STOCK / CARGAR PRECIO"</formula>
    </cfRule>
  </conditionalFormatting>
  <conditionalFormatting sqref="F487">
    <cfRule type="expression" dxfId="2" priority="74">
      <formula>$F487=1</formula>
    </cfRule>
  </conditionalFormatting>
  <conditionalFormatting sqref="F487">
    <cfRule type="expression" dxfId="3" priority="75">
      <formula>$F487=2</formula>
    </cfRule>
  </conditionalFormatting>
  <conditionalFormatting sqref="F487">
    <cfRule type="expression" dxfId="4" priority="76">
      <formula>$F487=3</formula>
    </cfRule>
  </conditionalFormatting>
  <conditionalFormatting sqref="F487">
    <cfRule type="expression" dxfId="5" priority="77">
      <formula>$F487&gt;=4</formula>
    </cfRule>
  </conditionalFormatting>
  <conditionalFormatting sqref="A487:M487">
    <cfRule type="expression" dxfId="6" priority="78">
      <formula>$F487=0</formula>
    </cfRule>
  </conditionalFormatting>
  <conditionalFormatting sqref="A487:M487">
    <cfRule type="expression" dxfId="7" priority="79">
      <formula>$G487&gt;=1</formula>
    </cfRule>
  </conditionalFormatting>
  <conditionalFormatting sqref="A487:M487">
    <cfRule type="expression" dxfId="8" priority="80">
      <formula>$H487&gt;=1</formula>
    </cfRule>
  </conditionalFormatting>
  <conditionalFormatting sqref="A487:M487">
    <cfRule type="expression" dxfId="9" priority="81">
      <formula>$I487&gt;=1</formula>
    </cfRule>
  </conditionalFormatting>
  <conditionalFormatting sqref="N484:N488">
    <cfRule type="cellIs" dxfId="0" priority="82" operator="equal">
      <formula>"NORMAL / SIN OFERTA"</formula>
    </cfRule>
  </conditionalFormatting>
  <conditionalFormatting sqref="N484:N488">
    <cfRule type="cellIs" dxfId="1" priority="83" operator="equal">
      <formula>"SIN STOCK / CARGAR PRECIO"</formula>
    </cfRule>
  </conditionalFormatting>
  <conditionalFormatting sqref="A484:M486">
    <cfRule type="expression" dxfId="6" priority="84">
      <formula>$F484=0</formula>
    </cfRule>
  </conditionalFormatting>
  <conditionalFormatting sqref="A484:M486">
    <cfRule type="expression" dxfId="7" priority="85">
      <formula>$G484&gt;=1</formula>
    </cfRule>
  </conditionalFormatting>
  <conditionalFormatting sqref="A484:M486">
    <cfRule type="expression" dxfId="8" priority="86">
      <formula>$H484&gt;=1</formula>
    </cfRule>
  </conditionalFormatting>
  <conditionalFormatting sqref="A484:M486">
    <cfRule type="expression" dxfId="9" priority="87">
      <formula>$I484&gt;=1</formula>
    </cfRule>
  </conditionalFormatting>
  <conditionalFormatting sqref="F484:F486">
    <cfRule type="expression" dxfId="2" priority="88">
      <formula>$F484=1</formula>
    </cfRule>
  </conditionalFormatting>
  <conditionalFormatting sqref="F484:F486">
    <cfRule type="expression" dxfId="3" priority="89">
      <formula>$F484=2</formula>
    </cfRule>
  </conditionalFormatting>
  <conditionalFormatting sqref="F484:F486">
    <cfRule type="expression" dxfId="4" priority="90">
      <formula>$F484=3</formula>
    </cfRule>
  </conditionalFormatting>
  <conditionalFormatting sqref="F484:F486">
    <cfRule type="expression" dxfId="5" priority="91">
      <formula>$F484&gt;=4</formula>
    </cfRule>
  </conditionalFormatting>
  <conditionalFormatting sqref="N482:N496">
    <cfRule type="cellIs" dxfId="0" priority="92" operator="equal">
      <formula>"NORMAL / SIN OFERTA"</formula>
    </cfRule>
  </conditionalFormatting>
  <conditionalFormatting sqref="N482:N496">
    <cfRule type="cellIs" dxfId="1" priority="93" operator="equal">
      <formula>"SIN STOCK / CARGAR PRECIO"</formula>
    </cfRule>
  </conditionalFormatting>
  <conditionalFormatting sqref="A482:E483 F482:F484 G482:M483">
    <cfRule type="expression" dxfId="6" priority="94">
      <formula>$F482=0</formula>
    </cfRule>
  </conditionalFormatting>
  <conditionalFormatting sqref="A482:E483 F482:F484 G482:M483">
    <cfRule type="expression" dxfId="7" priority="95">
      <formula>$G482&gt;=1</formula>
    </cfRule>
  </conditionalFormatting>
  <conditionalFormatting sqref="A482:E483 F482:F484 G482:M483">
    <cfRule type="expression" dxfId="8" priority="96">
      <formula>$H482&gt;=1</formula>
    </cfRule>
  </conditionalFormatting>
  <conditionalFormatting sqref="A482:E483 F482:F484 G482:M483">
    <cfRule type="expression" dxfId="9" priority="97">
      <formula>$I482&gt;=1</formula>
    </cfRule>
  </conditionalFormatting>
  <conditionalFormatting sqref="F482:F484">
    <cfRule type="expression" dxfId="2" priority="98">
      <formula>$F482=1</formula>
    </cfRule>
  </conditionalFormatting>
  <conditionalFormatting sqref="F482:F484">
    <cfRule type="expression" dxfId="3" priority="99">
      <formula>$F482=2</formula>
    </cfRule>
  </conditionalFormatting>
  <conditionalFormatting sqref="F482:F484">
    <cfRule type="expression" dxfId="4" priority="100">
      <formula>$F482=3</formula>
    </cfRule>
  </conditionalFormatting>
  <conditionalFormatting sqref="F482:F484">
    <cfRule type="expression" dxfId="5" priority="101">
      <formula>$F482&gt;=4</formula>
    </cfRule>
  </conditionalFormatting>
  <conditionalFormatting sqref="N481">
    <cfRule type="cellIs" dxfId="0" priority="102" operator="equal">
      <formula>"NORMAL / SIN OFERTA"</formula>
    </cfRule>
  </conditionalFormatting>
  <conditionalFormatting sqref="N481">
    <cfRule type="cellIs" dxfId="1" priority="103" operator="equal">
      <formula>"SIN STOCK / CARGAR PRECIO"</formula>
    </cfRule>
  </conditionalFormatting>
  <conditionalFormatting sqref="A481:M481">
    <cfRule type="expression" dxfId="6" priority="104">
      <formula>$F481=0</formula>
    </cfRule>
  </conditionalFormatting>
  <conditionalFormatting sqref="A481:M481">
    <cfRule type="expression" dxfId="7" priority="105">
      <formula>$G481&gt;=1</formula>
    </cfRule>
  </conditionalFormatting>
  <conditionalFormatting sqref="A481:M481">
    <cfRule type="expression" dxfId="8" priority="106">
      <formula>$H481&gt;=1</formula>
    </cfRule>
  </conditionalFormatting>
  <conditionalFormatting sqref="A481:M481">
    <cfRule type="expression" dxfId="9" priority="107">
      <formula>$I481&gt;=1</formula>
    </cfRule>
  </conditionalFormatting>
  <conditionalFormatting sqref="F481">
    <cfRule type="expression" dxfId="2" priority="108">
      <formula>$F481=1</formula>
    </cfRule>
  </conditionalFormatting>
  <conditionalFormatting sqref="F481">
    <cfRule type="expression" dxfId="3" priority="109">
      <formula>$F481=2</formula>
    </cfRule>
  </conditionalFormatting>
  <conditionalFormatting sqref="F481">
    <cfRule type="expression" dxfId="4" priority="110">
      <formula>$F481=3</formula>
    </cfRule>
  </conditionalFormatting>
  <conditionalFormatting sqref="F481">
    <cfRule type="expression" dxfId="5" priority="111">
      <formula>$F481&gt;=4</formula>
    </cfRule>
  </conditionalFormatting>
  <conditionalFormatting sqref="N480">
    <cfRule type="cellIs" dxfId="0" priority="112" operator="equal">
      <formula>"NORMAL / SIN OFERTA"</formula>
    </cfRule>
  </conditionalFormatting>
  <conditionalFormatting sqref="N480">
    <cfRule type="cellIs" dxfId="1" priority="113" operator="equal">
      <formula>"SIN STOCK / CARGAR PRECIO"</formula>
    </cfRule>
  </conditionalFormatting>
  <conditionalFormatting sqref="A480:M480">
    <cfRule type="expression" dxfId="6" priority="114">
      <formula>$F480=0</formula>
    </cfRule>
  </conditionalFormatting>
  <conditionalFormatting sqref="A480:M480">
    <cfRule type="expression" dxfId="7" priority="115">
      <formula>$G480&gt;=1</formula>
    </cfRule>
  </conditionalFormatting>
  <conditionalFormatting sqref="A480:M480">
    <cfRule type="expression" dxfId="8" priority="116">
      <formula>$H480&gt;=1</formula>
    </cfRule>
  </conditionalFormatting>
  <conditionalFormatting sqref="A480:M480">
    <cfRule type="expression" dxfId="9" priority="117">
      <formula>$I480&gt;=1</formula>
    </cfRule>
  </conditionalFormatting>
  <conditionalFormatting sqref="F480">
    <cfRule type="expression" dxfId="2" priority="118">
      <formula>$F480=1</formula>
    </cfRule>
  </conditionalFormatting>
  <conditionalFormatting sqref="F480">
    <cfRule type="expression" dxfId="3" priority="119">
      <formula>$F480=2</formula>
    </cfRule>
  </conditionalFormatting>
  <conditionalFormatting sqref="F480">
    <cfRule type="expression" dxfId="4" priority="120">
      <formula>$F480=3</formula>
    </cfRule>
  </conditionalFormatting>
  <conditionalFormatting sqref="F480">
    <cfRule type="expression" dxfId="5" priority="121">
      <formula>$F480&gt;=4</formula>
    </cfRule>
  </conditionalFormatting>
  <conditionalFormatting sqref="N479:N484">
    <cfRule type="cellIs" dxfId="0" priority="122" operator="equal">
      <formula>"NORMAL / SIN OFERTA"</formula>
    </cfRule>
  </conditionalFormatting>
  <conditionalFormatting sqref="N479:N484">
    <cfRule type="cellIs" dxfId="1" priority="123" operator="equal">
      <formula>"SIN STOCK / CARGAR PRECIO"</formula>
    </cfRule>
  </conditionalFormatting>
  <conditionalFormatting sqref="A479:M479">
    <cfRule type="expression" dxfId="6" priority="124">
      <formula>$F479=0</formula>
    </cfRule>
  </conditionalFormatting>
  <conditionalFormatting sqref="A479:M479">
    <cfRule type="expression" dxfId="7" priority="125">
      <formula>$G479&gt;=1</formula>
    </cfRule>
  </conditionalFormatting>
  <conditionalFormatting sqref="A479:M479">
    <cfRule type="expression" dxfId="8" priority="126">
      <formula>$H479&gt;=1</formula>
    </cfRule>
  </conditionalFormatting>
  <conditionalFormatting sqref="A479:M479">
    <cfRule type="expression" dxfId="9" priority="127">
      <formula>$I479&gt;=1</formula>
    </cfRule>
  </conditionalFormatting>
  <conditionalFormatting sqref="F479">
    <cfRule type="expression" dxfId="2" priority="128">
      <formula>$F479=1</formula>
    </cfRule>
  </conditionalFormatting>
  <conditionalFormatting sqref="F479">
    <cfRule type="expression" dxfId="3" priority="129">
      <formula>$F479=2</formula>
    </cfRule>
  </conditionalFormatting>
  <conditionalFormatting sqref="F479">
    <cfRule type="expression" dxfId="4" priority="130">
      <formula>$F479=3</formula>
    </cfRule>
  </conditionalFormatting>
  <conditionalFormatting sqref="F479">
    <cfRule type="expression" dxfId="5" priority="131">
      <formula>$F479&gt;=4</formula>
    </cfRule>
  </conditionalFormatting>
  <conditionalFormatting sqref="N478:N484">
    <cfRule type="cellIs" dxfId="0" priority="132" operator="equal">
      <formula>"NORMAL / SIN OFERTA"</formula>
    </cfRule>
  </conditionalFormatting>
  <conditionalFormatting sqref="N478:N484">
    <cfRule type="cellIs" dxfId="1" priority="133" operator="equal">
      <formula>"SIN STOCK / CARGAR PRECIO"</formula>
    </cfRule>
  </conditionalFormatting>
  <conditionalFormatting sqref="A478:C478 D478:M479">
    <cfRule type="expression" dxfId="6" priority="134">
      <formula>$F478=0</formula>
    </cfRule>
  </conditionalFormatting>
  <conditionalFormatting sqref="A478:C478 D478:M479">
    <cfRule type="expression" dxfId="7" priority="135">
      <formula>$G478&gt;=1</formula>
    </cfRule>
  </conditionalFormatting>
  <conditionalFormatting sqref="A478:C478 D478:M479">
    <cfRule type="expression" dxfId="8" priority="136">
      <formula>$H478&gt;=1</formula>
    </cfRule>
  </conditionalFormatting>
  <conditionalFormatting sqref="A478:C478 D478:M479">
    <cfRule type="expression" dxfId="9" priority="137">
      <formula>$I478&gt;=1</formula>
    </cfRule>
  </conditionalFormatting>
  <conditionalFormatting sqref="F478:F479">
    <cfRule type="expression" dxfId="2" priority="138">
      <formula>$F478=1</formula>
    </cfRule>
  </conditionalFormatting>
  <conditionalFormatting sqref="F478:F479">
    <cfRule type="expression" dxfId="3" priority="139">
      <formula>$F478=2</formula>
    </cfRule>
  </conditionalFormatting>
  <conditionalFormatting sqref="F478:F479">
    <cfRule type="expression" dxfId="4" priority="140">
      <formula>$F478=3</formula>
    </cfRule>
  </conditionalFormatting>
  <conditionalFormatting sqref="F478:F479">
    <cfRule type="expression" dxfId="5" priority="141">
      <formula>$F478&gt;=4</formula>
    </cfRule>
  </conditionalFormatting>
  <conditionalFormatting sqref="N477:N484">
    <cfRule type="cellIs" dxfId="0" priority="142" operator="equal">
      <formula>"NORMAL / SIN OFERTA"</formula>
    </cfRule>
  </conditionalFormatting>
  <conditionalFormatting sqref="N477:N484">
    <cfRule type="cellIs" dxfId="1" priority="143" operator="equal">
      <formula>"SIN STOCK / CARGAR PRECIO"</formula>
    </cfRule>
  </conditionalFormatting>
  <conditionalFormatting sqref="A477:C477 D477:M479">
    <cfRule type="expression" dxfId="6" priority="144">
      <formula>$F477=0</formula>
    </cfRule>
  </conditionalFormatting>
  <conditionalFormatting sqref="A477:C477 D477:M479">
    <cfRule type="expression" dxfId="7" priority="145">
      <formula>$G477&gt;=1</formula>
    </cfRule>
  </conditionalFormatting>
  <conditionalFormatting sqref="A477:C477 D477:M479">
    <cfRule type="expression" dxfId="8" priority="146">
      <formula>$H477&gt;=1</formula>
    </cfRule>
  </conditionalFormatting>
  <conditionalFormatting sqref="A477:C477 D477:M479">
    <cfRule type="expression" dxfId="9" priority="147">
      <formula>$I477&gt;=1</formula>
    </cfRule>
  </conditionalFormatting>
  <conditionalFormatting sqref="F477:F479">
    <cfRule type="expression" dxfId="2" priority="148">
      <formula>$F477=1</formula>
    </cfRule>
  </conditionalFormatting>
  <conditionalFormatting sqref="F477:F479">
    <cfRule type="expression" dxfId="3" priority="149">
      <formula>$F477=2</formula>
    </cfRule>
  </conditionalFormatting>
  <conditionalFormatting sqref="F477:F479">
    <cfRule type="expression" dxfId="4" priority="150">
      <formula>$F477=3</formula>
    </cfRule>
  </conditionalFormatting>
  <conditionalFormatting sqref="F477:F479">
    <cfRule type="expression" dxfId="5" priority="151">
      <formula>$F477&gt;=4</formula>
    </cfRule>
  </conditionalFormatting>
  <conditionalFormatting sqref="N476:N484">
    <cfRule type="cellIs" dxfId="0" priority="152" operator="equal">
      <formula>"NORMAL / SIN OFERTA"</formula>
    </cfRule>
  </conditionalFormatting>
  <conditionalFormatting sqref="N476:N484">
    <cfRule type="cellIs" dxfId="1" priority="153" operator="equal">
      <formula>"SIN STOCK / CARGAR PRECIO"</formula>
    </cfRule>
  </conditionalFormatting>
  <conditionalFormatting sqref="A476:B476 C476:M479">
    <cfRule type="expression" dxfId="6" priority="154">
      <formula>$F476=0</formula>
    </cfRule>
  </conditionalFormatting>
  <conditionalFormatting sqref="A476:B476 C476:M479">
    <cfRule type="expression" dxfId="7" priority="155">
      <formula>$G476&gt;=1</formula>
    </cfRule>
  </conditionalFormatting>
  <conditionalFormatting sqref="A476:B476 C476:M479">
    <cfRule type="expression" dxfId="8" priority="156">
      <formula>$H476&gt;=1</formula>
    </cfRule>
  </conditionalFormatting>
  <conditionalFormatting sqref="A476:B476 C476:M479">
    <cfRule type="expression" dxfId="9" priority="157">
      <formula>$I476&gt;=1</formula>
    </cfRule>
  </conditionalFormatting>
  <conditionalFormatting sqref="F476:F479">
    <cfRule type="expression" dxfId="2" priority="158">
      <formula>$F476=1</formula>
    </cfRule>
  </conditionalFormatting>
  <conditionalFormatting sqref="F476:F479">
    <cfRule type="expression" dxfId="3" priority="159">
      <formula>$F476=2</formula>
    </cfRule>
  </conditionalFormatting>
  <conditionalFormatting sqref="F476:F479">
    <cfRule type="expression" dxfId="4" priority="160">
      <formula>$F476=3</formula>
    </cfRule>
  </conditionalFormatting>
  <conditionalFormatting sqref="F476:F479">
    <cfRule type="expression" dxfId="5" priority="161">
      <formula>$F476&gt;=4</formula>
    </cfRule>
  </conditionalFormatting>
  <conditionalFormatting sqref="N475:N484">
    <cfRule type="cellIs" dxfId="0" priority="162" operator="equal">
      <formula>"NORMAL / SIN OFERTA"</formula>
    </cfRule>
  </conditionalFormatting>
  <conditionalFormatting sqref="N475:N484">
    <cfRule type="cellIs" dxfId="1" priority="163" operator="equal">
      <formula>"SIN STOCK / CARGAR PRECIO"</formula>
    </cfRule>
  </conditionalFormatting>
  <conditionalFormatting sqref="A475:C475 D475:M479">
    <cfRule type="expression" dxfId="6" priority="164">
      <formula>$F475=0</formula>
    </cfRule>
  </conditionalFormatting>
  <conditionalFormatting sqref="A475:C475 D475:M479">
    <cfRule type="expression" dxfId="7" priority="165">
      <formula>$G475&gt;=1</formula>
    </cfRule>
  </conditionalFormatting>
  <conditionalFormatting sqref="A475:C475 D475:M479">
    <cfRule type="expression" dxfId="8" priority="166">
      <formula>$H475&gt;=1</formula>
    </cfRule>
  </conditionalFormatting>
  <conditionalFormatting sqref="A475:C475 D475:M479">
    <cfRule type="expression" dxfId="9" priority="167">
      <formula>$I475&gt;=1</formula>
    </cfRule>
  </conditionalFormatting>
  <conditionalFormatting sqref="F475:F479">
    <cfRule type="expression" dxfId="2" priority="168">
      <formula>$F475=1</formula>
    </cfRule>
  </conditionalFormatting>
  <conditionalFormatting sqref="F475:F479">
    <cfRule type="expression" dxfId="3" priority="169">
      <formula>$F475=2</formula>
    </cfRule>
  </conditionalFormatting>
  <conditionalFormatting sqref="F475:F479">
    <cfRule type="expression" dxfId="4" priority="170">
      <formula>$F475=3</formula>
    </cfRule>
  </conditionalFormatting>
  <conditionalFormatting sqref="F475:F479">
    <cfRule type="expression" dxfId="5" priority="171">
      <formula>$F475&gt;=4</formula>
    </cfRule>
  </conditionalFormatting>
  <conditionalFormatting sqref="N474:N484">
    <cfRule type="cellIs" dxfId="0" priority="172" operator="equal">
      <formula>"NORMAL / SIN OFERTA"</formula>
    </cfRule>
  </conditionalFormatting>
  <conditionalFormatting sqref="N474:N484">
    <cfRule type="cellIs" dxfId="1" priority="173" operator="equal">
      <formula>"SIN STOCK / CARGAR PRECIO"</formula>
    </cfRule>
  </conditionalFormatting>
  <conditionalFormatting sqref="A474:C474 D474:M479">
    <cfRule type="expression" dxfId="6" priority="174">
      <formula>$F474=0</formula>
    </cfRule>
  </conditionalFormatting>
  <conditionalFormatting sqref="A474:C474 D474:M479">
    <cfRule type="expression" dxfId="7" priority="175">
      <formula>$G474&gt;=1</formula>
    </cfRule>
  </conditionalFormatting>
  <conditionalFormatting sqref="A474:C474 D474:M479">
    <cfRule type="expression" dxfId="8" priority="176">
      <formula>$H474&gt;=1</formula>
    </cfRule>
  </conditionalFormatting>
  <conditionalFormatting sqref="A474:C474 D474:M479">
    <cfRule type="expression" dxfId="9" priority="177">
      <formula>$I474&gt;=1</formula>
    </cfRule>
  </conditionalFormatting>
  <conditionalFormatting sqref="F474:F479">
    <cfRule type="expression" dxfId="2" priority="178">
      <formula>$F474=1</formula>
    </cfRule>
  </conditionalFormatting>
  <conditionalFormatting sqref="F474:F479">
    <cfRule type="expression" dxfId="3" priority="179">
      <formula>$F474=2</formula>
    </cfRule>
  </conditionalFormatting>
  <conditionalFormatting sqref="F474:F479">
    <cfRule type="expression" dxfId="4" priority="180">
      <formula>$F474=3</formula>
    </cfRule>
  </conditionalFormatting>
  <conditionalFormatting sqref="F474:F479">
    <cfRule type="expression" dxfId="5" priority="181">
      <formula>$F474&gt;=4</formula>
    </cfRule>
  </conditionalFormatting>
  <conditionalFormatting sqref="F472">
    <cfRule type="expression" dxfId="5" priority="182">
      <formula>$F472&gt;=4</formula>
    </cfRule>
  </conditionalFormatting>
  <conditionalFormatting sqref="F472">
    <cfRule type="expression" dxfId="3" priority="183">
      <formula>$F472=2</formula>
    </cfRule>
  </conditionalFormatting>
  <conditionalFormatting sqref="F472">
    <cfRule type="expression" dxfId="4" priority="184">
      <formula>$F472=3</formula>
    </cfRule>
  </conditionalFormatting>
  <conditionalFormatting sqref="F472">
    <cfRule type="expression" dxfId="2" priority="185">
      <formula>$F472=1</formula>
    </cfRule>
  </conditionalFormatting>
  <conditionalFormatting sqref="A472:D472 F472:M472">
    <cfRule type="expression" dxfId="7" priority="186">
      <formula>$G472&gt;=1</formula>
    </cfRule>
  </conditionalFormatting>
  <conditionalFormatting sqref="A472:D472 F472:M472">
    <cfRule type="expression" dxfId="6" priority="187">
      <formula>$F472=0</formula>
    </cfRule>
  </conditionalFormatting>
  <conditionalFormatting sqref="A472:D472 F472:M472">
    <cfRule type="expression" dxfId="9" priority="188">
      <formula>$I472&gt;=1</formula>
    </cfRule>
  </conditionalFormatting>
  <conditionalFormatting sqref="A472:D472 F472:M472">
    <cfRule type="expression" dxfId="8" priority="189">
      <formula>$H472&gt;=1</formula>
    </cfRule>
  </conditionalFormatting>
  <conditionalFormatting sqref="N472">
    <cfRule type="cellIs" dxfId="0" priority="190" operator="equal">
      <formula>"NORMAL / SIN OFERTA"</formula>
    </cfRule>
  </conditionalFormatting>
  <conditionalFormatting sqref="N472">
    <cfRule type="cellIs" dxfId="1" priority="191" operator="equal">
      <formula>"SIN STOCK / CARGAR PRECIO"</formula>
    </cfRule>
  </conditionalFormatting>
  <conditionalFormatting sqref="F2:F177 F179:F479 F523">
    <cfRule type="expression" dxfId="2" priority="192">
      <formula>$F463=1</formula>
    </cfRule>
  </conditionalFormatting>
  <conditionalFormatting sqref="F463:F471">
    <cfRule type="expression" dxfId="3" priority="193">
      <formula>$F463=2</formula>
    </cfRule>
  </conditionalFormatting>
  <conditionalFormatting sqref="F463:F471">
    <cfRule type="expression" dxfId="4" priority="194">
      <formula>$F463=3</formula>
    </cfRule>
  </conditionalFormatting>
  <conditionalFormatting sqref="F463:F471">
    <cfRule type="expression" dxfId="5" priority="195">
      <formula>$F463&gt;=4</formula>
    </cfRule>
  </conditionalFormatting>
  <conditionalFormatting sqref="A463:E470 F463:F471 G463:M479">
    <cfRule type="expression" dxfId="6" priority="196">
      <formula>$F463=0</formula>
    </cfRule>
  </conditionalFormatting>
  <conditionalFormatting sqref="A463:E470 F463:F471 G463:M479">
    <cfRule type="expression" dxfId="7" priority="197">
      <formula>$G463&gt;=1</formula>
    </cfRule>
  </conditionalFormatting>
  <conditionalFormatting sqref="A463:E470 F463:F471 G463:M479">
    <cfRule type="expression" dxfId="8" priority="198">
      <formula>$H463&gt;=1</formula>
    </cfRule>
  </conditionalFormatting>
  <conditionalFormatting sqref="A463:E470 F463:F471 G463:M479">
    <cfRule type="expression" dxfId="9" priority="199">
      <formula>$I463&gt;=1</formula>
    </cfRule>
  </conditionalFormatting>
  <conditionalFormatting sqref="N463:N484">
    <cfRule type="cellIs" dxfId="0" priority="200" operator="equal">
      <formula>"NORMAL / SIN OFERTA"</formula>
    </cfRule>
  </conditionalFormatting>
  <conditionalFormatting sqref="N463:N484">
    <cfRule type="cellIs" dxfId="1" priority="201" operator="equal">
      <formula>"SIN STOCK / CARGAR PRECIO"</formula>
    </cfRule>
  </conditionalFormatting>
  <conditionalFormatting sqref="N408">
    <cfRule type="expression" dxfId="9" priority="202">
      <formula>$I409&gt;=1</formula>
    </cfRule>
  </conditionalFormatting>
  <conditionalFormatting sqref="N408">
    <cfRule type="expression" dxfId="8" priority="203">
      <formula>$H409&gt;=1</formula>
    </cfRule>
  </conditionalFormatting>
  <conditionalFormatting sqref="N408">
    <cfRule type="expression" dxfId="7" priority="204">
      <formula>$G409&gt;=1</formula>
    </cfRule>
  </conditionalFormatting>
  <conditionalFormatting sqref="N408">
    <cfRule type="expression" dxfId="6" priority="205">
      <formula>$F409=0</formula>
    </cfRule>
  </conditionalFormatting>
  <conditionalFormatting sqref="N417:N484">
    <cfRule type="cellIs" dxfId="1" priority="206" operator="equal">
      <formula>"SIN STOCK / CARGAR PRECIO"</formula>
    </cfRule>
  </conditionalFormatting>
  <conditionalFormatting sqref="N417:N484">
    <cfRule type="cellIs" dxfId="0" priority="207" operator="equal">
      <formula>"NORMAL / SIN OFERTA"</formula>
    </cfRule>
  </conditionalFormatting>
  <conditionalFormatting sqref="A417:J462 K417:M479">
    <cfRule type="expression" dxfId="9" priority="208">
      <formula>$I417&gt;=1</formula>
    </cfRule>
  </conditionalFormatting>
  <conditionalFormatting sqref="A417:J462 K417:M479">
    <cfRule type="expression" dxfId="8" priority="209">
      <formula>$H417&gt;=1</formula>
    </cfRule>
  </conditionalFormatting>
  <conditionalFormatting sqref="A417:J462 K417:M479">
    <cfRule type="expression" dxfId="7" priority="210">
      <formula>$G417&gt;=1</formula>
    </cfRule>
  </conditionalFormatting>
  <conditionalFormatting sqref="A417:J462 K417:M479">
    <cfRule type="expression" dxfId="6" priority="211">
      <formula>$F417=0</formula>
    </cfRule>
  </conditionalFormatting>
  <conditionalFormatting sqref="F417:F462">
    <cfRule type="expression" dxfId="5" priority="212">
      <formula>$F417&gt;=4</formula>
    </cfRule>
  </conditionalFormatting>
  <conditionalFormatting sqref="F417:F462">
    <cfRule type="expression" dxfId="4" priority="213">
      <formula>$F417=3</formula>
    </cfRule>
  </conditionalFormatting>
  <conditionalFormatting sqref="F417:F462">
    <cfRule type="expression" dxfId="3" priority="214">
      <formula>$F417=2</formula>
    </cfRule>
  </conditionalFormatting>
  <conditionalFormatting sqref="F417:F462">
    <cfRule type="expression" dxfId="2" priority="215">
      <formula>$F417=1</formula>
    </cfRule>
  </conditionalFormatting>
  <conditionalFormatting sqref="A415:J416 L415:N416">
    <cfRule type="expression" dxfId="9" priority="216">
      <formula>$I415&gt;=1</formula>
    </cfRule>
  </conditionalFormatting>
  <conditionalFormatting sqref="A415:J416 L415:N416">
    <cfRule type="expression" dxfId="8" priority="217">
      <formula>$H415&gt;=1</formula>
    </cfRule>
  </conditionalFormatting>
  <conditionalFormatting sqref="A415:J416 L415:N416">
    <cfRule type="expression" dxfId="7" priority="218">
      <formula>$G415&gt;=1</formula>
    </cfRule>
  </conditionalFormatting>
  <conditionalFormatting sqref="A415:J416 L415:N416">
    <cfRule type="expression" dxfId="6" priority="219">
      <formula>$F415=0</formula>
    </cfRule>
  </conditionalFormatting>
  <conditionalFormatting sqref="F415:F416">
    <cfRule type="expression" dxfId="5" priority="220">
      <formula>$F415&gt;=4</formula>
    </cfRule>
  </conditionalFormatting>
  <conditionalFormatting sqref="F415:F416">
    <cfRule type="expression" dxfId="4" priority="221">
      <formula>$F415=3</formula>
    </cfRule>
  </conditionalFormatting>
  <conditionalFormatting sqref="F415:F416">
    <cfRule type="expression" dxfId="3" priority="222">
      <formula>$F415=2</formula>
    </cfRule>
  </conditionalFormatting>
  <conditionalFormatting sqref="F415:F416">
    <cfRule type="expression" dxfId="2" priority="223">
      <formula>$F415=1</formula>
    </cfRule>
  </conditionalFormatting>
  <conditionalFormatting sqref="K415:K479">
    <cfRule type="cellIs" dxfId="1" priority="224" operator="equal">
      <formula>"SIN STOCK / CARGAR PRECIO"</formula>
    </cfRule>
  </conditionalFormatting>
  <conditionalFormatting sqref="K415:K479">
    <cfRule type="cellIs" dxfId="0" priority="225" operator="equal">
      <formula>"NORMAL / SIN OFERTA"</formula>
    </cfRule>
  </conditionalFormatting>
  <conditionalFormatting sqref="A414:J414 L414:N414">
    <cfRule type="expression" dxfId="9" priority="226">
      <formula>$I414&gt;=1</formula>
    </cfRule>
  </conditionalFormatting>
  <conditionalFormatting sqref="A414:J414 L414:N414">
    <cfRule type="expression" dxfId="8" priority="227">
      <formula>$H414&gt;=1</formula>
    </cfRule>
  </conditionalFormatting>
  <conditionalFormatting sqref="A414:J414 L414:N414">
    <cfRule type="expression" dxfId="7" priority="228">
      <formula>$G414&gt;=1</formula>
    </cfRule>
  </conditionalFormatting>
  <conditionalFormatting sqref="A414:J414 L414:N414">
    <cfRule type="expression" dxfId="6" priority="229">
      <formula>$F414=0</formula>
    </cfRule>
  </conditionalFormatting>
  <conditionalFormatting sqref="F414">
    <cfRule type="expression" dxfId="5" priority="230">
      <formula>$F414&gt;=4</formula>
    </cfRule>
  </conditionalFormatting>
  <conditionalFormatting sqref="F414">
    <cfRule type="expression" dxfId="4" priority="231">
      <formula>$F414=3</formula>
    </cfRule>
  </conditionalFormatting>
  <conditionalFormatting sqref="F414">
    <cfRule type="expression" dxfId="3" priority="232">
      <formula>$F414=2</formula>
    </cfRule>
  </conditionalFormatting>
  <conditionalFormatting sqref="F414">
    <cfRule type="expression" dxfId="2" priority="233">
      <formula>$F414=1</formula>
    </cfRule>
  </conditionalFormatting>
  <conditionalFormatting sqref="K414">
    <cfRule type="cellIs" dxfId="1" priority="234" operator="equal">
      <formula>"SIN STOCK / CARGAR PRECIO"</formula>
    </cfRule>
  </conditionalFormatting>
  <conditionalFormatting sqref="K414">
    <cfRule type="cellIs" dxfId="0" priority="235" operator="equal">
      <formula>"NORMAL / SIN OFERTA"</formula>
    </cfRule>
  </conditionalFormatting>
  <conditionalFormatting sqref="A413:J413 L413:N413">
    <cfRule type="expression" dxfId="9" priority="236">
      <formula>$I413&gt;=1</formula>
    </cfRule>
  </conditionalFormatting>
  <conditionalFormatting sqref="A413:J413 L413:N413">
    <cfRule type="expression" dxfId="8" priority="237">
      <formula>$H413&gt;=1</formula>
    </cfRule>
  </conditionalFormatting>
  <conditionalFormatting sqref="A413:J413 L413:N413">
    <cfRule type="expression" dxfId="7" priority="238">
      <formula>$G413&gt;=1</formula>
    </cfRule>
  </conditionalFormatting>
  <conditionalFormatting sqref="A413:J413 L413:N413">
    <cfRule type="expression" dxfId="6" priority="239">
      <formula>$F413=0</formula>
    </cfRule>
  </conditionalFormatting>
  <conditionalFormatting sqref="F413">
    <cfRule type="expression" dxfId="5" priority="240">
      <formula>$F413&gt;=4</formula>
    </cfRule>
  </conditionalFormatting>
  <conditionalFormatting sqref="F413">
    <cfRule type="expression" dxfId="4" priority="241">
      <formula>$F413=3</formula>
    </cfRule>
  </conditionalFormatting>
  <conditionalFormatting sqref="F413">
    <cfRule type="expression" dxfId="3" priority="242">
      <formula>$F413=2</formula>
    </cfRule>
  </conditionalFormatting>
  <conditionalFormatting sqref="F413">
    <cfRule type="expression" dxfId="2" priority="243">
      <formula>$F413=1</formula>
    </cfRule>
  </conditionalFormatting>
  <conditionalFormatting sqref="K413">
    <cfRule type="cellIs" dxfId="1" priority="244" operator="equal">
      <formula>"SIN STOCK / CARGAR PRECIO"</formula>
    </cfRule>
  </conditionalFormatting>
  <conditionalFormatting sqref="K413">
    <cfRule type="cellIs" dxfId="0" priority="245" operator="equal">
      <formula>"NORMAL / SIN OFERTA"</formula>
    </cfRule>
  </conditionalFormatting>
  <conditionalFormatting sqref="A412:J412 L412:N412">
    <cfRule type="expression" dxfId="9" priority="246">
      <formula>$I412&gt;=1</formula>
    </cfRule>
  </conditionalFormatting>
  <conditionalFormatting sqref="A412:J412 L412:N412">
    <cfRule type="expression" dxfId="8" priority="247">
      <formula>$H412&gt;=1</formula>
    </cfRule>
  </conditionalFormatting>
  <conditionalFormatting sqref="A412:J412 L412:N412">
    <cfRule type="expression" dxfId="7" priority="248">
      <formula>$G412&gt;=1</formula>
    </cfRule>
  </conditionalFormatting>
  <conditionalFormatting sqref="A412:J412 L412:N412">
    <cfRule type="expression" dxfId="6" priority="249">
      <formula>$F412=0</formula>
    </cfRule>
  </conditionalFormatting>
  <conditionalFormatting sqref="F412">
    <cfRule type="expression" dxfId="5" priority="250">
      <formula>$F412&gt;=4</formula>
    </cfRule>
  </conditionalFormatting>
  <conditionalFormatting sqref="F412">
    <cfRule type="expression" dxfId="4" priority="251">
      <formula>$F412=3</formula>
    </cfRule>
  </conditionalFormatting>
  <conditionalFormatting sqref="F412">
    <cfRule type="expression" dxfId="3" priority="252">
      <formula>$F412=2</formula>
    </cfRule>
  </conditionalFormatting>
  <conditionalFormatting sqref="F412">
    <cfRule type="expression" dxfId="2" priority="253">
      <formula>$F412=1</formula>
    </cfRule>
  </conditionalFormatting>
  <conditionalFormatting sqref="K412">
    <cfRule type="cellIs" dxfId="1" priority="254" operator="equal">
      <formula>"SIN STOCK / CARGAR PRECIO"</formula>
    </cfRule>
  </conditionalFormatting>
  <conditionalFormatting sqref="K412">
    <cfRule type="cellIs" dxfId="0" priority="255" operator="equal">
      <formula>"NORMAL / SIN OFERTA"</formula>
    </cfRule>
  </conditionalFormatting>
  <conditionalFormatting sqref="K411">
    <cfRule type="cellIs" dxfId="1" priority="256" operator="equal">
      <formula>"SIN STOCK / CARGAR PRECIO"</formula>
    </cfRule>
  </conditionalFormatting>
  <conditionalFormatting sqref="K411">
    <cfRule type="cellIs" dxfId="0" priority="257" operator="equal">
      <formula>"NORMAL / SIN OFERTA"</formula>
    </cfRule>
  </conditionalFormatting>
  <conditionalFormatting sqref="A411:J411 L411:N411">
    <cfRule type="expression" dxfId="9" priority="258">
      <formula>$I411&gt;=1</formula>
    </cfRule>
  </conditionalFormatting>
  <conditionalFormatting sqref="A411:J411 L411:N411">
    <cfRule type="expression" dxfId="8" priority="259">
      <formula>$H411&gt;=1</formula>
    </cfRule>
  </conditionalFormatting>
  <conditionalFormatting sqref="A411:J411 L411:N411">
    <cfRule type="expression" dxfId="7" priority="260">
      <formula>$G411&gt;=1</formula>
    </cfRule>
  </conditionalFormatting>
  <conditionalFormatting sqref="A411:J411 L411:N411">
    <cfRule type="expression" dxfId="6" priority="261">
      <formula>$F411=0</formula>
    </cfRule>
  </conditionalFormatting>
  <conditionalFormatting sqref="F411">
    <cfRule type="expression" dxfId="5" priority="262">
      <formula>$F411&gt;=4</formula>
    </cfRule>
  </conditionalFormatting>
  <conditionalFormatting sqref="F411">
    <cfRule type="expression" dxfId="4" priority="263">
      <formula>$F411=3</formula>
    </cfRule>
  </conditionalFormatting>
  <conditionalFormatting sqref="F411">
    <cfRule type="expression" dxfId="3" priority="264">
      <formula>$F411=2</formula>
    </cfRule>
  </conditionalFormatting>
  <conditionalFormatting sqref="F411">
    <cfRule type="expression" dxfId="2" priority="265">
      <formula>$F411=1</formula>
    </cfRule>
  </conditionalFormatting>
  <conditionalFormatting sqref="K410 K523">
    <cfRule type="cellIs" dxfId="1" priority="266" operator="equal">
      <formula>"SIN STOCK / CARGAR PRECIO"</formula>
    </cfRule>
  </conditionalFormatting>
  <conditionalFormatting sqref="K410 K523">
    <cfRule type="cellIs" dxfId="0" priority="267" operator="equal">
      <formula>"NORMAL / SIN OFERTA"</formula>
    </cfRule>
  </conditionalFormatting>
  <conditionalFormatting sqref="A410:J410 A523:J523 L410:N410 L523:N523">
    <cfRule type="expression" dxfId="9" priority="268">
      <formula>$I410&gt;=1</formula>
    </cfRule>
  </conditionalFormatting>
  <conditionalFormatting sqref="A410:J410 A523:J523 L410:N410 L523:N523">
    <cfRule type="expression" dxfId="8" priority="269">
      <formula>$H410&gt;=1</formula>
    </cfRule>
  </conditionalFormatting>
  <conditionalFormatting sqref="A410:J410 A523:J523 L410:N410 L523:N523">
    <cfRule type="expression" dxfId="7" priority="270">
      <formula>$G410&gt;=1</formula>
    </cfRule>
  </conditionalFormatting>
  <conditionalFormatting sqref="A410:J410 A523:J523 L410:N410 L523:N523">
    <cfRule type="expression" dxfId="6" priority="271">
      <formula>$F410=0</formula>
    </cfRule>
  </conditionalFormatting>
  <conditionalFormatting sqref="F410 F523">
    <cfRule type="expression" dxfId="5" priority="272">
      <formula>$F410&gt;=4</formula>
    </cfRule>
  </conditionalFormatting>
  <conditionalFormatting sqref="F410 F523">
    <cfRule type="expression" dxfId="4" priority="273">
      <formula>$F410=3</formula>
    </cfRule>
  </conditionalFormatting>
  <conditionalFormatting sqref="F410 F523">
    <cfRule type="expression" dxfId="3" priority="274">
      <formula>$F410=2</formula>
    </cfRule>
  </conditionalFormatting>
  <conditionalFormatting sqref="F410 F523">
    <cfRule type="expression" dxfId="2" priority="275">
      <formula>$F410=1</formula>
    </cfRule>
  </conditionalFormatting>
  <conditionalFormatting sqref="K409">
    <cfRule type="cellIs" dxfId="1" priority="276" operator="equal">
      <formula>"SIN STOCK / CARGAR PRECIO"</formula>
    </cfRule>
  </conditionalFormatting>
  <conditionalFormatting sqref="K409">
    <cfRule type="cellIs" dxfId="0" priority="277" operator="equal">
      <formula>"NORMAL / SIN OFERTA"</formula>
    </cfRule>
  </conditionalFormatting>
  <conditionalFormatting sqref="A409:J409 L409:M409">
    <cfRule type="expression" dxfId="9" priority="278">
      <formula>$I409&gt;=1</formula>
    </cfRule>
  </conditionalFormatting>
  <conditionalFormatting sqref="A409:J409 L409:M409">
    <cfRule type="expression" dxfId="8" priority="279">
      <formula>$H409&gt;=1</formula>
    </cfRule>
  </conditionalFormatting>
  <conditionalFormatting sqref="A409:J409 L409:M409">
    <cfRule type="expression" dxfId="7" priority="280">
      <formula>$G409&gt;=1</formula>
    </cfRule>
  </conditionalFormatting>
  <conditionalFormatting sqref="A409:J409 L409:M409">
    <cfRule type="expression" dxfId="6" priority="281">
      <formula>$F409=0</formula>
    </cfRule>
  </conditionalFormatting>
  <conditionalFormatting sqref="F409">
    <cfRule type="expression" dxfId="5" priority="282">
      <formula>$F409&gt;=4</formula>
    </cfRule>
  </conditionalFormatting>
  <conditionalFormatting sqref="F409">
    <cfRule type="expression" dxfId="4" priority="283">
      <formula>$F409=3</formula>
    </cfRule>
  </conditionalFormatting>
  <conditionalFormatting sqref="F409">
    <cfRule type="expression" dxfId="3" priority="284">
      <formula>$F409=2</formula>
    </cfRule>
  </conditionalFormatting>
  <conditionalFormatting sqref="F409">
    <cfRule type="expression" dxfId="2" priority="285">
      <formula>$F409=1</formula>
    </cfRule>
  </conditionalFormatting>
  <conditionalFormatting sqref="K408">
    <cfRule type="cellIs" dxfId="1" priority="286" operator="equal">
      <formula>"SIN STOCK / CARGAR PRECIO"</formula>
    </cfRule>
  </conditionalFormatting>
  <conditionalFormatting sqref="K408">
    <cfRule type="cellIs" dxfId="0" priority="287" operator="equal">
      <formula>"NORMAL / SIN OFERTA"</formula>
    </cfRule>
  </conditionalFormatting>
  <conditionalFormatting sqref="A408:J408 L408:M408">
    <cfRule type="expression" dxfId="9" priority="288">
      <formula>$I408&gt;=1</formula>
    </cfRule>
  </conditionalFormatting>
  <conditionalFormatting sqref="A408:J408 L408:M408">
    <cfRule type="expression" dxfId="8" priority="289">
      <formula>$H408&gt;=1</formula>
    </cfRule>
  </conditionalFormatting>
  <conditionalFormatting sqref="A408:J408 L408:M408">
    <cfRule type="expression" dxfId="7" priority="290">
      <formula>$G408&gt;=1</formula>
    </cfRule>
  </conditionalFormatting>
  <conditionalFormatting sqref="F408">
    <cfRule type="expression" dxfId="5" priority="291">
      <formula>$F408&gt;=4</formula>
    </cfRule>
  </conditionalFormatting>
  <conditionalFormatting sqref="F408">
    <cfRule type="expression" dxfId="4" priority="292">
      <formula>$F408=3</formula>
    </cfRule>
  </conditionalFormatting>
  <conditionalFormatting sqref="F408">
    <cfRule type="expression" dxfId="3" priority="293">
      <formula>$F408=2</formula>
    </cfRule>
  </conditionalFormatting>
  <conditionalFormatting sqref="F408">
    <cfRule type="expression" dxfId="2" priority="294">
      <formula>$F408=1</formula>
    </cfRule>
  </conditionalFormatting>
  <conditionalFormatting sqref="F407">
    <cfRule type="expression" dxfId="5" priority="295">
      <formula>$F407&gt;=4</formula>
    </cfRule>
  </conditionalFormatting>
  <conditionalFormatting sqref="F407">
    <cfRule type="expression" dxfId="4" priority="296">
      <formula>$F407=3</formula>
    </cfRule>
  </conditionalFormatting>
  <conditionalFormatting sqref="F407">
    <cfRule type="expression" dxfId="3" priority="297">
      <formula>$F407=2</formula>
    </cfRule>
  </conditionalFormatting>
  <conditionalFormatting sqref="F407">
    <cfRule type="expression" dxfId="2" priority="298">
      <formula>$F407=1</formula>
    </cfRule>
  </conditionalFormatting>
  <conditionalFormatting sqref="K407">
    <cfRule type="cellIs" dxfId="1" priority="299" operator="equal">
      <formula>"SIN STOCK / CARGAR PRECIO"</formula>
    </cfRule>
  </conditionalFormatting>
  <conditionalFormatting sqref="K407">
    <cfRule type="cellIs" dxfId="0" priority="300" operator="equal">
      <formula>"NORMAL / SIN OFERTA"</formula>
    </cfRule>
  </conditionalFormatting>
  <conditionalFormatting sqref="A407:J407 L407:N407">
    <cfRule type="expression" dxfId="9" priority="301">
      <formula>$I407&gt;=1</formula>
    </cfRule>
  </conditionalFormatting>
  <conditionalFormatting sqref="A407:J407 L407:N407">
    <cfRule type="expression" dxfId="8" priority="302">
      <formula>$H407&gt;=1</formula>
    </cfRule>
  </conditionalFormatting>
  <conditionalFormatting sqref="A407:J407 L407:N407">
    <cfRule type="expression" dxfId="7" priority="303">
      <formula>$G407&gt;=1</formula>
    </cfRule>
  </conditionalFormatting>
  <conditionalFormatting sqref="A407:J407 L407:N407">
    <cfRule type="expression" dxfId="6" priority="304">
      <formula>$F407=0</formula>
    </cfRule>
  </conditionalFormatting>
  <conditionalFormatting sqref="F406">
    <cfRule type="expression" dxfId="5" priority="305">
      <formula>$F406&gt;=4</formula>
    </cfRule>
  </conditionalFormatting>
  <conditionalFormatting sqref="F406">
    <cfRule type="expression" dxfId="4" priority="306">
      <formula>$F406=3</formula>
    </cfRule>
  </conditionalFormatting>
  <conditionalFormatting sqref="F406">
    <cfRule type="expression" dxfId="3" priority="307">
      <formula>$F406=2</formula>
    </cfRule>
  </conditionalFormatting>
  <conditionalFormatting sqref="F406">
    <cfRule type="expression" dxfId="2" priority="308">
      <formula>$F406=1</formula>
    </cfRule>
  </conditionalFormatting>
  <conditionalFormatting sqref="K406">
    <cfRule type="cellIs" dxfId="1" priority="309" operator="equal">
      <formula>"SIN STOCK / CARGAR PRECIO"</formula>
    </cfRule>
  </conditionalFormatting>
  <conditionalFormatting sqref="K406">
    <cfRule type="cellIs" dxfId="0" priority="310" operator="equal">
      <formula>"NORMAL / SIN OFERTA"</formula>
    </cfRule>
  </conditionalFormatting>
  <conditionalFormatting sqref="A406:J406 L406:N406">
    <cfRule type="expression" dxfId="9" priority="311">
      <formula>$I406&gt;=1</formula>
    </cfRule>
  </conditionalFormatting>
  <conditionalFormatting sqref="A406:J406 L406:N406">
    <cfRule type="expression" dxfId="8" priority="312">
      <formula>$H406&gt;=1</formula>
    </cfRule>
  </conditionalFormatting>
  <conditionalFormatting sqref="A406:J406 L406:N406">
    <cfRule type="expression" dxfId="7" priority="313">
      <formula>$G406&gt;=1</formula>
    </cfRule>
  </conditionalFormatting>
  <conditionalFormatting sqref="A406:J406 L406:N406">
    <cfRule type="expression" dxfId="6" priority="314">
      <formula>$F406=0</formula>
    </cfRule>
  </conditionalFormatting>
  <conditionalFormatting sqref="K404">
    <cfRule type="cellIs" dxfId="1" priority="315" operator="equal">
      <formula>"SIN STOCK / CARGAR PRECIO"</formula>
    </cfRule>
  </conditionalFormatting>
  <conditionalFormatting sqref="K404">
    <cfRule type="cellIs" dxfId="0" priority="316" operator="equal">
      <formula>"NORMAL / SIN OFERTA"</formula>
    </cfRule>
  </conditionalFormatting>
  <conditionalFormatting sqref="A404:J404 L404:N404">
    <cfRule type="expression" dxfId="9" priority="317">
      <formula>$I404&gt;=1</formula>
    </cfRule>
  </conditionalFormatting>
  <conditionalFormatting sqref="A404:J404 L404:N404">
    <cfRule type="expression" dxfId="8" priority="318">
      <formula>$H404&gt;=1</formula>
    </cfRule>
  </conditionalFormatting>
  <conditionalFormatting sqref="A404:J404 L404:N404">
    <cfRule type="expression" dxfId="7" priority="319">
      <formula>$G404&gt;=1</formula>
    </cfRule>
  </conditionalFormatting>
  <conditionalFormatting sqref="A404:J404 L404:N404">
    <cfRule type="expression" dxfId="6" priority="320">
      <formula>$F404=0</formula>
    </cfRule>
  </conditionalFormatting>
  <conditionalFormatting sqref="F404">
    <cfRule type="expression" dxfId="5" priority="321">
      <formula>$F404&gt;=4</formula>
    </cfRule>
  </conditionalFormatting>
  <conditionalFormatting sqref="F404">
    <cfRule type="expression" dxfId="4" priority="322">
      <formula>$F404=3</formula>
    </cfRule>
  </conditionalFormatting>
  <conditionalFormatting sqref="F404">
    <cfRule type="expression" dxfId="3" priority="323">
      <formula>$F404=2</formula>
    </cfRule>
  </conditionalFormatting>
  <conditionalFormatting sqref="F404">
    <cfRule type="expression" dxfId="2" priority="324">
      <formula>$F404=1</formula>
    </cfRule>
  </conditionalFormatting>
  <conditionalFormatting sqref="F402:F403">
    <cfRule type="expression" dxfId="5" priority="325">
      <formula>$F402&gt;=4</formula>
    </cfRule>
  </conditionalFormatting>
  <conditionalFormatting sqref="F402:F403">
    <cfRule type="expression" dxfId="4" priority="326">
      <formula>$F402=3</formula>
    </cfRule>
  </conditionalFormatting>
  <conditionalFormatting sqref="F402:F403">
    <cfRule type="expression" dxfId="3" priority="327">
      <formula>$F402=2</formula>
    </cfRule>
  </conditionalFormatting>
  <conditionalFormatting sqref="F402:F403">
    <cfRule type="expression" dxfId="2" priority="328">
      <formula>$F402=1</formula>
    </cfRule>
  </conditionalFormatting>
  <conditionalFormatting sqref="K402:K403">
    <cfRule type="cellIs" dxfId="1" priority="329" operator="equal">
      <formula>"SIN STOCK / CARGAR PRECIO"</formula>
    </cfRule>
  </conditionalFormatting>
  <conditionalFormatting sqref="K402:K403">
    <cfRule type="cellIs" dxfId="0" priority="330" operator="equal">
      <formula>"NORMAL / SIN OFERTA"</formula>
    </cfRule>
  </conditionalFormatting>
  <conditionalFormatting sqref="A402:J403 L402:N403">
    <cfRule type="expression" dxfId="9" priority="331">
      <formula>$I402&gt;=1</formula>
    </cfRule>
  </conditionalFormatting>
  <conditionalFormatting sqref="A402:J403 L402:N403">
    <cfRule type="expression" dxfId="8" priority="332">
      <formula>$H402&gt;=1</formula>
    </cfRule>
  </conditionalFormatting>
  <conditionalFormatting sqref="A402:J403 L402:N403">
    <cfRule type="expression" dxfId="7" priority="333">
      <formula>$G402&gt;=1</formula>
    </cfRule>
  </conditionalFormatting>
  <conditionalFormatting sqref="A402:J403 L402:N403">
    <cfRule type="expression" dxfId="6" priority="334">
      <formula>$F402=0</formula>
    </cfRule>
  </conditionalFormatting>
  <conditionalFormatting sqref="F400">
    <cfRule type="expression" dxfId="5" priority="335">
      <formula>$F400&gt;=4</formula>
    </cfRule>
  </conditionalFormatting>
  <conditionalFormatting sqref="F400">
    <cfRule type="expression" dxfId="4" priority="336">
      <formula>$F400=3</formula>
    </cfRule>
  </conditionalFormatting>
  <conditionalFormatting sqref="F400">
    <cfRule type="expression" dxfId="3" priority="337">
      <formula>$F400=2</formula>
    </cfRule>
  </conditionalFormatting>
  <conditionalFormatting sqref="F400">
    <cfRule type="expression" dxfId="2" priority="338">
      <formula>$F400=1</formula>
    </cfRule>
  </conditionalFormatting>
  <conditionalFormatting sqref="K400">
    <cfRule type="cellIs" dxfId="1" priority="339" operator="equal">
      <formula>"SIN STOCK / CARGAR PRECIO"</formula>
    </cfRule>
  </conditionalFormatting>
  <conditionalFormatting sqref="K400">
    <cfRule type="cellIs" dxfId="0" priority="340" operator="equal">
      <formula>"NORMAL / SIN OFERTA"</formula>
    </cfRule>
  </conditionalFormatting>
  <conditionalFormatting sqref="A400:J400 L400:N400">
    <cfRule type="expression" dxfId="9" priority="341">
      <formula>$I400&gt;=1</formula>
    </cfRule>
  </conditionalFormatting>
  <conditionalFormatting sqref="A400:J400 L400:N400">
    <cfRule type="expression" dxfId="8" priority="342">
      <formula>$H400&gt;=1</formula>
    </cfRule>
  </conditionalFormatting>
  <conditionalFormatting sqref="A400:J400 L400:N400">
    <cfRule type="expression" dxfId="7" priority="343">
      <formula>$G400&gt;=1</formula>
    </cfRule>
  </conditionalFormatting>
  <conditionalFormatting sqref="A400:J400 L400:N400">
    <cfRule type="expression" dxfId="6" priority="344">
      <formula>$F400=0</formula>
    </cfRule>
  </conditionalFormatting>
  <conditionalFormatting sqref="F399">
    <cfRule type="expression" dxfId="5" priority="345">
      <formula>$F399&gt;=4</formula>
    </cfRule>
  </conditionalFormatting>
  <conditionalFormatting sqref="F399">
    <cfRule type="expression" dxfId="4" priority="346">
      <formula>$F399=3</formula>
    </cfRule>
  </conditionalFormatting>
  <conditionalFormatting sqref="F399">
    <cfRule type="expression" dxfId="3" priority="347">
      <formula>$F399=2</formula>
    </cfRule>
  </conditionalFormatting>
  <conditionalFormatting sqref="F399">
    <cfRule type="expression" dxfId="2" priority="348">
      <formula>$F399=1</formula>
    </cfRule>
  </conditionalFormatting>
  <conditionalFormatting sqref="K399">
    <cfRule type="cellIs" dxfId="1" priority="349" operator="equal">
      <formula>"SIN STOCK / CARGAR PRECIO"</formula>
    </cfRule>
  </conditionalFormatting>
  <conditionalFormatting sqref="K399">
    <cfRule type="cellIs" dxfId="0" priority="350" operator="equal">
      <formula>"NORMAL / SIN OFERTA"</formula>
    </cfRule>
  </conditionalFormatting>
  <conditionalFormatting sqref="A399:J399 L399:N399">
    <cfRule type="expression" dxfId="9" priority="351">
      <formula>$I399&gt;=1</formula>
    </cfRule>
  </conditionalFormatting>
  <conditionalFormatting sqref="A399:J399 L399:N399">
    <cfRule type="expression" dxfId="8" priority="352">
      <formula>$H399&gt;=1</formula>
    </cfRule>
  </conditionalFormatting>
  <conditionalFormatting sqref="A399:J399 L399:N399">
    <cfRule type="expression" dxfId="7" priority="353">
      <formula>$G399&gt;=1</formula>
    </cfRule>
  </conditionalFormatting>
  <conditionalFormatting sqref="A399:J399 L399:N399">
    <cfRule type="expression" dxfId="6" priority="354">
      <formula>$F399=0</formula>
    </cfRule>
  </conditionalFormatting>
  <conditionalFormatting sqref="F398">
    <cfRule type="expression" dxfId="5" priority="355">
      <formula>$F398&gt;=4</formula>
    </cfRule>
  </conditionalFormatting>
  <conditionalFormatting sqref="F398">
    <cfRule type="expression" dxfId="4" priority="356">
      <formula>$F398=3</formula>
    </cfRule>
  </conditionalFormatting>
  <conditionalFormatting sqref="F398">
    <cfRule type="expression" dxfId="3" priority="357">
      <formula>$F398=2</formula>
    </cfRule>
  </conditionalFormatting>
  <conditionalFormatting sqref="F398">
    <cfRule type="expression" dxfId="2" priority="358">
      <formula>$F398=1</formula>
    </cfRule>
  </conditionalFormatting>
  <conditionalFormatting sqref="K398">
    <cfRule type="cellIs" dxfId="1" priority="359" operator="equal">
      <formula>"SIN STOCK / CARGAR PRECIO"</formula>
    </cfRule>
  </conditionalFormatting>
  <conditionalFormatting sqref="K398">
    <cfRule type="cellIs" dxfId="0" priority="360" operator="equal">
      <formula>"NORMAL / SIN OFERTA"</formula>
    </cfRule>
  </conditionalFormatting>
  <conditionalFormatting sqref="A398:J398 L398:N398">
    <cfRule type="expression" dxfId="9" priority="361">
      <formula>$I398&gt;=1</formula>
    </cfRule>
  </conditionalFormatting>
  <conditionalFormatting sqref="A398:J398 L398:N398">
    <cfRule type="expression" dxfId="8" priority="362">
      <formula>$H398&gt;=1</formula>
    </cfRule>
  </conditionalFormatting>
  <conditionalFormatting sqref="A398:J398 L398:N398">
    <cfRule type="expression" dxfId="7" priority="363">
      <formula>$G398&gt;=1</formula>
    </cfRule>
  </conditionalFormatting>
  <conditionalFormatting sqref="A398:J398 L398:N398">
    <cfRule type="expression" dxfId="6" priority="364">
      <formula>$F398=0</formula>
    </cfRule>
  </conditionalFormatting>
  <conditionalFormatting sqref="F397">
    <cfRule type="expression" dxfId="5" priority="365">
      <formula>$F397&gt;=4</formula>
    </cfRule>
  </conditionalFormatting>
  <conditionalFormatting sqref="F397">
    <cfRule type="expression" dxfId="4" priority="366">
      <formula>$F397=3</formula>
    </cfRule>
  </conditionalFormatting>
  <conditionalFormatting sqref="F397">
    <cfRule type="expression" dxfId="3" priority="367">
      <formula>$F397=2</formula>
    </cfRule>
  </conditionalFormatting>
  <conditionalFormatting sqref="F397">
    <cfRule type="expression" dxfId="2" priority="368">
      <formula>$F397=1</formula>
    </cfRule>
  </conditionalFormatting>
  <conditionalFormatting sqref="K397">
    <cfRule type="cellIs" dxfId="1" priority="369" operator="equal">
      <formula>"SIN STOCK / CARGAR PRECIO"</formula>
    </cfRule>
  </conditionalFormatting>
  <conditionalFormatting sqref="K397">
    <cfRule type="cellIs" dxfId="0" priority="370" operator="equal">
      <formula>"NORMAL / SIN OFERTA"</formula>
    </cfRule>
  </conditionalFormatting>
  <conditionalFormatting sqref="A397:J397 L397:N397">
    <cfRule type="expression" dxfId="9" priority="371">
      <formula>$I397&gt;=1</formula>
    </cfRule>
  </conditionalFormatting>
  <conditionalFormatting sqref="A397:J397 L397:N397">
    <cfRule type="expression" dxfId="8" priority="372">
      <formula>$H397&gt;=1</formula>
    </cfRule>
  </conditionalFormatting>
  <conditionalFormatting sqref="A397:J397 L397:N397">
    <cfRule type="expression" dxfId="7" priority="373">
      <formula>$G397&gt;=1</formula>
    </cfRule>
  </conditionalFormatting>
  <conditionalFormatting sqref="A397:J397 L397:N397">
    <cfRule type="expression" dxfId="6" priority="374">
      <formula>$F397=0</formula>
    </cfRule>
  </conditionalFormatting>
  <conditionalFormatting sqref="F396">
    <cfRule type="expression" dxfId="5" priority="375">
      <formula>$F396&gt;=4</formula>
    </cfRule>
  </conditionalFormatting>
  <conditionalFormatting sqref="F396">
    <cfRule type="expression" dxfId="4" priority="376">
      <formula>$F396=3</formula>
    </cfRule>
  </conditionalFormatting>
  <conditionalFormatting sqref="F396">
    <cfRule type="expression" dxfId="3" priority="377">
      <formula>$F396=2</formula>
    </cfRule>
  </conditionalFormatting>
  <conditionalFormatting sqref="F396">
    <cfRule type="expression" dxfId="2" priority="378">
      <formula>$F396=1</formula>
    </cfRule>
  </conditionalFormatting>
  <conditionalFormatting sqref="K396">
    <cfRule type="cellIs" dxfId="1" priority="379" operator="equal">
      <formula>"SIN STOCK / CARGAR PRECIO"</formula>
    </cfRule>
  </conditionalFormatting>
  <conditionalFormatting sqref="K396">
    <cfRule type="cellIs" dxfId="0" priority="380" operator="equal">
      <formula>"NORMAL / SIN OFERTA"</formula>
    </cfRule>
  </conditionalFormatting>
  <conditionalFormatting sqref="A396:J396 L396:N396">
    <cfRule type="expression" dxfId="9" priority="381">
      <formula>$I396&gt;=1</formula>
    </cfRule>
  </conditionalFormatting>
  <conditionalFormatting sqref="A396:J396 L396:N396">
    <cfRule type="expression" dxfId="8" priority="382">
      <formula>$H396&gt;=1</formula>
    </cfRule>
  </conditionalFormatting>
  <conditionalFormatting sqref="A396:J396 L396:N396">
    <cfRule type="expression" dxfId="7" priority="383">
      <formula>$G396&gt;=1</formula>
    </cfRule>
  </conditionalFormatting>
  <conditionalFormatting sqref="A396:J396 L396:N396">
    <cfRule type="expression" dxfId="6" priority="384">
      <formula>$F396=0</formula>
    </cfRule>
  </conditionalFormatting>
  <conditionalFormatting sqref="F394:F395">
    <cfRule type="expression" dxfId="5" priority="385">
      <formula>$F394&gt;=4</formula>
    </cfRule>
  </conditionalFormatting>
  <conditionalFormatting sqref="F394:F395">
    <cfRule type="expression" dxfId="4" priority="386">
      <formula>$F394=3</formula>
    </cfRule>
  </conditionalFormatting>
  <conditionalFormatting sqref="F394:F395">
    <cfRule type="expression" dxfId="3" priority="387">
      <formula>$F394=2</formula>
    </cfRule>
  </conditionalFormatting>
  <conditionalFormatting sqref="F394:F395">
    <cfRule type="expression" dxfId="2" priority="388">
      <formula>$F394=1</formula>
    </cfRule>
  </conditionalFormatting>
  <conditionalFormatting sqref="K394:K395">
    <cfRule type="cellIs" dxfId="1" priority="389" operator="equal">
      <formula>"SIN STOCK / CARGAR PRECIO"</formula>
    </cfRule>
  </conditionalFormatting>
  <conditionalFormatting sqref="K394:K395">
    <cfRule type="cellIs" dxfId="0" priority="390" operator="equal">
      <formula>"NORMAL / SIN OFERTA"</formula>
    </cfRule>
  </conditionalFormatting>
  <conditionalFormatting sqref="A394:E394 F394:F395 G394:J394 L394:N394">
    <cfRule type="expression" dxfId="9" priority="391">
      <formula>$I394&gt;=1</formula>
    </cfRule>
  </conditionalFormatting>
  <conditionalFormatting sqref="A394:E394 F394:F395 G394:J394 L394:N394">
    <cfRule type="expression" dxfId="8" priority="392">
      <formula>$H394&gt;=1</formula>
    </cfRule>
  </conditionalFormatting>
  <conditionalFormatting sqref="A394:E394 F394:F395 G394:J394 L394:N394">
    <cfRule type="expression" dxfId="7" priority="393">
      <formula>$G394&gt;=1</formula>
    </cfRule>
  </conditionalFormatting>
  <conditionalFormatting sqref="A394:E394 F394:F395 G394:J394 L394:N394">
    <cfRule type="expression" dxfId="6" priority="394">
      <formula>$F394=0</formula>
    </cfRule>
  </conditionalFormatting>
  <conditionalFormatting sqref="F393">
    <cfRule type="expression" dxfId="5" priority="395">
      <formula>$F393&gt;=4</formula>
    </cfRule>
  </conditionalFormatting>
  <conditionalFormatting sqref="F393">
    <cfRule type="expression" dxfId="4" priority="396">
      <formula>$F393=3</formula>
    </cfRule>
  </conditionalFormatting>
  <conditionalFormatting sqref="F393">
    <cfRule type="expression" dxfId="3" priority="397">
      <formula>$F393=2</formula>
    </cfRule>
  </conditionalFormatting>
  <conditionalFormatting sqref="F393">
    <cfRule type="expression" dxfId="2" priority="398">
      <formula>$F393=1</formula>
    </cfRule>
  </conditionalFormatting>
  <conditionalFormatting sqref="K393">
    <cfRule type="cellIs" dxfId="1" priority="399" operator="equal">
      <formula>"SIN STOCK / CARGAR PRECIO"</formula>
    </cfRule>
  </conditionalFormatting>
  <conditionalFormatting sqref="K393">
    <cfRule type="cellIs" dxfId="0" priority="400" operator="equal">
      <formula>"NORMAL / SIN OFERTA"</formula>
    </cfRule>
  </conditionalFormatting>
  <conditionalFormatting sqref="A393:J393 L393:N393">
    <cfRule type="expression" dxfId="9" priority="401">
      <formula>$I393&gt;=1</formula>
    </cfRule>
  </conditionalFormatting>
  <conditionalFormatting sqref="A393:J393 L393:N393">
    <cfRule type="expression" dxfId="8" priority="402">
      <formula>$H393&gt;=1</formula>
    </cfRule>
  </conditionalFormatting>
  <conditionalFormatting sqref="A393:J393 L393:N393">
    <cfRule type="expression" dxfId="7" priority="403">
      <formula>$G393&gt;=1</formula>
    </cfRule>
  </conditionalFormatting>
  <conditionalFormatting sqref="A393:J393 L393:N393">
    <cfRule type="expression" dxfId="6" priority="404">
      <formula>$F393=0</formula>
    </cfRule>
  </conditionalFormatting>
  <conditionalFormatting sqref="A391:J391 L391:N391">
    <cfRule type="expression" dxfId="9" priority="405">
      <formula>$I391&gt;=1</formula>
    </cfRule>
  </conditionalFormatting>
  <conditionalFormatting sqref="A391:J391 L391:N391">
    <cfRule type="expression" dxfId="8" priority="406">
      <formula>$H391&gt;=1</formula>
    </cfRule>
  </conditionalFormatting>
  <conditionalFormatting sqref="A391:J391 L391:N391">
    <cfRule type="expression" dxfId="7" priority="407">
      <formula>$G391&gt;=1</formula>
    </cfRule>
  </conditionalFormatting>
  <conditionalFormatting sqref="A391:J391 L391:N391">
    <cfRule type="expression" dxfId="6" priority="408">
      <formula>$F391=0</formula>
    </cfRule>
  </conditionalFormatting>
  <conditionalFormatting sqref="F391">
    <cfRule type="expression" dxfId="5" priority="409">
      <formula>$F391&gt;=4</formula>
    </cfRule>
  </conditionalFormatting>
  <conditionalFormatting sqref="F391">
    <cfRule type="expression" dxfId="4" priority="410">
      <formula>$F391=3</formula>
    </cfRule>
  </conditionalFormatting>
  <conditionalFormatting sqref="F391">
    <cfRule type="expression" dxfId="3" priority="411">
      <formula>$F391=2</formula>
    </cfRule>
  </conditionalFormatting>
  <conditionalFormatting sqref="F391">
    <cfRule type="expression" dxfId="2" priority="412">
      <formula>$F391=1</formula>
    </cfRule>
  </conditionalFormatting>
  <conditionalFormatting sqref="K391">
    <cfRule type="cellIs" dxfId="1" priority="413" operator="equal">
      <formula>"SIN STOCK / CARGAR PRECIO"</formula>
    </cfRule>
  </conditionalFormatting>
  <conditionalFormatting sqref="K391">
    <cfRule type="cellIs" dxfId="0" priority="414" operator="equal">
      <formula>"NORMAL / SIN OFERTA"</formula>
    </cfRule>
  </conditionalFormatting>
  <conditionalFormatting sqref="A390:J390 B392:J392 L390:N390 L392:N392">
    <cfRule type="expression" dxfId="9" priority="415">
      <formula>$I390&gt;=1</formula>
    </cfRule>
  </conditionalFormatting>
  <conditionalFormatting sqref="A390:J390 B392:J392 L390:N390 L392:N392">
    <cfRule type="expression" dxfId="8" priority="416">
      <formula>$H390&gt;=1</formula>
    </cfRule>
  </conditionalFormatting>
  <conditionalFormatting sqref="A390:J390 B392:J392 L390:N390 L392:N392">
    <cfRule type="expression" dxfId="7" priority="417">
      <formula>$G390&gt;=1</formula>
    </cfRule>
  </conditionalFormatting>
  <conditionalFormatting sqref="A390:J390 B392:J392 L390:N390 L392:N392">
    <cfRule type="expression" dxfId="6" priority="418">
      <formula>$F390=0</formula>
    </cfRule>
  </conditionalFormatting>
  <conditionalFormatting sqref="F390 F392">
    <cfRule type="expression" dxfId="5" priority="419">
      <formula>$F390&gt;=4</formula>
    </cfRule>
  </conditionalFormatting>
  <conditionalFormatting sqref="F390 F392">
    <cfRule type="expression" dxfId="4" priority="420">
      <formula>$F390=3</formula>
    </cfRule>
  </conditionalFormatting>
  <conditionalFormatting sqref="F390 F392">
    <cfRule type="expression" dxfId="3" priority="421">
      <formula>$F390=2</formula>
    </cfRule>
  </conditionalFormatting>
  <conditionalFormatting sqref="F390 F392">
    <cfRule type="expression" dxfId="2" priority="422">
      <formula>$F390=1</formula>
    </cfRule>
  </conditionalFormatting>
  <conditionalFormatting sqref="K390 K392">
    <cfRule type="cellIs" dxfId="1" priority="423" operator="equal">
      <formula>"SIN STOCK / CARGAR PRECIO"</formula>
    </cfRule>
  </conditionalFormatting>
  <conditionalFormatting sqref="K390 K392">
    <cfRule type="cellIs" dxfId="0" priority="424" operator="equal">
      <formula>"NORMAL / SIN OFERTA"</formula>
    </cfRule>
  </conditionalFormatting>
  <conditionalFormatting sqref="A386:B387 C386:C416 D386:J389 L386:N389">
    <cfRule type="expression" dxfId="9" priority="425">
      <formula>$I386&gt;=1</formula>
    </cfRule>
  </conditionalFormatting>
  <conditionalFormatting sqref="A386:B387 C386:C416 D386:J389 L386:N389">
    <cfRule type="expression" dxfId="8" priority="426">
      <formula>$H386&gt;=1</formula>
    </cfRule>
  </conditionalFormatting>
  <conditionalFormatting sqref="A386:B387 C386:C416 D386:J389 L386:N389">
    <cfRule type="expression" dxfId="7" priority="427">
      <formula>$G386&gt;=1</formula>
    </cfRule>
  </conditionalFormatting>
  <conditionalFormatting sqref="A386:B387 C386:C416 D386:J389 L386:N389">
    <cfRule type="expression" dxfId="6" priority="428">
      <formula>$F386=0</formula>
    </cfRule>
  </conditionalFormatting>
  <conditionalFormatting sqref="F386:F389">
    <cfRule type="expression" dxfId="5" priority="429">
      <formula>$F386&gt;=4</formula>
    </cfRule>
  </conditionalFormatting>
  <conditionalFormatting sqref="F386:F389">
    <cfRule type="expression" dxfId="4" priority="430">
      <formula>$F386=3</formula>
    </cfRule>
  </conditionalFormatting>
  <conditionalFormatting sqref="F386:F389">
    <cfRule type="expression" dxfId="3" priority="431">
      <formula>$F386=2</formula>
    </cfRule>
  </conditionalFormatting>
  <conditionalFormatting sqref="F386:F389">
    <cfRule type="expression" dxfId="2" priority="432">
      <formula>$F386=1</formula>
    </cfRule>
  </conditionalFormatting>
  <conditionalFormatting sqref="F383">
    <cfRule type="expression" dxfId="5" priority="433">
      <formula>$F383&gt;=4</formula>
    </cfRule>
  </conditionalFormatting>
  <conditionalFormatting sqref="F383">
    <cfRule type="expression" dxfId="4" priority="434">
      <formula>$F383=3</formula>
    </cfRule>
  </conditionalFormatting>
  <conditionalFormatting sqref="F383">
    <cfRule type="expression" dxfId="3" priority="435">
      <formula>$F383=2</formula>
    </cfRule>
  </conditionalFormatting>
  <conditionalFormatting sqref="F383">
    <cfRule type="expression" dxfId="2" priority="436">
      <formula>$F383=1</formula>
    </cfRule>
  </conditionalFormatting>
  <conditionalFormatting sqref="A383:J383 L383:N383">
    <cfRule type="expression" dxfId="9" priority="437">
      <formula>$I383&gt;=1</formula>
    </cfRule>
  </conditionalFormatting>
  <conditionalFormatting sqref="A383:J383 L383:N383">
    <cfRule type="expression" dxfId="8" priority="438">
      <formula>$H383&gt;=1</formula>
    </cfRule>
  </conditionalFormatting>
  <conditionalFormatting sqref="A383:J383 L383:N383">
    <cfRule type="expression" dxfId="7" priority="439">
      <formula>$G383&gt;=1</formula>
    </cfRule>
  </conditionalFormatting>
  <conditionalFormatting sqref="A383:J383 L383:N383">
    <cfRule type="expression" dxfId="6" priority="440">
      <formula>$F383=0</formula>
    </cfRule>
  </conditionalFormatting>
  <conditionalFormatting sqref="F382">
    <cfRule type="expression" dxfId="5" priority="441">
      <formula>$F382&gt;=4</formula>
    </cfRule>
  </conditionalFormatting>
  <conditionalFormatting sqref="F382">
    <cfRule type="expression" dxfId="4" priority="442">
      <formula>$F382=3</formula>
    </cfRule>
  </conditionalFormatting>
  <conditionalFormatting sqref="F382">
    <cfRule type="expression" dxfId="3" priority="443">
      <formula>$F382=2</formula>
    </cfRule>
  </conditionalFormatting>
  <conditionalFormatting sqref="F382">
    <cfRule type="expression" dxfId="2" priority="444">
      <formula>$F382=1</formula>
    </cfRule>
  </conditionalFormatting>
  <conditionalFormatting sqref="A382:J382 L382:N382">
    <cfRule type="expression" dxfId="9" priority="445">
      <formula>$I382&gt;=1</formula>
    </cfRule>
  </conditionalFormatting>
  <conditionalFormatting sqref="A382:J382 L382:N382">
    <cfRule type="expression" dxfId="8" priority="446">
      <formula>$H382&gt;=1</formula>
    </cfRule>
  </conditionalFormatting>
  <conditionalFormatting sqref="A382:J382 L382:N382">
    <cfRule type="expression" dxfId="7" priority="447">
      <formula>$G382&gt;=1</formula>
    </cfRule>
  </conditionalFormatting>
  <conditionalFormatting sqref="A382:J382 L382:N382">
    <cfRule type="expression" dxfId="6" priority="448">
      <formula>$F382=0</formula>
    </cfRule>
  </conditionalFormatting>
  <conditionalFormatting sqref="F381">
    <cfRule type="expression" dxfId="5" priority="449">
      <formula>$F381&gt;=4</formula>
    </cfRule>
  </conditionalFormatting>
  <conditionalFormatting sqref="F381">
    <cfRule type="expression" dxfId="4" priority="450">
      <formula>$F381=3</formula>
    </cfRule>
  </conditionalFormatting>
  <conditionalFormatting sqref="F381">
    <cfRule type="expression" dxfId="3" priority="451">
      <formula>$F381=2</formula>
    </cfRule>
  </conditionalFormatting>
  <conditionalFormatting sqref="F381">
    <cfRule type="expression" dxfId="2" priority="452">
      <formula>$F381=1</formula>
    </cfRule>
  </conditionalFormatting>
  <conditionalFormatting sqref="A381:J381 L381:N381">
    <cfRule type="expression" dxfId="9" priority="453">
      <formula>$I381&gt;=1</formula>
    </cfRule>
  </conditionalFormatting>
  <conditionalFormatting sqref="A381:J381 L381:N381">
    <cfRule type="expression" dxfId="8" priority="454">
      <formula>$H381&gt;=1</formula>
    </cfRule>
  </conditionalFormatting>
  <conditionalFormatting sqref="A381:J381 L381:N381">
    <cfRule type="expression" dxfId="7" priority="455">
      <formula>$G381&gt;=1</formula>
    </cfRule>
  </conditionalFormatting>
  <conditionalFormatting sqref="A381:J381 L381:N381">
    <cfRule type="expression" dxfId="6" priority="456">
      <formula>$F381=0</formula>
    </cfRule>
  </conditionalFormatting>
  <conditionalFormatting sqref="F379:F380">
    <cfRule type="expression" dxfId="5" priority="457">
      <formula>$F379&gt;=4</formula>
    </cfRule>
  </conditionalFormatting>
  <conditionalFormatting sqref="F379:F380">
    <cfRule type="expression" dxfId="4" priority="458">
      <formula>$F379=3</formula>
    </cfRule>
  </conditionalFormatting>
  <conditionalFormatting sqref="F379:F380">
    <cfRule type="expression" dxfId="3" priority="459">
      <formula>$F379=2</formula>
    </cfRule>
  </conditionalFormatting>
  <conditionalFormatting sqref="F379:F380">
    <cfRule type="expression" dxfId="2" priority="460">
      <formula>$F379=1</formula>
    </cfRule>
  </conditionalFormatting>
  <conditionalFormatting sqref="A379 B379:J380 L379:N380">
    <cfRule type="expression" dxfId="9" priority="461">
      <formula>$I379&gt;=1</formula>
    </cfRule>
  </conditionalFormatting>
  <conditionalFormatting sqref="A379 B379:J380 L379:N380">
    <cfRule type="expression" dxfId="8" priority="462">
      <formula>$H379&gt;=1</formula>
    </cfRule>
  </conditionalFormatting>
  <conditionalFormatting sqref="A379 B379:J380 L379:N380">
    <cfRule type="expression" dxfId="7" priority="463">
      <formula>$G379&gt;=1</formula>
    </cfRule>
  </conditionalFormatting>
  <conditionalFormatting sqref="A379 B379:J380 L379:N380">
    <cfRule type="expression" dxfId="6" priority="464">
      <formula>$F379=0</formula>
    </cfRule>
  </conditionalFormatting>
  <conditionalFormatting sqref="F377:F378 F384:F385">
    <cfRule type="expression" dxfId="5" priority="465">
      <formula>$F377&gt;=4</formula>
    </cfRule>
  </conditionalFormatting>
  <conditionalFormatting sqref="F377:F378 F384:F385">
    <cfRule type="expression" dxfId="4" priority="466">
      <formula>$F377=3</formula>
    </cfRule>
  </conditionalFormatting>
  <conditionalFormatting sqref="F377:F378 F384:F385">
    <cfRule type="expression" dxfId="3" priority="467">
      <formula>$F377=2</formula>
    </cfRule>
  </conditionalFormatting>
  <conditionalFormatting sqref="F377:F378 F384:F385">
    <cfRule type="expression" dxfId="2" priority="468">
      <formula>$F377=1</formula>
    </cfRule>
  </conditionalFormatting>
  <conditionalFormatting sqref="A377 B377:J378 B384:B385 C384:C386 D384:J385 L377:N378 L384:N385">
    <cfRule type="expression" dxfId="9" priority="469">
      <formula>$I377&gt;=1</formula>
    </cfRule>
  </conditionalFormatting>
  <conditionalFormatting sqref="A377 B377:J378 B384:B385 C384:C386 D384:J385 L377:N378 L384:N385">
    <cfRule type="expression" dxfId="8" priority="470">
      <formula>$H377&gt;=1</formula>
    </cfRule>
  </conditionalFormatting>
  <conditionalFormatting sqref="A377 B377:J378 B384:B385 C384:C386 D384:J385 L377:N378 L384:N385">
    <cfRule type="expression" dxfId="7" priority="471">
      <formula>$G377&gt;=1</formula>
    </cfRule>
  </conditionalFormatting>
  <conditionalFormatting sqref="A377 B377:J378 B384:B385 C384:C386 D384:J385 L377:N378 L384:N385">
    <cfRule type="expression" dxfId="6" priority="472">
      <formula>$F377=0</formula>
    </cfRule>
  </conditionalFormatting>
  <conditionalFormatting sqref="A193:J193 L193:N193">
    <cfRule type="expression" dxfId="6" priority="473">
      <formula>$F193=0</formula>
    </cfRule>
  </conditionalFormatting>
  <conditionalFormatting sqref="A193:J193 L193:N193">
    <cfRule type="expression" dxfId="8" priority="474">
      <formula>$H193&gt;=1</formula>
    </cfRule>
  </conditionalFormatting>
  <conditionalFormatting sqref="A193:J193 L193:N193">
    <cfRule type="expression" dxfId="9" priority="475">
      <formula>$I193&gt;=1</formula>
    </cfRule>
  </conditionalFormatting>
  <conditionalFormatting sqref="A193:J193 L193:N193">
    <cfRule type="expression" dxfId="7" priority="476">
      <formula>$G193&gt;=1</formula>
    </cfRule>
  </conditionalFormatting>
  <conditionalFormatting sqref="F193">
    <cfRule type="expression" dxfId="2" priority="477">
      <formula>$F193=1</formula>
    </cfRule>
  </conditionalFormatting>
  <conditionalFormatting sqref="F193">
    <cfRule type="expression" dxfId="3" priority="478">
      <formula>$F193=2</formula>
    </cfRule>
  </conditionalFormatting>
  <conditionalFormatting sqref="F193">
    <cfRule type="expression" dxfId="4" priority="479">
      <formula>$F193=3</formula>
    </cfRule>
  </conditionalFormatting>
  <conditionalFormatting sqref="F193">
    <cfRule type="expression" dxfId="5" priority="480">
      <formula>$F193&gt;=4</formula>
    </cfRule>
  </conditionalFormatting>
  <conditionalFormatting sqref="F1 F228:F376 F524:F729">
    <cfRule type="expression" dxfId="5" priority="481">
      <formula>$F1&gt;=4</formula>
    </cfRule>
  </conditionalFormatting>
  <conditionalFormatting sqref="F2:F177 F179:F595">
    <cfRule type="expression" dxfId="11" priority="482">
      <formula>$F2=3</formula>
    </cfRule>
  </conditionalFormatting>
  <conditionalFormatting sqref="F2:F177 F179:F595">
    <cfRule type="expression" dxfId="12" priority="483">
      <formula>$F2=2</formula>
    </cfRule>
  </conditionalFormatting>
  <conditionalFormatting sqref="F2:F177 F179:F595">
    <cfRule type="expression" dxfId="13" priority="484">
      <formula>$F2=1</formula>
    </cfRule>
  </conditionalFormatting>
  <conditionalFormatting sqref="A471">
    <cfRule type="notContainsBlanks" dxfId="14" priority="485">
      <formula>LEN(TRIM(A471))&gt;0</formula>
    </cfRule>
  </conditionalFormatting>
  <conditionalFormatting sqref="G2:G729">
    <cfRule type="cellIs" dxfId="10" priority="486" operator="equal">
      <formula>"PROMOS"</formula>
    </cfRule>
  </conditionalFormatting>
  <conditionalFormatting sqref="O2:P600">
    <cfRule type="containsBlanks" dxfId="14" priority="487">
      <formula>LEN(TRIM(O2))=0</formula>
    </cfRule>
  </conditionalFormatting>
  <conditionalFormatting sqref="O2:P600">
    <cfRule type="notContainsBlanks" dxfId="14" priority="488">
      <formula>LEN(TRIM(O2))&gt;0</formula>
    </cfRule>
  </conditionalFormatting>
  <conditionalFormatting sqref="T2:T600">
    <cfRule type="notContainsBlanks" dxfId="14" priority="489">
      <formula>LEN(TRIM(T2))&gt;0</formula>
    </cfRule>
  </conditionalFormatting>
  <conditionalFormatting sqref="T2:T600">
    <cfRule type="containsBlanks" dxfId="14" priority="490">
      <formula>LEN(TRIM(T2))=0</formula>
    </cfRule>
  </conditionalFormatting>
  <conditionalFormatting sqref="S2:S600">
    <cfRule type="notContainsBlanks" dxfId="14" priority="491">
      <formula>LEN(TRIM(S2))&gt;0</formula>
    </cfRule>
  </conditionalFormatting>
  <conditionalFormatting sqref="S2:S600">
    <cfRule type="containsBlanks" dxfId="14" priority="492">
      <formula>LEN(TRIM(S2))=0</formula>
    </cfRule>
  </conditionalFormatting>
  <conditionalFormatting sqref="U2:U600">
    <cfRule type="containsBlanks" dxfId="14" priority="493">
      <formula>LEN(TRIM(U2))=0</formula>
    </cfRule>
  </conditionalFormatting>
  <conditionalFormatting sqref="U2:U600">
    <cfRule type="notContainsBlanks" dxfId="14" priority="494">
      <formula>LEN(TRIM(U2))&gt;0</formula>
    </cfRule>
  </conditionalFormatting>
  <conditionalFormatting sqref="R2:R600">
    <cfRule type="notContainsBlanks" dxfId="14" priority="495">
      <formula>LEN(TRIM(R2))&gt;0</formula>
    </cfRule>
  </conditionalFormatting>
  <conditionalFormatting sqref="R2:R600">
    <cfRule type="containsBlanks" dxfId="14" priority="496">
      <formula>LEN(TRIM(R2))=0</formula>
    </cfRule>
  </conditionalFormatting>
  <conditionalFormatting sqref="N2:N605 Q2:Q600">
    <cfRule type="notContainsBlanks" dxfId="15" priority="497">
      <formula>LEN(TRIM(N2))&gt;0</formula>
    </cfRule>
  </conditionalFormatting>
  <conditionalFormatting sqref="O2:O600">
    <cfRule type="containsBlanks" dxfId="14" priority="498">
      <formula>LEN(TRIM(O2))=0</formula>
    </cfRule>
  </conditionalFormatting>
  <printOptions/>
  <pageMargins bottom="1.0" footer="0.0" header="0.0" left="0.75" right="0.75" top="1.0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85" t="s">
        <v>1281</v>
      </c>
      <c r="B1" s="86" t="s">
        <v>1282</v>
      </c>
      <c r="C1" s="86" t="s">
        <v>1283</v>
      </c>
      <c r="D1" s="86" t="s">
        <v>1284</v>
      </c>
      <c r="E1" s="86" t="s">
        <v>1285</v>
      </c>
      <c r="F1" s="86" t="s">
        <v>1286</v>
      </c>
    </row>
    <row r="2" ht="15.75" customHeight="1">
      <c r="A2" s="85">
        <f>IFERROR(__xludf.DUMMYFUNCTION("IFERROR(UNIQUE(FILTER(INT(Ventas!B:B),LEN(Ventas!F:F)&gt;0,INT(Ventas!B:B)&gt;0)),"""")"),46075.0)</f>
        <v>46075</v>
      </c>
      <c r="B2" s="86">
        <f>IF(A2="","",IFERROR(SUMPRODUCT((INT(Ventas!$B$2:$B$4994)=A2)*(ISNUMBER(SEARCH("EFECTIVO",Ventas!$F$2:$F$4994)))*Ventas!$H$2:$H$4994),0))</f>
        <v>9500</v>
      </c>
      <c r="C2" s="86">
        <f>IF(A2="","",IFERROR(SUMPRODUCT((INT(Ventas!$B$2:$B$4994)=A2)*(ISNUMBER(SEARCH("POSNET",Ventas!$F$2:$F$4994)))*Ventas!$H$2:$H$4994),0))</f>
        <v>0</v>
      </c>
      <c r="D2" s="86">
        <f>IF(A2="","",IFERROR(SUMPRODUCT((INT(Ventas!$B$2:$B$4994)=A2)*(ISNUMBER(SEARCH("TRANSFERENCIA",Ventas!$F$2:$F$4994)))*Ventas!$H$2:$H$4994),0))</f>
        <v>0</v>
      </c>
      <c r="E2" s="86">
        <f t="shared" ref="E2:E43" si="1">B2+C2+D2</f>
        <v>9500</v>
      </c>
      <c r="F2" s="86">
        <f>IF(A2="","",IFERROR(SUMPRODUCT((INT(Ventas!$B$2:$B$4994)=A2)*((ISNUMBER(SEARCH("EFECTIVO",Ventas!$F$2:$F$4994)))+(ISNUMBER(SEARCH("POSNET",Ventas!$F$2:$F$4994)))+(ISNUMBER(SEARCH("TRANSFERENCIA",Ventas!$F$2:$F$4994)))&gt;0)),0))</f>
        <v>4</v>
      </c>
    </row>
    <row r="3" ht="15.75" customHeight="1">
      <c r="A3" s="85">
        <f>IFERROR(__xludf.DUMMYFUNCTION("""COMPUTED_VALUE"""),46076.0)</f>
        <v>46076</v>
      </c>
      <c r="B3" s="86">
        <f>IF(A3="","",IFERROR(SUMPRODUCT((INT(Ventas!$B$2:$B$4994)=A3)*(ISNUMBER(SEARCH("EFECTIVO",Ventas!$F$2:$F$4994)))*Ventas!$H$2:$H$4994),0))</f>
        <v>202790</v>
      </c>
      <c r="C3" s="86">
        <f>IF(A3="","",IFERROR(SUMPRODUCT((INT(Ventas!$B$2:$B$4994)=A3)*(ISNUMBER(SEARCH("POSNET",Ventas!$F$2:$F$4994)))*Ventas!$H$2:$H$4994),0))</f>
        <v>500</v>
      </c>
      <c r="D3" s="86">
        <f>IF(A3="","",IFERROR(SUMPRODUCT((INT(Ventas!$B$2:$B$4994)=A3)*(ISNUMBER(SEARCH("TRANSFERENCIA",Ventas!$F$2:$F$4994)))*Ventas!$H$2:$H$4994),0))</f>
        <v>500</v>
      </c>
      <c r="E3" s="86">
        <f t="shared" si="1"/>
        <v>203790</v>
      </c>
      <c r="F3" s="86">
        <f>IF(A3="","",IFERROR(SUMPRODUCT((INT(Ventas!$B$2:$B$4994)=A3)*((ISNUMBER(SEARCH("EFECTIVO",Ventas!$F$2:$F$4994)))+(ISNUMBER(SEARCH("POSNET",Ventas!$F$2:$F$4994)))+(ISNUMBER(SEARCH("TRANSFERENCIA",Ventas!$F$2:$F$4994)))&gt;0)),0))</f>
        <v>23</v>
      </c>
    </row>
    <row r="4" ht="15.75" customHeight="1">
      <c r="A4" s="85">
        <f>IFERROR(__xludf.DUMMYFUNCTION("""COMPUTED_VALUE"""),46077.0)</f>
        <v>46077</v>
      </c>
      <c r="B4" s="86">
        <f>IF(A4="","",IFERROR(SUMPRODUCT((INT(Ventas!$B$2:$B$4994)=A4)*(ISNUMBER(SEARCH("EFECTIVO",Ventas!$F$2:$F$4994)))*Ventas!$H$2:$H$4994),0))</f>
        <v>50310</v>
      </c>
      <c r="C4" s="86">
        <f>IF(A4="","",IFERROR(SUMPRODUCT((INT(Ventas!$B$2:$B$4994)=A4)*(ISNUMBER(SEARCH("POSNET",Ventas!$F$2:$F$4994)))*Ventas!$H$2:$H$4994),0))</f>
        <v>0</v>
      </c>
      <c r="D4" s="86">
        <f>IF(A4="","",IFERROR(SUMPRODUCT((INT(Ventas!$B$2:$B$4994)=A4)*(ISNUMBER(SEARCH("TRANSFERENCIA",Ventas!$F$2:$F$4994)))*Ventas!$H$2:$H$4994),0))</f>
        <v>14500</v>
      </c>
      <c r="E4" s="86">
        <f t="shared" si="1"/>
        <v>64810</v>
      </c>
      <c r="F4" s="86">
        <f>IF(A4="","",IFERROR(SUMPRODUCT((INT(Ventas!$B$2:$B$4994)=A4)*((ISNUMBER(SEARCH("EFECTIVO",Ventas!$F$2:$F$4994)))+(ISNUMBER(SEARCH("POSNET",Ventas!$F$2:$F$4994)))+(ISNUMBER(SEARCH("TRANSFERENCIA",Ventas!$F$2:$F$4994)))&gt;0)),0))</f>
        <v>7</v>
      </c>
    </row>
    <row r="5" ht="15.75" customHeight="1">
      <c r="A5" s="85">
        <f>IFERROR(__xludf.DUMMYFUNCTION("""COMPUTED_VALUE"""),46078.0)</f>
        <v>46078</v>
      </c>
      <c r="B5" s="86">
        <f>IF(A5="","",IFERROR(SUMPRODUCT((INT(Ventas!$B$2:$B$4994)=A5)*(ISNUMBER(SEARCH("EFECTIVO",Ventas!$F$2:$F$4994)))*Ventas!$H$2:$H$4994),0))</f>
        <v>112424</v>
      </c>
      <c r="C5" s="86">
        <f>IF(A5="","",IFERROR(SUMPRODUCT((INT(Ventas!$B$2:$B$4994)=A5)*(ISNUMBER(SEARCH("POSNET",Ventas!$F$2:$F$4994)))*Ventas!$H$2:$H$4994),0))</f>
        <v>0</v>
      </c>
      <c r="D5" s="86">
        <f>IF(A5="","",IFERROR(SUMPRODUCT((INT(Ventas!$B$2:$B$4994)=A5)*(ISNUMBER(SEARCH("TRANSFERENCIA",Ventas!$F$2:$F$4994)))*Ventas!$H$2:$H$4994),0))</f>
        <v>81100</v>
      </c>
      <c r="E5" s="86">
        <f t="shared" si="1"/>
        <v>193524</v>
      </c>
      <c r="F5" s="86">
        <f>IF(A5="","",IFERROR(SUMPRODUCT((INT(Ventas!$B$2:$B$4994)=A5)*((ISNUMBER(SEARCH("EFECTIVO",Ventas!$F$2:$F$4994)))+(ISNUMBER(SEARCH("POSNET",Ventas!$F$2:$F$4994)))+(ISNUMBER(SEARCH("TRANSFERENCIA",Ventas!$F$2:$F$4994)))&gt;0)),0))</f>
        <v>28</v>
      </c>
    </row>
    <row r="6" ht="15.75" customHeight="1">
      <c r="A6" s="85">
        <f>IFERROR(__xludf.DUMMYFUNCTION("""COMPUTED_VALUE"""),46079.0)</f>
        <v>46079</v>
      </c>
      <c r="B6" s="86">
        <f>IF(A6="","",IFERROR(SUMPRODUCT((INT(Ventas!$B$2:$B$4994)=A6)*(ISNUMBER(SEARCH("EFECTIVO",Ventas!$F$2:$F$4994)))*Ventas!$H$2:$H$4994),0))</f>
        <v>47250</v>
      </c>
      <c r="C6" s="86">
        <f>IF(A6="","",IFERROR(SUMPRODUCT((INT(Ventas!$B$2:$B$4994)=A6)*(ISNUMBER(SEARCH("POSNET",Ventas!$F$2:$F$4994)))*Ventas!$H$2:$H$4994),0))</f>
        <v>0</v>
      </c>
      <c r="D6" s="86">
        <f>IF(A6="","",IFERROR(SUMPRODUCT((INT(Ventas!$B$2:$B$4994)=A6)*(ISNUMBER(SEARCH("TRANSFERENCIA",Ventas!$F$2:$F$4994)))*Ventas!$H$2:$H$4994),0))</f>
        <v>69099</v>
      </c>
      <c r="E6" s="86">
        <f t="shared" si="1"/>
        <v>116349</v>
      </c>
      <c r="F6" s="86">
        <f>IF(A6="","",IFERROR(SUMPRODUCT((INT(Ventas!$B$2:$B$4994)=A6)*((ISNUMBER(SEARCH("EFECTIVO",Ventas!$F$2:$F$4994)))+(ISNUMBER(SEARCH("POSNET",Ventas!$F$2:$F$4994)))+(ISNUMBER(SEARCH("TRANSFERENCIA",Ventas!$F$2:$F$4994)))&gt;0)),0))</f>
        <v>11</v>
      </c>
    </row>
    <row r="7" ht="15.75" customHeight="1">
      <c r="A7" s="85">
        <f>IFERROR(__xludf.DUMMYFUNCTION("""COMPUTED_VALUE"""),46080.0)</f>
        <v>46080</v>
      </c>
      <c r="B7" s="86">
        <f>IF(A7="","",IFERROR(SUMPRODUCT((INT(Ventas!$B$2:$B$4994)=A7)*(ISNUMBER(SEARCH("EFECTIVO",Ventas!$F$2:$F$4994)))*Ventas!$H$2:$H$4994),0))</f>
        <v>78295</v>
      </c>
      <c r="C7" s="86">
        <f>IF(A7="","",IFERROR(SUMPRODUCT((INT(Ventas!$B$2:$B$4994)=A7)*(ISNUMBER(SEARCH("POSNET",Ventas!$F$2:$F$4994)))*Ventas!$H$2:$H$4994),0))</f>
        <v>0</v>
      </c>
      <c r="D7" s="86">
        <f>IF(A7="","",IFERROR(SUMPRODUCT((INT(Ventas!$B$2:$B$4994)=A7)*(ISNUMBER(SEARCH("TRANSFERENCIA",Ventas!$F$2:$F$4994)))*Ventas!$H$2:$H$4994),0))</f>
        <v>77272</v>
      </c>
      <c r="E7" s="86">
        <f t="shared" si="1"/>
        <v>155567</v>
      </c>
      <c r="F7" s="86">
        <f>IF(A7="","",IFERROR(SUMPRODUCT((INT(Ventas!$B$2:$B$4994)=A7)*((ISNUMBER(SEARCH("EFECTIVO",Ventas!$F$2:$F$4994)))+(ISNUMBER(SEARCH("POSNET",Ventas!$F$2:$F$4994)))+(ISNUMBER(SEARCH("TRANSFERENCIA",Ventas!$F$2:$F$4994)))&gt;0)),0))</f>
        <v>15</v>
      </c>
    </row>
    <row r="8" ht="15.75" customHeight="1">
      <c r="A8" s="85">
        <f>IFERROR(__xludf.DUMMYFUNCTION("""COMPUTED_VALUE"""),46081.0)</f>
        <v>46081</v>
      </c>
      <c r="B8" s="86">
        <f>IF(A8="","",IFERROR(SUMPRODUCT((INT(Ventas!$B$2:$B$4994)=A8)*(ISNUMBER(SEARCH("EFECTIVO",Ventas!$F$2:$F$4994)))*Ventas!$H$2:$H$4994),0))</f>
        <v>114835</v>
      </c>
      <c r="C8" s="86">
        <f>IF(A8="","",IFERROR(SUMPRODUCT((INT(Ventas!$B$2:$B$4994)=A8)*(ISNUMBER(SEARCH("POSNET",Ventas!$F$2:$F$4994)))*Ventas!$H$2:$H$4994),0))</f>
        <v>0</v>
      </c>
      <c r="D8" s="86">
        <f>IF(A8="","",IFERROR(SUMPRODUCT((INT(Ventas!$B$2:$B$4994)=A8)*(ISNUMBER(SEARCH("TRANSFERENCIA",Ventas!$F$2:$F$4994)))*Ventas!$H$2:$H$4994),0))</f>
        <v>65518</v>
      </c>
      <c r="E8" s="86">
        <f t="shared" si="1"/>
        <v>180353</v>
      </c>
      <c r="F8" s="86">
        <f>IF(A8="","",IFERROR(SUMPRODUCT((INT(Ventas!$B$2:$B$4994)=A8)*((ISNUMBER(SEARCH("EFECTIVO",Ventas!$F$2:$F$4994)))+(ISNUMBER(SEARCH("POSNET",Ventas!$F$2:$F$4994)))+(ISNUMBER(SEARCH("TRANSFERENCIA",Ventas!$F$2:$F$4994)))&gt;0)),0))</f>
        <v>19</v>
      </c>
    </row>
    <row r="9" ht="15.75" customHeight="1">
      <c r="A9" s="85">
        <f>IFERROR(__xludf.DUMMYFUNCTION("""COMPUTED_VALUE"""),46082.0)</f>
        <v>46082</v>
      </c>
      <c r="B9" s="86">
        <f>IF(A9="","",IFERROR(SUMPRODUCT((INT(Ventas!$B$2:$B$4994)=A9)*(ISNUMBER(SEARCH("EFECTIVO",Ventas!$F$2:$F$4994)))*Ventas!$H$2:$H$4994),0))</f>
        <v>117932</v>
      </c>
      <c r="C9" s="86">
        <f>IF(A9="","",IFERROR(SUMPRODUCT((INT(Ventas!$B$2:$B$4994)=A9)*(ISNUMBER(SEARCH("POSNET",Ventas!$F$2:$F$4994)))*Ventas!$H$2:$H$4994),0))</f>
        <v>0</v>
      </c>
      <c r="D9" s="86">
        <f>IF(A9="","",IFERROR(SUMPRODUCT((INT(Ventas!$B$2:$B$4994)=A9)*(ISNUMBER(SEARCH("TRANSFERENCIA",Ventas!$F$2:$F$4994)))*Ventas!$H$2:$H$4994),0))</f>
        <v>89375</v>
      </c>
      <c r="E9" s="86">
        <f t="shared" si="1"/>
        <v>207307</v>
      </c>
      <c r="F9" s="86">
        <f>IF(A9="","",IFERROR(SUMPRODUCT((INT(Ventas!$B$2:$B$4994)=A9)*((ISNUMBER(SEARCH("EFECTIVO",Ventas!$F$2:$F$4994)))+(ISNUMBER(SEARCH("POSNET",Ventas!$F$2:$F$4994)))+(ISNUMBER(SEARCH("TRANSFERENCIA",Ventas!$F$2:$F$4994)))&gt;0)),0))</f>
        <v>25</v>
      </c>
    </row>
    <row r="10" ht="15.75" customHeight="1">
      <c r="A10" s="85">
        <f>IFERROR(__xludf.DUMMYFUNCTION("""COMPUTED_VALUE"""),46083.0)</f>
        <v>46083</v>
      </c>
      <c r="B10" s="86">
        <f>IF(A10="","",IFERROR(SUMPRODUCT((INT(Ventas!$B$2:$B$4994)=A10)*(ISNUMBER(SEARCH("EFECTIVO",Ventas!$F$2:$F$4994)))*Ventas!$H$2:$H$4994),0))</f>
        <v>67025</v>
      </c>
      <c r="C10" s="86">
        <f>IF(A10="","",IFERROR(SUMPRODUCT((INT(Ventas!$B$2:$B$4994)=A10)*(ISNUMBER(SEARCH("POSNET",Ventas!$F$2:$F$4994)))*Ventas!$H$2:$H$4994),0))</f>
        <v>33350</v>
      </c>
      <c r="D10" s="86">
        <f>IF(A10="","",IFERROR(SUMPRODUCT((INT(Ventas!$B$2:$B$4994)=A10)*(ISNUMBER(SEARCH("TRANSFERENCIA",Ventas!$F$2:$F$4994)))*Ventas!$H$2:$H$4994),0))</f>
        <v>25600</v>
      </c>
      <c r="E10" s="86">
        <f t="shared" si="1"/>
        <v>125975</v>
      </c>
      <c r="F10" s="86">
        <f>IF(A10="","",IFERROR(SUMPRODUCT((INT(Ventas!$B$2:$B$4994)=A10)*((ISNUMBER(SEARCH("EFECTIVO",Ventas!$F$2:$F$4994)))+(ISNUMBER(SEARCH("POSNET",Ventas!$F$2:$F$4994)))+(ISNUMBER(SEARCH("TRANSFERENCIA",Ventas!$F$2:$F$4994)))&gt;0)),0))</f>
        <v>17</v>
      </c>
    </row>
    <row r="11" ht="15.75" customHeight="1">
      <c r="A11" s="85">
        <f>IFERROR(__xludf.DUMMYFUNCTION("""COMPUTED_VALUE"""),46084.0)</f>
        <v>46084</v>
      </c>
      <c r="B11" s="86">
        <f>IF(A11="","",IFERROR(SUMPRODUCT((INT(Ventas!$B$2:$B$4994)=A11)*(ISNUMBER(SEARCH("EFECTIVO",Ventas!$F$2:$F$4994)))*Ventas!$H$2:$H$4994),0))</f>
        <v>62065</v>
      </c>
      <c r="C11" s="86">
        <f>IF(A11="","",IFERROR(SUMPRODUCT((INT(Ventas!$B$2:$B$4994)=A11)*(ISNUMBER(SEARCH("POSNET",Ventas!$F$2:$F$4994)))*Ventas!$H$2:$H$4994),0))</f>
        <v>0</v>
      </c>
      <c r="D11" s="86">
        <f>IF(A11="","",IFERROR(SUMPRODUCT((INT(Ventas!$B$2:$B$4994)=A11)*(ISNUMBER(SEARCH("TRANSFERENCIA",Ventas!$F$2:$F$4994)))*Ventas!$H$2:$H$4994),0))</f>
        <v>40886</v>
      </c>
      <c r="E11" s="86">
        <f t="shared" si="1"/>
        <v>102951</v>
      </c>
      <c r="F11" s="86">
        <f>IF(A11="","",IFERROR(SUMPRODUCT((INT(Ventas!$B$2:$B$4994)=A11)*((ISNUMBER(SEARCH("EFECTIVO",Ventas!$F$2:$F$4994)))+(ISNUMBER(SEARCH("POSNET",Ventas!$F$2:$F$4994)))+(ISNUMBER(SEARCH("TRANSFERENCIA",Ventas!$F$2:$F$4994)))&gt;0)),0))</f>
        <v>13</v>
      </c>
    </row>
    <row r="12" ht="15.75" customHeight="1">
      <c r="A12" s="85">
        <f>IFERROR(__xludf.DUMMYFUNCTION("""COMPUTED_VALUE"""),46085.0)</f>
        <v>46085</v>
      </c>
      <c r="B12" s="86">
        <f>IF(A12="","",IFERROR(SUMPRODUCT((INT(Ventas!$B$2:$B$4994)=A12)*(ISNUMBER(SEARCH("EFECTIVO",Ventas!$F$2:$F$4994)))*Ventas!$H$2:$H$4994),0))</f>
        <v>71941</v>
      </c>
      <c r="C12" s="86">
        <f>IF(A12="","",IFERROR(SUMPRODUCT((INT(Ventas!$B$2:$B$4994)=A12)*(ISNUMBER(SEARCH("POSNET",Ventas!$F$2:$F$4994)))*Ventas!$H$2:$H$4994),0))</f>
        <v>4100</v>
      </c>
      <c r="D12" s="86">
        <f>IF(A12="","",IFERROR(SUMPRODUCT((INT(Ventas!$B$2:$B$4994)=A12)*(ISNUMBER(SEARCH("TRANSFERENCIA",Ventas!$F$2:$F$4994)))*Ventas!$H$2:$H$4994),0))</f>
        <v>65710</v>
      </c>
      <c r="E12" s="86">
        <f t="shared" si="1"/>
        <v>141751</v>
      </c>
      <c r="F12" s="86">
        <f>IF(A12="","",IFERROR(SUMPRODUCT((INT(Ventas!$B$2:$B$4994)=A12)*((ISNUMBER(SEARCH("EFECTIVO",Ventas!$F$2:$F$4994)))+(ISNUMBER(SEARCH("POSNET",Ventas!$F$2:$F$4994)))+(ISNUMBER(SEARCH("TRANSFERENCIA",Ventas!$F$2:$F$4994)))&gt;0)),0))</f>
        <v>15</v>
      </c>
    </row>
    <row r="13" ht="15.75" customHeight="1">
      <c r="A13" s="85">
        <f>IFERROR(__xludf.DUMMYFUNCTION("""COMPUTED_VALUE"""),46086.0)</f>
        <v>46086</v>
      </c>
      <c r="B13" s="86">
        <f>IF(A13="","",IFERROR(SUMPRODUCT((INT(Ventas!$B$2:$B$4994)=A13)*(ISNUMBER(SEARCH("EFECTIVO",Ventas!$F$2:$F$4994)))*Ventas!$H$2:$H$4994),0))</f>
        <v>2500</v>
      </c>
      <c r="C13" s="86">
        <f>IF(A13="","",IFERROR(SUMPRODUCT((INT(Ventas!$B$2:$B$4994)=A13)*(ISNUMBER(SEARCH("POSNET",Ventas!$F$2:$F$4994)))*Ventas!$H$2:$H$4994),0))</f>
        <v>44760</v>
      </c>
      <c r="D13" s="86">
        <f>IF(A13="","",IFERROR(SUMPRODUCT((INT(Ventas!$B$2:$B$4994)=A13)*(ISNUMBER(SEARCH("TRANSFERENCIA",Ventas!$F$2:$F$4994)))*Ventas!$H$2:$H$4994),0))</f>
        <v>65097</v>
      </c>
      <c r="E13" s="86">
        <f t="shared" si="1"/>
        <v>112357</v>
      </c>
      <c r="F13" s="86">
        <f>IF(A13="","",IFERROR(SUMPRODUCT((INT(Ventas!$B$2:$B$4994)=A13)*((ISNUMBER(SEARCH("EFECTIVO",Ventas!$F$2:$F$4994)))+(ISNUMBER(SEARCH("POSNET",Ventas!$F$2:$F$4994)))+(ISNUMBER(SEARCH("TRANSFERENCIA",Ventas!$F$2:$F$4994)))&gt;0)),0))</f>
        <v>8</v>
      </c>
    </row>
    <row r="14" ht="15.75" customHeight="1">
      <c r="A14" s="85">
        <f>IFERROR(__xludf.DUMMYFUNCTION("""COMPUTED_VALUE"""),46087.0)</f>
        <v>46087</v>
      </c>
      <c r="B14" s="86">
        <f>IF(A14="","",IFERROR(SUMPRODUCT((INT(Ventas!$B$2:$B$4994)=A14)*(ISNUMBER(SEARCH("EFECTIVO",Ventas!$F$2:$F$4994)))*Ventas!$H$2:$H$4994),0))</f>
        <v>43586</v>
      </c>
      <c r="C14" s="86">
        <f>IF(A14="","",IFERROR(SUMPRODUCT((INT(Ventas!$B$2:$B$4994)=A14)*(ISNUMBER(SEARCH("POSNET",Ventas!$F$2:$F$4994)))*Ventas!$H$2:$H$4994),0))</f>
        <v>15800</v>
      </c>
      <c r="D14" s="86">
        <f>IF(A14="","",IFERROR(SUMPRODUCT((INT(Ventas!$B$2:$B$4994)=A14)*(ISNUMBER(SEARCH("TRANSFERENCIA",Ventas!$F$2:$F$4994)))*Ventas!$H$2:$H$4994),0))</f>
        <v>118458</v>
      </c>
      <c r="E14" s="86">
        <f t="shared" si="1"/>
        <v>177844</v>
      </c>
      <c r="F14" s="86">
        <f>IF(A14="","",IFERROR(SUMPRODUCT((INT(Ventas!$B$2:$B$4994)=A14)*((ISNUMBER(SEARCH("EFECTIVO",Ventas!$F$2:$F$4994)))+(ISNUMBER(SEARCH("POSNET",Ventas!$F$2:$F$4994)))+(ISNUMBER(SEARCH("TRANSFERENCIA",Ventas!$F$2:$F$4994)))&gt;0)),0))</f>
        <v>16</v>
      </c>
    </row>
    <row r="15" ht="15.75" customHeight="1">
      <c r="A15" s="85">
        <f>IFERROR(__xludf.DUMMYFUNCTION("""COMPUTED_VALUE"""),46088.0)</f>
        <v>46088</v>
      </c>
      <c r="B15" s="86">
        <f>IF(A15="","",IFERROR(SUMPRODUCT((INT(Ventas!$B$2:$B$4994)=A15)*(ISNUMBER(SEARCH("EFECTIVO",Ventas!$F$2:$F$4994)))*Ventas!$H$2:$H$4994),0))</f>
        <v>93220</v>
      </c>
      <c r="C15" s="86">
        <f>IF(A15="","",IFERROR(SUMPRODUCT((INT(Ventas!$B$2:$B$4994)=A15)*(ISNUMBER(SEARCH("POSNET",Ventas!$F$2:$F$4994)))*Ventas!$H$2:$H$4994),0))</f>
        <v>0</v>
      </c>
      <c r="D15" s="86">
        <f>IF(A15="","",IFERROR(SUMPRODUCT((INT(Ventas!$B$2:$B$4994)=A15)*(ISNUMBER(SEARCH("TRANSFERENCIA",Ventas!$F$2:$F$4994)))*Ventas!$H$2:$H$4994),0))</f>
        <v>0</v>
      </c>
      <c r="E15" s="86">
        <f t="shared" si="1"/>
        <v>93220</v>
      </c>
      <c r="F15" s="86">
        <f>IF(A15="","",IFERROR(SUMPRODUCT((INT(Ventas!$B$2:$B$4994)=A15)*((ISNUMBER(SEARCH("EFECTIVO",Ventas!$F$2:$F$4994)))+(ISNUMBER(SEARCH("POSNET",Ventas!$F$2:$F$4994)))+(ISNUMBER(SEARCH("TRANSFERENCIA",Ventas!$F$2:$F$4994)))&gt;0)),0))</f>
        <v>6</v>
      </c>
    </row>
    <row r="16" ht="15.75" customHeight="1">
      <c r="A16" s="85">
        <f>IFERROR(__xludf.DUMMYFUNCTION("""COMPUTED_VALUE"""),46089.0)</f>
        <v>46089</v>
      </c>
      <c r="B16" s="86">
        <f>IF(A16="","",IFERROR(SUMPRODUCT((INT(Ventas!$B$2:$B$4994)=A16)*(ISNUMBER(SEARCH("EFECTIVO",Ventas!$F$2:$F$4994)))*Ventas!$H$2:$H$4994),0))</f>
        <v>87920</v>
      </c>
      <c r="C16" s="86">
        <f>IF(A16="","",IFERROR(SUMPRODUCT((INT(Ventas!$B$2:$B$4994)=A16)*(ISNUMBER(SEARCH("POSNET",Ventas!$F$2:$F$4994)))*Ventas!$H$2:$H$4994),0))</f>
        <v>0</v>
      </c>
      <c r="D16" s="86">
        <f>IF(A16="","",IFERROR(SUMPRODUCT((INT(Ventas!$B$2:$B$4994)=A16)*(ISNUMBER(SEARCH("TRANSFERENCIA",Ventas!$F$2:$F$4994)))*Ventas!$H$2:$H$4994),0))</f>
        <v>26950</v>
      </c>
      <c r="E16" s="86">
        <f t="shared" si="1"/>
        <v>114870</v>
      </c>
      <c r="F16" s="86">
        <f>IF(A16="","",IFERROR(SUMPRODUCT((INT(Ventas!$B$2:$B$4994)=A16)*((ISNUMBER(SEARCH("EFECTIVO",Ventas!$F$2:$F$4994)))+(ISNUMBER(SEARCH("POSNET",Ventas!$F$2:$F$4994)))+(ISNUMBER(SEARCH("TRANSFERENCIA",Ventas!$F$2:$F$4994)))&gt;0)),0))</f>
        <v>12</v>
      </c>
    </row>
    <row r="17" ht="15.75" customHeight="1">
      <c r="A17" s="85">
        <f>IFERROR(__xludf.DUMMYFUNCTION("""COMPUTED_VALUE"""),46090.0)</f>
        <v>46090</v>
      </c>
      <c r="B17" s="86">
        <f>IF(A17="","",IFERROR(SUMPRODUCT((INT(Ventas!$B$2:$B$4994)=A17)*(ISNUMBER(SEARCH("EFECTIVO",Ventas!$F$2:$F$4994)))*Ventas!$H$2:$H$4994),0))</f>
        <v>99100</v>
      </c>
      <c r="C17" s="86">
        <f>IF(A17="","",IFERROR(SUMPRODUCT((INT(Ventas!$B$2:$B$4994)=A17)*(ISNUMBER(SEARCH("POSNET",Ventas!$F$2:$F$4994)))*Ventas!$H$2:$H$4994),0))</f>
        <v>33781</v>
      </c>
      <c r="D17" s="86">
        <f>IF(A17="","",IFERROR(SUMPRODUCT((INT(Ventas!$B$2:$B$4994)=A17)*(ISNUMBER(SEARCH("TRANSFERENCIA",Ventas!$F$2:$F$4994)))*Ventas!$H$2:$H$4994),0))</f>
        <v>8700</v>
      </c>
      <c r="E17" s="86">
        <f t="shared" si="1"/>
        <v>141581</v>
      </c>
      <c r="F17" s="86">
        <f>IF(A17="","",IFERROR(SUMPRODUCT((INT(Ventas!$B$2:$B$4994)=A17)*((ISNUMBER(SEARCH("EFECTIVO",Ventas!$F$2:$F$4994)))+(ISNUMBER(SEARCH("POSNET",Ventas!$F$2:$F$4994)))+(ISNUMBER(SEARCH("TRANSFERENCIA",Ventas!$F$2:$F$4994)))&gt;0)),0))</f>
        <v>14</v>
      </c>
    </row>
    <row r="18" ht="15.75" customHeight="1">
      <c r="A18" s="85">
        <f>IFERROR(__xludf.DUMMYFUNCTION("""COMPUTED_VALUE"""),46091.0)</f>
        <v>46091</v>
      </c>
      <c r="B18" s="86">
        <f>IF(A18="","",IFERROR(SUMPRODUCT((INT(Ventas!$B$2:$B$4994)=A18)*(ISNUMBER(SEARCH("EFECTIVO",Ventas!$F$2:$F$4994)))*Ventas!$H$2:$H$4994),0))</f>
        <v>94567</v>
      </c>
      <c r="C18" s="86">
        <f>IF(A18="","",IFERROR(SUMPRODUCT((INT(Ventas!$B$2:$B$4994)=A18)*(ISNUMBER(SEARCH("POSNET",Ventas!$F$2:$F$4994)))*Ventas!$H$2:$H$4994),0))</f>
        <v>3000</v>
      </c>
      <c r="D18" s="86">
        <f>IF(A18="","",IFERROR(SUMPRODUCT((INT(Ventas!$B$2:$B$4994)=A18)*(ISNUMBER(SEARCH("TRANSFERENCIA",Ventas!$F$2:$F$4994)))*Ventas!$H$2:$H$4994),0))</f>
        <v>19050</v>
      </c>
      <c r="E18" s="86">
        <f t="shared" si="1"/>
        <v>116617</v>
      </c>
      <c r="F18" s="86">
        <f>IF(A18="","",IFERROR(SUMPRODUCT((INT(Ventas!$B$2:$B$4994)=A18)*((ISNUMBER(SEARCH("EFECTIVO",Ventas!$F$2:$F$4994)))+(ISNUMBER(SEARCH("POSNET",Ventas!$F$2:$F$4994)))+(ISNUMBER(SEARCH("TRANSFERENCIA",Ventas!$F$2:$F$4994)))&gt;0)),0))</f>
        <v>11</v>
      </c>
    </row>
    <row r="19" ht="15.75" customHeight="1">
      <c r="A19" s="85">
        <f>IFERROR(__xludf.DUMMYFUNCTION("""COMPUTED_VALUE"""),46092.0)</f>
        <v>46092</v>
      </c>
      <c r="B19" s="86">
        <f>IF(A19="","",IFERROR(SUMPRODUCT((INT(Ventas!$B$2:$B$4994)=A19)*(ISNUMBER(SEARCH("EFECTIVO",Ventas!$F$2:$F$4994)))*Ventas!$H$2:$H$4994),0))</f>
        <v>25601</v>
      </c>
      <c r="C19" s="86">
        <f>IF(A19="","",IFERROR(SUMPRODUCT((INT(Ventas!$B$2:$B$4994)=A19)*(ISNUMBER(SEARCH("POSNET",Ventas!$F$2:$F$4994)))*Ventas!$H$2:$H$4994),0))</f>
        <v>0</v>
      </c>
      <c r="D19" s="86">
        <f>IF(A19="","",IFERROR(SUMPRODUCT((INT(Ventas!$B$2:$B$4994)=A19)*(ISNUMBER(SEARCH("TRANSFERENCIA",Ventas!$F$2:$F$4994)))*Ventas!$H$2:$H$4994),0))</f>
        <v>0</v>
      </c>
      <c r="E19" s="86">
        <f t="shared" si="1"/>
        <v>25601</v>
      </c>
      <c r="F19" s="86">
        <f>IF(A19="","",IFERROR(SUMPRODUCT((INT(Ventas!$B$2:$B$4994)=A19)*((ISNUMBER(SEARCH("EFECTIVO",Ventas!$F$2:$F$4994)))+(ISNUMBER(SEARCH("POSNET",Ventas!$F$2:$F$4994)))+(ISNUMBER(SEARCH("TRANSFERENCIA",Ventas!$F$2:$F$4994)))&gt;0)),0))</f>
        <v>6</v>
      </c>
    </row>
    <row r="20" ht="15.75" customHeight="1">
      <c r="A20" s="85"/>
      <c r="B20" s="86" t="str">
        <f>IF(A20="","",IFERROR(SUMPRODUCT((INT(Ventas!$B$2:$B$4994)=A20)*(ISNUMBER(SEARCH("EFECTIVO",Ventas!$F$2:$F$4994)))*Ventas!$H$2:$H$4994),0))</f>
        <v/>
      </c>
      <c r="C20" s="86" t="str">
        <f>IF(A20="","",IFERROR(SUMPRODUCT((INT(Ventas!$B$2:$B$4994)=A20)*(ISNUMBER(SEARCH("POSNET",Ventas!$F$2:$F$4994)))*Ventas!$H$2:$H$4994),0))</f>
        <v/>
      </c>
      <c r="D20" s="86" t="str">
        <f>IF(A20="","",IFERROR(SUMPRODUCT((INT(Ventas!$B$2:$B$4994)=A20)*(ISNUMBER(SEARCH("TRANSFERENCIA",Ventas!$F$2:$F$4994)))*Ventas!$H$2:$H$4994),0))</f>
        <v/>
      </c>
      <c r="E20" s="86">
        <f t="shared" si="1"/>
        <v>0</v>
      </c>
      <c r="F20" s="86" t="str">
        <f>IF(A20="","",IFERROR(SUMPRODUCT((INT(Ventas!$B$2:$B$4994)=A20)*((ISNUMBER(SEARCH("EFECTIVO",Ventas!$F$2:$F$4994)))+(ISNUMBER(SEARCH("POSNET",Ventas!$F$2:$F$4994)))+(ISNUMBER(SEARCH("TRANSFERENCIA",Ventas!$F$2:$F$4994)))&gt;0)),0))</f>
        <v/>
      </c>
    </row>
    <row r="21" ht="15.75" customHeight="1">
      <c r="A21" s="85"/>
      <c r="B21" s="86" t="str">
        <f>IF(A21="","",IFERROR(SUMPRODUCT((INT(Ventas!$B$2:$B$4994)=A21)*(ISNUMBER(SEARCH("EFECTIVO",Ventas!$F$2:$F$4994)))*Ventas!$H$2:$H$4994),0))</f>
        <v/>
      </c>
      <c r="C21" s="86" t="str">
        <f>IF(A21="","",IFERROR(SUMPRODUCT((INT(Ventas!$B$2:$B$4994)=A21)*(ISNUMBER(SEARCH("POSNET",Ventas!$F$2:$F$4994)))*Ventas!$H$2:$H$4994),0))</f>
        <v/>
      </c>
      <c r="D21" s="86" t="str">
        <f>IF(A21="","",IFERROR(SUMPRODUCT((INT(Ventas!$B$2:$B$4994)=A21)*(ISNUMBER(SEARCH("TRANSFERENCIA",Ventas!$F$2:$F$4994)))*Ventas!$H$2:$H$4994),0))</f>
        <v/>
      </c>
      <c r="E21" s="86">
        <f t="shared" si="1"/>
        <v>0</v>
      </c>
      <c r="F21" s="86" t="str">
        <f>IF(A21="","",IFERROR(SUMPRODUCT((INT(Ventas!$B$2:$B$4994)=A21)*((ISNUMBER(SEARCH("EFECTIVO",Ventas!$F$2:$F$4994)))+(ISNUMBER(SEARCH("POSNET",Ventas!$F$2:$F$4994)))+(ISNUMBER(SEARCH("TRANSFERENCIA",Ventas!$F$2:$F$4994)))&gt;0)),0))</f>
        <v/>
      </c>
    </row>
    <row r="22" ht="15.75" customHeight="1">
      <c r="A22" s="85"/>
      <c r="B22" s="86" t="str">
        <f>IF(A22="","",IFERROR(SUMPRODUCT((INT(Ventas!$B$2:$B$4994)=A22)*(ISNUMBER(SEARCH("EFECTIVO",Ventas!$F$2:$F$4994)))*Ventas!$H$2:$H$4994),0))</f>
        <v/>
      </c>
      <c r="C22" s="86" t="str">
        <f>IF(A22="","",IFERROR(SUMPRODUCT((INT(Ventas!$B$2:$B$4994)=A22)*(ISNUMBER(SEARCH("POSNET",Ventas!$F$2:$F$4994)))*Ventas!$H$2:$H$4994),0))</f>
        <v/>
      </c>
      <c r="D22" s="86" t="str">
        <f>IF(A22="","",IFERROR(SUMPRODUCT((INT(Ventas!$B$2:$B$4994)=A22)*(ISNUMBER(SEARCH("TRANSFERENCIA",Ventas!$F$2:$F$4994)))*Ventas!$H$2:$H$4994),0))</f>
        <v/>
      </c>
      <c r="E22" s="86">
        <f t="shared" si="1"/>
        <v>0</v>
      </c>
      <c r="F22" s="86" t="str">
        <f>IF(A22="","",IFERROR(SUMPRODUCT((INT(Ventas!$B$2:$B$4994)=A22)*((ISNUMBER(SEARCH("EFECTIVO",Ventas!$F$2:$F$4994)))+(ISNUMBER(SEARCH("POSNET",Ventas!$F$2:$F$4994)))+(ISNUMBER(SEARCH("TRANSFERENCIA",Ventas!$F$2:$F$4994)))&gt;0)),0))</f>
        <v/>
      </c>
    </row>
    <row r="23" ht="15.75" customHeight="1">
      <c r="A23" s="85"/>
      <c r="B23" s="86" t="str">
        <f>IF(A23="","",IFERROR(SUMPRODUCT((INT(Ventas!$B$2:$B$4994)=A23)*(ISNUMBER(SEARCH("EFECTIVO",Ventas!$F$2:$F$4994)))*Ventas!$H$2:$H$4994),0))</f>
        <v/>
      </c>
      <c r="C23" s="86" t="str">
        <f>IF(A23="","",IFERROR(SUMPRODUCT((INT(Ventas!$B$2:$B$4994)=A23)*(ISNUMBER(SEARCH("POSNET",Ventas!$F$2:$F$4994)))*Ventas!$H$2:$H$4994),0))</f>
        <v/>
      </c>
      <c r="D23" s="86" t="str">
        <f>IF(A23="","",IFERROR(SUMPRODUCT((INT(Ventas!$B$2:$B$4994)=A23)*(ISNUMBER(SEARCH("TRANSFERENCIA",Ventas!$F$2:$F$4994)))*Ventas!$H$2:$H$4994),0))</f>
        <v/>
      </c>
      <c r="E23" s="86">
        <f t="shared" si="1"/>
        <v>0</v>
      </c>
      <c r="F23" s="86" t="str">
        <f>IF(A23="","",IFERROR(SUMPRODUCT((INT(Ventas!$B$2:$B$4994)=A23)*((ISNUMBER(SEARCH("EFECTIVO",Ventas!$F$2:$F$4994)))+(ISNUMBER(SEARCH("POSNET",Ventas!$F$2:$F$4994)))+(ISNUMBER(SEARCH("TRANSFERENCIA",Ventas!$F$2:$F$4994)))&gt;0)),0))</f>
        <v/>
      </c>
    </row>
    <row r="24" ht="15.75" customHeight="1">
      <c r="A24" s="85"/>
      <c r="B24" s="86" t="str">
        <f>IF(A24="","",IFERROR(SUMPRODUCT((INT(Ventas!$B$2:$B$4994)=A24)*(ISNUMBER(SEARCH("EFECTIVO",Ventas!$F$2:$F$4994)))*Ventas!$H$2:$H$4994),0))</f>
        <v/>
      </c>
      <c r="C24" s="86" t="str">
        <f>IF(A24="","",IFERROR(SUMPRODUCT((INT(Ventas!$B$2:$B$4994)=A24)*(ISNUMBER(SEARCH("POSNET",Ventas!$F$2:$F$4994)))*Ventas!$H$2:$H$4994),0))</f>
        <v/>
      </c>
      <c r="D24" s="86" t="str">
        <f>IF(A24="","",IFERROR(SUMPRODUCT((INT(Ventas!$B$2:$B$4994)=A24)*(ISNUMBER(SEARCH("TRANSFERENCIA",Ventas!$F$2:$F$4994)))*Ventas!$H$2:$H$4994),0))</f>
        <v/>
      </c>
      <c r="E24" s="86">
        <f t="shared" si="1"/>
        <v>0</v>
      </c>
      <c r="F24" s="86" t="str">
        <f>IF(A24="","",IFERROR(SUMPRODUCT((INT(Ventas!$B$2:$B$4994)=A24)*((ISNUMBER(SEARCH("EFECTIVO",Ventas!$F$2:$F$4994)))+(ISNUMBER(SEARCH("POSNET",Ventas!$F$2:$F$4994)))+(ISNUMBER(SEARCH("TRANSFERENCIA",Ventas!$F$2:$F$4994)))&gt;0)),0))</f>
        <v/>
      </c>
    </row>
    <row r="25" ht="15.75" customHeight="1">
      <c r="A25" s="85"/>
      <c r="B25" s="86" t="str">
        <f>IF(A25="","",IFERROR(SUMPRODUCT((INT(Ventas!$B$2:$B$4994)=A25)*(ISNUMBER(SEARCH("EFECTIVO",Ventas!$F$2:$F$4994)))*Ventas!$H$2:$H$4994),0))</f>
        <v/>
      </c>
      <c r="C25" s="86" t="str">
        <f>IF(A25="","",IFERROR(SUMPRODUCT((INT(Ventas!$B$2:$B$4994)=A25)*(ISNUMBER(SEARCH("POSNET",Ventas!$F$2:$F$4994)))*Ventas!$H$2:$H$4994),0))</f>
        <v/>
      </c>
      <c r="D25" s="86" t="str">
        <f>IF(A25="","",IFERROR(SUMPRODUCT((INT(Ventas!$B$2:$B$4994)=A25)*(ISNUMBER(SEARCH("TRANSFERENCIA",Ventas!$F$2:$F$4994)))*Ventas!$H$2:$H$4994),0))</f>
        <v/>
      </c>
      <c r="E25" s="86">
        <f t="shared" si="1"/>
        <v>0</v>
      </c>
      <c r="F25" s="86" t="str">
        <f>IF(A25="","",IFERROR(SUMPRODUCT((INT(Ventas!$B$2:$B$4994)=A25)*((ISNUMBER(SEARCH("EFECTIVO",Ventas!$F$2:$F$4994)))+(ISNUMBER(SEARCH("POSNET",Ventas!$F$2:$F$4994)))+(ISNUMBER(SEARCH("TRANSFERENCIA",Ventas!$F$2:$F$4994)))&gt;0)),0))</f>
        <v/>
      </c>
    </row>
    <row r="26" ht="15.75" customHeight="1">
      <c r="A26" s="85"/>
      <c r="B26" s="86" t="str">
        <f>IF(A26="","",IFERROR(SUMPRODUCT((INT(Ventas!$B$2:$B$4994)=A26)*(ISNUMBER(SEARCH("EFECTIVO",Ventas!$F$2:$F$4994)))*Ventas!$H$2:$H$4994),0))</f>
        <v/>
      </c>
      <c r="C26" s="86" t="str">
        <f>IF(A26="","",IFERROR(SUMPRODUCT((INT(Ventas!$B$2:$B$4994)=A26)*(ISNUMBER(SEARCH("POSNET",Ventas!$F$2:$F$4994)))*Ventas!$H$2:$H$4994),0))</f>
        <v/>
      </c>
      <c r="D26" s="86" t="str">
        <f>IF(A26="","",IFERROR(SUMPRODUCT((INT(Ventas!$B$2:$B$4994)=A26)*(ISNUMBER(SEARCH("TRANSFERENCIA",Ventas!$F$2:$F$4994)))*Ventas!$H$2:$H$4994),0))</f>
        <v/>
      </c>
      <c r="E26" s="86">
        <f t="shared" si="1"/>
        <v>0</v>
      </c>
      <c r="F26" s="86" t="str">
        <f>IF(A26="","",IFERROR(SUMPRODUCT((INT(Ventas!$B$2:$B$4994)=A26)*((ISNUMBER(SEARCH("EFECTIVO",Ventas!$F$2:$F$4994)))+(ISNUMBER(SEARCH("POSNET",Ventas!$F$2:$F$4994)))+(ISNUMBER(SEARCH("TRANSFERENCIA",Ventas!$F$2:$F$4994)))&gt;0)),0))</f>
        <v/>
      </c>
    </row>
    <row r="27" ht="15.75" customHeight="1">
      <c r="A27" s="85"/>
      <c r="B27" s="86" t="str">
        <f>IF(A27="","",IFERROR(SUMPRODUCT((INT(Ventas!$B$2:$B$4994)=A27)*(ISNUMBER(SEARCH("EFECTIVO",Ventas!$F$2:$F$4994)))*Ventas!$H$2:$H$4994),0))</f>
        <v/>
      </c>
      <c r="C27" s="86" t="str">
        <f>IF(A27="","",IFERROR(SUMPRODUCT((INT(Ventas!$B$2:$B$4994)=A27)*(ISNUMBER(SEARCH("POSNET",Ventas!$F$2:$F$4994)))*Ventas!$H$2:$H$4994),0))</f>
        <v/>
      </c>
      <c r="D27" s="86" t="str">
        <f>IF(A27="","",IFERROR(SUMPRODUCT((INT(Ventas!$B$2:$B$4994)=A27)*(ISNUMBER(SEARCH("TRANSFERENCIA",Ventas!$F$2:$F$4994)))*Ventas!$H$2:$H$4994),0))</f>
        <v/>
      </c>
      <c r="E27" s="86">
        <f t="shared" si="1"/>
        <v>0</v>
      </c>
      <c r="F27" s="86" t="str">
        <f>IF(A27="","",IFERROR(SUMPRODUCT((INT(Ventas!$B$2:$B$4994)=A27)*((ISNUMBER(SEARCH("EFECTIVO",Ventas!$F$2:$F$4994)))+(ISNUMBER(SEARCH("POSNET",Ventas!$F$2:$F$4994)))+(ISNUMBER(SEARCH("TRANSFERENCIA",Ventas!$F$2:$F$4994)))&gt;0)),0))</f>
        <v/>
      </c>
    </row>
    <row r="28" ht="15.75" customHeight="1">
      <c r="A28" s="85"/>
      <c r="B28" s="86" t="str">
        <f>IF(A28="","",IFERROR(SUMPRODUCT((INT(Ventas!$B$2:$B$4994)=A28)*(ISNUMBER(SEARCH("EFECTIVO",Ventas!$F$2:$F$4994)))*Ventas!$H$2:$H$4994),0))</f>
        <v/>
      </c>
      <c r="C28" s="86" t="str">
        <f>IF(A28="","",IFERROR(SUMPRODUCT((INT(Ventas!$B$2:$B$4994)=A28)*(ISNUMBER(SEARCH("POSNET",Ventas!$F$2:$F$4994)))*Ventas!$H$2:$H$4994),0))</f>
        <v/>
      </c>
      <c r="D28" s="86" t="str">
        <f>IF(A28="","",IFERROR(SUMPRODUCT((INT(Ventas!$B$2:$B$4994)=A28)*(ISNUMBER(SEARCH("TRANSFERENCIA",Ventas!$F$2:$F$4994)))*Ventas!$H$2:$H$4994),0))</f>
        <v/>
      </c>
      <c r="E28" s="86">
        <f t="shared" si="1"/>
        <v>0</v>
      </c>
      <c r="F28" s="86" t="str">
        <f>IF(A28="","",IFERROR(SUMPRODUCT((INT(Ventas!$B$2:$B$4994)=A28)*((ISNUMBER(SEARCH("EFECTIVO",Ventas!$F$2:$F$4994)))+(ISNUMBER(SEARCH("POSNET",Ventas!$F$2:$F$4994)))+(ISNUMBER(SEARCH("TRANSFERENCIA",Ventas!$F$2:$F$4994)))&gt;0)),0))</f>
        <v/>
      </c>
    </row>
    <row r="29" ht="15.75" customHeight="1">
      <c r="A29" s="85"/>
      <c r="B29" s="86" t="str">
        <f>IF(A29="","",IFERROR(SUMPRODUCT((INT(Ventas!$B$2:$B$4994)=A29)*(ISNUMBER(SEARCH("EFECTIVO",Ventas!$F$2:$F$4994)))*Ventas!$H$2:$H$4994),0))</f>
        <v/>
      </c>
      <c r="C29" s="86" t="str">
        <f>IF(A29="","",IFERROR(SUMPRODUCT((INT(Ventas!$B$2:$B$4994)=A29)*(ISNUMBER(SEARCH("POSNET",Ventas!$F$2:$F$4994)))*Ventas!$H$2:$H$4994),0))</f>
        <v/>
      </c>
      <c r="D29" s="86" t="str">
        <f>IF(A29="","",IFERROR(SUMPRODUCT((INT(Ventas!$B$2:$B$4994)=A29)*(ISNUMBER(SEARCH("TRANSFERENCIA",Ventas!$F$2:$F$4994)))*Ventas!$H$2:$H$4994),0))</f>
        <v/>
      </c>
      <c r="E29" s="86">
        <f t="shared" si="1"/>
        <v>0</v>
      </c>
      <c r="F29" s="86" t="str">
        <f>IF(A29="","",IFERROR(SUMPRODUCT((INT(Ventas!$B$2:$B$4994)=A29)*((ISNUMBER(SEARCH("EFECTIVO",Ventas!$F$2:$F$4994)))+(ISNUMBER(SEARCH("POSNET",Ventas!$F$2:$F$4994)))+(ISNUMBER(SEARCH("TRANSFERENCIA",Ventas!$F$2:$F$4994)))&gt;0)),0))</f>
        <v/>
      </c>
    </row>
    <row r="30" ht="15.75" customHeight="1">
      <c r="A30" s="85"/>
      <c r="B30" s="86" t="str">
        <f>IF(A30="","",IFERROR(SUMPRODUCT((INT(Ventas!$B$2:$B$4994)=A30)*(ISNUMBER(SEARCH("EFECTIVO",Ventas!$F$2:$F$4994)))*Ventas!$H$2:$H$4994),0))</f>
        <v/>
      </c>
      <c r="C30" s="86" t="str">
        <f>IF(A30="","",IFERROR(SUMPRODUCT((INT(Ventas!$B$2:$B$4994)=A30)*(ISNUMBER(SEARCH("POSNET",Ventas!$F$2:$F$4994)))*Ventas!$H$2:$H$4994),0))</f>
        <v/>
      </c>
      <c r="D30" s="86" t="str">
        <f>IF(A30="","",IFERROR(SUMPRODUCT((INT(Ventas!$B$2:$B$4994)=A30)*(ISNUMBER(SEARCH("TRANSFERENCIA",Ventas!$F$2:$F$4994)))*Ventas!$H$2:$H$4994),0))</f>
        <v/>
      </c>
      <c r="E30" s="86">
        <f t="shared" si="1"/>
        <v>0</v>
      </c>
      <c r="F30" s="86" t="str">
        <f>IF(A30="","",IFERROR(SUMPRODUCT((INT(Ventas!$B$2:$B$4994)=A30)*((ISNUMBER(SEARCH("EFECTIVO",Ventas!$F$2:$F$4994)))+(ISNUMBER(SEARCH("POSNET",Ventas!$F$2:$F$4994)))+(ISNUMBER(SEARCH("TRANSFERENCIA",Ventas!$F$2:$F$4994)))&gt;0)),0))</f>
        <v/>
      </c>
    </row>
    <row r="31" ht="15.75" customHeight="1">
      <c r="A31" s="85"/>
      <c r="B31" s="86" t="str">
        <f>IF(A31="","",IFERROR(SUMPRODUCT((INT(Ventas!$B$2:$B$4994)=A31)*(ISNUMBER(SEARCH("EFECTIVO",Ventas!$F$2:$F$4994)))*Ventas!$H$2:$H$4994),0))</f>
        <v/>
      </c>
      <c r="C31" s="86" t="str">
        <f>IF(A31="","",IFERROR(SUMPRODUCT((INT(Ventas!$B$2:$B$4994)=A31)*(ISNUMBER(SEARCH("POSNET",Ventas!$F$2:$F$4994)))*Ventas!$H$2:$H$4994),0))</f>
        <v/>
      </c>
      <c r="D31" s="86" t="str">
        <f>IF(A31="","",IFERROR(SUMPRODUCT((INT(Ventas!$B$2:$B$4994)=A31)*(ISNUMBER(SEARCH("TRANSFERENCIA",Ventas!$F$2:$F$4994)))*Ventas!$H$2:$H$4994),0))</f>
        <v/>
      </c>
      <c r="E31" s="86">
        <f t="shared" si="1"/>
        <v>0</v>
      </c>
      <c r="F31" s="86" t="str">
        <f>IF(A31="","",IFERROR(SUMPRODUCT((INT(Ventas!$B$2:$B$4994)=A31)*((ISNUMBER(SEARCH("EFECTIVO",Ventas!$F$2:$F$4994)))+(ISNUMBER(SEARCH("POSNET",Ventas!$F$2:$F$4994)))+(ISNUMBER(SEARCH("TRANSFERENCIA",Ventas!$F$2:$F$4994)))&gt;0)),0))</f>
        <v/>
      </c>
    </row>
    <row r="32" ht="15.75" customHeight="1">
      <c r="A32" s="85"/>
      <c r="B32" s="86" t="str">
        <f>IF(A32="","",IFERROR(SUMPRODUCT((INT(Ventas!$B$2:$B$4994)=A32)*(ISNUMBER(SEARCH("EFECTIVO",Ventas!$F$2:$F$4994)))*Ventas!$H$2:$H$4994),0))</f>
        <v/>
      </c>
      <c r="C32" s="86" t="str">
        <f>IF(A32="","",IFERROR(SUMPRODUCT((INT(Ventas!$B$2:$B$4994)=A32)*(ISNUMBER(SEARCH("POSNET",Ventas!$F$2:$F$4994)))*Ventas!$H$2:$H$4994),0))</f>
        <v/>
      </c>
      <c r="D32" s="86" t="str">
        <f>IF(A32="","",IFERROR(SUMPRODUCT((INT(Ventas!$B$2:$B$4994)=A32)*(ISNUMBER(SEARCH("TRANSFERENCIA",Ventas!$F$2:$F$4994)))*Ventas!$H$2:$H$4994),0))</f>
        <v/>
      </c>
      <c r="E32" s="86">
        <f t="shared" si="1"/>
        <v>0</v>
      </c>
      <c r="F32" s="86" t="str">
        <f>IF(A32="","",IFERROR(SUMPRODUCT((INT(Ventas!$B$2:$B$4994)=A32)*((ISNUMBER(SEARCH("EFECTIVO",Ventas!$F$2:$F$4994)))+(ISNUMBER(SEARCH("POSNET",Ventas!$F$2:$F$4994)))+(ISNUMBER(SEARCH("TRANSFERENCIA",Ventas!$F$2:$F$4994)))&gt;0)),0))</f>
        <v/>
      </c>
    </row>
    <row r="33" ht="15.75" customHeight="1">
      <c r="A33" s="85"/>
      <c r="B33" s="86" t="str">
        <f>IF(A33="","",IFERROR(SUMPRODUCT((INT(Ventas!$B$2:$B$4994)=A33)*(ISNUMBER(SEARCH("EFECTIVO",Ventas!$F$2:$F$4994)))*Ventas!$H$2:$H$4994),0))</f>
        <v/>
      </c>
      <c r="C33" s="86" t="str">
        <f>IF(A33="","",IFERROR(SUMPRODUCT((INT(Ventas!$B$2:$B$4994)=A33)*(ISNUMBER(SEARCH("POSNET",Ventas!$F$2:$F$4994)))*Ventas!$H$2:$H$4994),0))</f>
        <v/>
      </c>
      <c r="D33" s="86" t="str">
        <f>IF(A33="","",IFERROR(SUMPRODUCT((INT(Ventas!$B$2:$B$4994)=A33)*(ISNUMBER(SEARCH("TRANSFERENCIA",Ventas!$F$2:$F$4994)))*Ventas!$H$2:$H$4994),0))</f>
        <v/>
      </c>
      <c r="E33" s="86">
        <f t="shared" si="1"/>
        <v>0</v>
      </c>
      <c r="F33" s="86" t="str">
        <f>IF(A33="","",IFERROR(SUMPRODUCT((INT(Ventas!$B$2:$B$4994)=A33)*((ISNUMBER(SEARCH("EFECTIVO",Ventas!$F$2:$F$4994)))+(ISNUMBER(SEARCH("POSNET",Ventas!$F$2:$F$4994)))+(ISNUMBER(SEARCH("TRANSFERENCIA",Ventas!$F$2:$F$4994)))&gt;0)),0))</f>
        <v/>
      </c>
    </row>
    <row r="34" ht="15.75" customHeight="1">
      <c r="A34" s="85"/>
      <c r="B34" s="86" t="str">
        <f>IF(A34="","",IFERROR(SUMPRODUCT((INT(Ventas!$B$2:$B$4994)=A34)*(ISNUMBER(SEARCH("EFECTIVO",Ventas!$F$2:$F$4994)))*Ventas!$H$2:$H$4994),0))</f>
        <v/>
      </c>
      <c r="C34" s="86" t="str">
        <f>IF(A34="","",IFERROR(SUMPRODUCT((INT(Ventas!$B$2:$B$4994)=A34)*(ISNUMBER(SEARCH("POSNET",Ventas!$F$2:$F$4994)))*Ventas!$H$2:$H$4994),0))</f>
        <v/>
      </c>
      <c r="D34" s="86" t="str">
        <f>IF(A34="","",IFERROR(SUMPRODUCT((INT(Ventas!$B$2:$B$4994)=A34)*(ISNUMBER(SEARCH("TRANSFERENCIA",Ventas!$F$2:$F$4994)))*Ventas!$H$2:$H$4994),0))</f>
        <v/>
      </c>
      <c r="E34" s="86">
        <f t="shared" si="1"/>
        <v>0</v>
      </c>
      <c r="F34" s="86" t="str">
        <f>IF(A34="","",IFERROR(SUMPRODUCT((INT(Ventas!$B$2:$B$4994)=A34)*((ISNUMBER(SEARCH("EFECTIVO",Ventas!$F$2:$F$4994)))+(ISNUMBER(SEARCH("POSNET",Ventas!$F$2:$F$4994)))+(ISNUMBER(SEARCH("TRANSFERENCIA",Ventas!$F$2:$F$4994)))&gt;0)),0))</f>
        <v/>
      </c>
    </row>
    <row r="35" ht="15.75" customHeight="1">
      <c r="A35" s="85"/>
      <c r="B35" s="86" t="str">
        <f>IF(A35="","",IFERROR(SUMPRODUCT((INT(Ventas!$B$2:$B$4994)=A35)*(ISNUMBER(SEARCH("EFECTIVO",Ventas!$F$2:$F$4994)))*Ventas!$H$2:$H$4994),0))</f>
        <v/>
      </c>
      <c r="C35" s="86" t="str">
        <f>IF(A35="","",IFERROR(SUMPRODUCT((INT(Ventas!$B$2:$B$4994)=A35)*(ISNUMBER(SEARCH("POSNET",Ventas!$F$2:$F$4994)))*Ventas!$H$2:$H$4994),0))</f>
        <v/>
      </c>
      <c r="D35" s="86" t="str">
        <f>IF(A35="","",IFERROR(SUMPRODUCT((INT(Ventas!$B$2:$B$4994)=A35)*(ISNUMBER(SEARCH("TRANSFERENCIA",Ventas!$F$2:$F$4994)))*Ventas!$H$2:$H$4994),0))</f>
        <v/>
      </c>
      <c r="E35" s="86">
        <f t="shared" si="1"/>
        <v>0</v>
      </c>
      <c r="F35" s="86" t="str">
        <f>IF(A35="","",IFERROR(SUMPRODUCT((INT(Ventas!$B$2:$B$4994)=A35)*((ISNUMBER(SEARCH("EFECTIVO",Ventas!$F$2:$F$4994)))+(ISNUMBER(SEARCH("POSNET",Ventas!$F$2:$F$4994)))+(ISNUMBER(SEARCH("TRANSFERENCIA",Ventas!$F$2:$F$4994)))&gt;0)),0))</f>
        <v/>
      </c>
    </row>
    <row r="36" ht="15.75" customHeight="1">
      <c r="A36" s="85"/>
      <c r="B36" s="86" t="str">
        <f>IF(A36="","",IFERROR(SUMPRODUCT((INT(Ventas!$B$2:$B$4994)=A36)*(ISNUMBER(SEARCH("EFECTIVO",Ventas!$F$2:$F$4994)))*Ventas!$H$2:$H$4994),0))</f>
        <v/>
      </c>
      <c r="C36" s="86" t="str">
        <f>IF(A36="","",IFERROR(SUMPRODUCT((INT(Ventas!$B$2:$B$4994)=A36)*(ISNUMBER(SEARCH("POSNET",Ventas!$F$2:$F$4994)))*Ventas!$H$2:$H$4994),0))</f>
        <v/>
      </c>
      <c r="D36" s="86" t="str">
        <f>IF(A36="","",IFERROR(SUMPRODUCT((INT(Ventas!$B$2:$B$4994)=A36)*(ISNUMBER(SEARCH("TRANSFERENCIA",Ventas!$F$2:$F$4994)))*Ventas!$H$2:$H$4994),0))</f>
        <v/>
      </c>
      <c r="E36" s="86">
        <f t="shared" si="1"/>
        <v>0</v>
      </c>
      <c r="F36" s="86" t="str">
        <f>IF(A36="","",IFERROR(SUMPRODUCT((INT(Ventas!$B$2:$B$4994)=A36)*((ISNUMBER(SEARCH("EFECTIVO",Ventas!$F$2:$F$4994)))+(ISNUMBER(SEARCH("POSNET",Ventas!$F$2:$F$4994)))+(ISNUMBER(SEARCH("TRANSFERENCIA",Ventas!$F$2:$F$4994)))&gt;0)),0))</f>
        <v/>
      </c>
    </row>
    <row r="37" ht="15.75" customHeight="1">
      <c r="A37" s="85"/>
      <c r="B37" s="86" t="str">
        <f>IF(A37="","",IFERROR(SUMPRODUCT((INT(Ventas!$B$2:$B$4994)=A37)*(ISNUMBER(SEARCH("EFECTIVO",Ventas!$F$2:$F$4994)))*Ventas!$H$2:$H$4994),0))</f>
        <v/>
      </c>
      <c r="C37" s="86" t="str">
        <f>IF(A37="","",IFERROR(SUMPRODUCT((INT(Ventas!$B$2:$B$4994)=A37)*(ISNUMBER(SEARCH("POSNET",Ventas!$F$2:$F$4994)))*Ventas!$H$2:$H$4994),0))</f>
        <v/>
      </c>
      <c r="D37" s="86" t="str">
        <f>IF(A37="","",IFERROR(SUMPRODUCT((INT(Ventas!$B$2:$B$4994)=A37)*(ISNUMBER(SEARCH("TRANSFERENCIA",Ventas!$F$2:$F$4994)))*Ventas!$H$2:$H$4994),0))</f>
        <v/>
      </c>
      <c r="E37" s="86">
        <f t="shared" si="1"/>
        <v>0</v>
      </c>
      <c r="F37" s="86" t="str">
        <f>IF(A37="","",IFERROR(SUMPRODUCT((INT(Ventas!$B$2:$B$4994)=A37)*((ISNUMBER(SEARCH("EFECTIVO",Ventas!$F$2:$F$4994)))+(ISNUMBER(SEARCH("POSNET",Ventas!$F$2:$F$4994)))+(ISNUMBER(SEARCH("TRANSFERENCIA",Ventas!$F$2:$F$4994)))&gt;0)),0))</f>
        <v/>
      </c>
    </row>
    <row r="38" ht="15.75" customHeight="1">
      <c r="A38" s="85"/>
      <c r="B38" s="86" t="str">
        <f>IF(A38="","",IFERROR(SUMPRODUCT((INT(Ventas!$B$2:$B$4994)=A38)*(ISNUMBER(SEARCH("EFECTIVO",Ventas!$F$2:$F$4994)))*Ventas!$H$2:$H$4994),0))</f>
        <v/>
      </c>
      <c r="C38" s="86" t="str">
        <f>IF(A38="","",IFERROR(SUMPRODUCT((INT(Ventas!$B$2:$B$4994)=A38)*(ISNUMBER(SEARCH("POSNET",Ventas!$F$2:$F$4994)))*Ventas!$H$2:$H$4994),0))</f>
        <v/>
      </c>
      <c r="D38" s="86" t="str">
        <f>IF(A38="","",IFERROR(SUMPRODUCT((INT(Ventas!$B$2:$B$4994)=A38)*(ISNUMBER(SEARCH("TRANSFERENCIA",Ventas!$F$2:$F$4994)))*Ventas!$H$2:$H$4994),0))</f>
        <v/>
      </c>
      <c r="E38" s="86">
        <f t="shared" si="1"/>
        <v>0</v>
      </c>
      <c r="F38" s="86" t="str">
        <f>IF(A38="","",IFERROR(SUMPRODUCT((INT(Ventas!$B$2:$B$4994)=A38)*((ISNUMBER(SEARCH("EFECTIVO",Ventas!$F$2:$F$4994)))+(ISNUMBER(SEARCH("POSNET",Ventas!$F$2:$F$4994)))+(ISNUMBER(SEARCH("TRANSFERENCIA",Ventas!$F$2:$F$4994)))&gt;0)),0))</f>
        <v/>
      </c>
    </row>
    <row r="39" ht="15.75" customHeight="1">
      <c r="A39" s="85"/>
      <c r="B39" s="86" t="str">
        <f>IF(A39="","",IFERROR(SUMPRODUCT((INT(Ventas!$B$2:$B$4994)=A39)*(ISNUMBER(SEARCH("EFECTIVO",Ventas!$F$2:$F$4994)))*Ventas!$H$2:$H$4994),0))</f>
        <v/>
      </c>
      <c r="C39" s="86" t="str">
        <f>IF(A39="","",IFERROR(SUMPRODUCT((INT(Ventas!$B$2:$B$4994)=A39)*(ISNUMBER(SEARCH("POSNET",Ventas!$F$2:$F$4994)))*Ventas!$H$2:$H$4994),0))</f>
        <v/>
      </c>
      <c r="D39" s="86" t="str">
        <f>IF(A39="","",IFERROR(SUMPRODUCT((INT(Ventas!$B$2:$B$4994)=A39)*(ISNUMBER(SEARCH("TRANSFERENCIA",Ventas!$F$2:$F$4994)))*Ventas!$H$2:$H$4994),0))</f>
        <v/>
      </c>
      <c r="E39" s="86">
        <f t="shared" si="1"/>
        <v>0</v>
      </c>
      <c r="F39" s="86" t="str">
        <f>IF(A39="","",IFERROR(SUMPRODUCT((INT(Ventas!$B$2:$B$4994)=A39)*((ISNUMBER(SEARCH("EFECTIVO",Ventas!$F$2:$F$4994)))+(ISNUMBER(SEARCH("POSNET",Ventas!$F$2:$F$4994)))+(ISNUMBER(SEARCH("TRANSFERENCIA",Ventas!$F$2:$F$4994)))&gt;0)),0))</f>
        <v/>
      </c>
    </row>
    <row r="40" ht="15.75" customHeight="1">
      <c r="A40" s="85"/>
      <c r="B40" s="86" t="str">
        <f>IF(A40="","",IFERROR(SUMPRODUCT((INT(Ventas!$B$2:$B$4994)=A40)*(ISNUMBER(SEARCH("EFECTIVO",Ventas!$F$2:$F$4994)))*Ventas!$H$2:$H$4994),0))</f>
        <v/>
      </c>
      <c r="C40" s="86" t="str">
        <f>IF(A40="","",IFERROR(SUMPRODUCT((INT(Ventas!$B$2:$B$4994)=A40)*(ISNUMBER(SEARCH("POSNET",Ventas!$F$2:$F$4994)))*Ventas!$H$2:$H$4994),0))</f>
        <v/>
      </c>
      <c r="D40" s="86" t="str">
        <f>IF(A40="","",IFERROR(SUMPRODUCT((INT(Ventas!$B$2:$B$4994)=A40)*(ISNUMBER(SEARCH("TRANSFERENCIA",Ventas!$F$2:$F$4994)))*Ventas!$H$2:$H$4994),0))</f>
        <v/>
      </c>
      <c r="E40" s="86">
        <f t="shared" si="1"/>
        <v>0</v>
      </c>
      <c r="F40" s="86" t="str">
        <f>IF(A40="","",IFERROR(SUMPRODUCT((INT(Ventas!$B$2:$B$4994)=A40)*((ISNUMBER(SEARCH("EFECTIVO",Ventas!$F$2:$F$4994)))+(ISNUMBER(SEARCH("POSNET",Ventas!$F$2:$F$4994)))+(ISNUMBER(SEARCH("TRANSFERENCIA",Ventas!$F$2:$F$4994)))&gt;0)),0))</f>
        <v/>
      </c>
    </row>
    <row r="41" ht="15.75" customHeight="1">
      <c r="A41" s="85"/>
      <c r="B41" s="86" t="str">
        <f>IF(A41="","",IFERROR(SUMPRODUCT((INT(Ventas!$B$2:$B$4994)=A41)*(ISNUMBER(SEARCH("EFECTIVO",Ventas!$F$2:$F$4994)))*Ventas!$H$2:$H$4994),0))</f>
        <v/>
      </c>
      <c r="C41" s="86" t="str">
        <f>IF(A41="","",IFERROR(SUMPRODUCT((INT(Ventas!$B$2:$B$4994)=A41)*(ISNUMBER(SEARCH("POSNET",Ventas!$F$2:$F$4994)))*Ventas!$H$2:$H$4994),0))</f>
        <v/>
      </c>
      <c r="D41" s="86" t="str">
        <f>IF(A41="","",IFERROR(SUMPRODUCT((INT(Ventas!$B$2:$B$4994)=A41)*(ISNUMBER(SEARCH("TRANSFERENCIA",Ventas!$F$2:$F$4994)))*Ventas!$H$2:$H$4994),0))</f>
        <v/>
      </c>
      <c r="E41" s="86">
        <f t="shared" si="1"/>
        <v>0</v>
      </c>
      <c r="F41" s="86" t="str">
        <f>IF(A41="","",IFERROR(SUMPRODUCT((INT(Ventas!$B$2:$B$4994)=A41)*((ISNUMBER(SEARCH("EFECTIVO",Ventas!$F$2:$F$4994)))+(ISNUMBER(SEARCH("POSNET",Ventas!$F$2:$F$4994)))+(ISNUMBER(SEARCH("TRANSFERENCIA",Ventas!$F$2:$F$4994)))&gt;0)),0))</f>
        <v/>
      </c>
    </row>
    <row r="42" ht="15.75" customHeight="1">
      <c r="A42" s="85"/>
      <c r="B42" s="86" t="str">
        <f>IF(A42="","",IFERROR(SUMPRODUCT((INT(Ventas!$B$2:$B$4994)=A42)*(ISNUMBER(SEARCH("EFECTIVO",Ventas!$F$2:$F$4994)))*Ventas!$H$2:$H$4994),0))</f>
        <v/>
      </c>
      <c r="C42" s="86" t="str">
        <f>IF(A42="","",IFERROR(SUMPRODUCT((INT(Ventas!$B$2:$B$4994)=A42)*(ISNUMBER(SEARCH("POSNET",Ventas!$F$2:$F$4994)))*Ventas!$H$2:$H$4994),0))</f>
        <v/>
      </c>
      <c r="D42" s="86" t="str">
        <f>IF(A42="","",IFERROR(SUMPRODUCT((INT(Ventas!$B$2:$B$4994)=A42)*(ISNUMBER(SEARCH("TRANSFERENCIA",Ventas!$F$2:$F$4994)))*Ventas!$H$2:$H$4994),0))</f>
        <v/>
      </c>
      <c r="E42" s="86">
        <f t="shared" si="1"/>
        <v>0</v>
      </c>
      <c r="F42" s="86" t="str">
        <f>IF(A42="","",IFERROR(SUMPRODUCT((INT(Ventas!$B$2:$B$4994)=A42)*((ISNUMBER(SEARCH("EFECTIVO",Ventas!$F$2:$F$4994)))+(ISNUMBER(SEARCH("POSNET",Ventas!$F$2:$F$4994)))+(ISNUMBER(SEARCH("TRANSFERENCIA",Ventas!$F$2:$F$4994)))&gt;0)),0))</f>
        <v/>
      </c>
    </row>
    <row r="43" ht="15.75" customHeight="1">
      <c r="A43" s="85"/>
      <c r="B43" s="86" t="str">
        <f>IF(A43="","",IFERROR(SUMPRODUCT((INT(Ventas!$B$2:$B$4994)=A43)*(ISNUMBER(SEARCH("EFECTIVO",Ventas!$F$2:$F$4994)))*Ventas!$H$2:$H$4994),0))</f>
        <v/>
      </c>
      <c r="C43" s="86" t="str">
        <f>IF(A43="","",IFERROR(SUMPRODUCT((INT(Ventas!$B$2:$B$4994)=A43)*(ISNUMBER(SEARCH("POSNET",Ventas!$F$2:$F$4994)))*Ventas!$H$2:$H$4994),0))</f>
        <v/>
      </c>
      <c r="D43" s="86" t="str">
        <f>IF(A43="","",IFERROR(SUMPRODUCT((INT(Ventas!$B$2:$B$4994)=A43)*(ISNUMBER(SEARCH("TRANSFERENCIA",Ventas!$F$2:$F$4994)))*Ventas!$H$2:$H$4994),0))</f>
        <v/>
      </c>
      <c r="E43" s="86">
        <f t="shared" si="1"/>
        <v>0</v>
      </c>
      <c r="F43" s="86" t="str">
        <f>IF(A43="","",IFERROR(SUMPRODUCT((INT(Ventas!$B$2:$B$4994)=A43)*((ISNUMBER(SEARCH("EFECTIVO",Ventas!$F$2:$F$4994)))+(ISNUMBER(SEARCH("POSNET",Ventas!$F$2:$F$4994)))+(ISNUMBER(SEARCH("TRANSFERENCIA",Ventas!$F$2:$F$4994)))&gt;0)),0))</f>
        <v/>
      </c>
    </row>
    <row r="44" ht="15.75" customHeight="1">
      <c r="A44" s="87"/>
      <c r="E44" s="88">
        <f>SUM(E2:E43)</f>
        <v>2283967</v>
      </c>
    </row>
    <row r="45" ht="15.75" customHeight="1">
      <c r="A45" s="87"/>
    </row>
    <row r="46" ht="15.75" customHeight="1">
      <c r="A46" s="87"/>
    </row>
    <row r="47" ht="15.75" customHeight="1">
      <c r="A47" s="87"/>
      <c r="E47" s="89"/>
    </row>
    <row r="48" ht="15.75" customHeight="1">
      <c r="A48" s="87"/>
    </row>
    <row r="49" ht="15.75" customHeight="1">
      <c r="A49" s="87"/>
    </row>
    <row r="50" ht="15.75" customHeight="1">
      <c r="A50" s="87"/>
    </row>
    <row r="51" ht="15.75" customHeight="1">
      <c r="A51" s="87"/>
    </row>
    <row r="52" ht="15.75" customHeight="1">
      <c r="A52" s="87"/>
    </row>
    <row r="53" ht="15.75" customHeight="1">
      <c r="A53" s="87"/>
    </row>
    <row r="54" ht="15.75" customHeight="1">
      <c r="A54" s="87"/>
    </row>
    <row r="55" ht="15.75" customHeight="1">
      <c r="A55" s="87"/>
    </row>
    <row r="56" ht="15.75" customHeight="1">
      <c r="A56" s="87"/>
    </row>
    <row r="57" ht="15.75" customHeight="1">
      <c r="A57" s="87"/>
    </row>
    <row r="58" ht="15.75" customHeight="1">
      <c r="A58" s="87"/>
    </row>
    <row r="59" ht="15.75" customHeight="1">
      <c r="A59" s="87"/>
    </row>
    <row r="60" ht="15.75" customHeight="1">
      <c r="A60" s="87"/>
    </row>
    <row r="61" ht="15.75" customHeight="1">
      <c r="A61" s="87"/>
    </row>
    <row r="62" ht="15.75" customHeight="1">
      <c r="A62" s="87"/>
    </row>
    <row r="63" ht="15.75" customHeight="1">
      <c r="A63" s="87"/>
    </row>
    <row r="64" ht="15.75" customHeight="1">
      <c r="A64" s="87"/>
    </row>
    <row r="65" ht="15.75" customHeight="1">
      <c r="A65" s="87"/>
    </row>
    <row r="66" ht="15.75" customHeight="1">
      <c r="A66" s="87"/>
    </row>
    <row r="67" ht="15.75" customHeight="1">
      <c r="A67" s="87"/>
    </row>
    <row r="68" ht="15.75" customHeight="1">
      <c r="A68" s="87"/>
    </row>
    <row r="69" ht="15.75" customHeight="1">
      <c r="A69" s="87"/>
    </row>
    <row r="70" ht="15.75" customHeight="1">
      <c r="A70" s="87"/>
    </row>
    <row r="71" ht="15.75" customHeight="1">
      <c r="A71" s="87"/>
    </row>
    <row r="72" ht="15.75" customHeight="1">
      <c r="A72" s="87"/>
    </row>
    <row r="73" ht="15.75" customHeight="1">
      <c r="A73" s="87"/>
    </row>
    <row r="74" ht="15.75" customHeight="1">
      <c r="A74" s="87"/>
    </row>
    <row r="75" ht="15.75" customHeight="1">
      <c r="A75" s="87"/>
    </row>
    <row r="76" ht="15.75" customHeight="1">
      <c r="A76" s="87"/>
    </row>
    <row r="77" ht="15.75" customHeight="1">
      <c r="A77" s="87"/>
    </row>
    <row r="78" ht="15.75" customHeight="1">
      <c r="A78" s="87"/>
    </row>
    <row r="79" ht="15.75" customHeight="1">
      <c r="A79" s="87"/>
    </row>
    <row r="80" ht="15.75" customHeight="1">
      <c r="A80" s="87"/>
    </row>
    <row r="81" ht="15.75" customHeight="1">
      <c r="A81" s="87"/>
    </row>
    <row r="82" ht="15.75" customHeight="1">
      <c r="A82" s="87"/>
    </row>
    <row r="83" ht="15.75" customHeight="1">
      <c r="A83" s="87"/>
    </row>
    <row r="84" ht="15.75" customHeight="1">
      <c r="A84" s="87"/>
    </row>
    <row r="85" ht="15.75" customHeight="1">
      <c r="A85" s="87"/>
    </row>
    <row r="86" ht="15.75" customHeight="1">
      <c r="A86" s="87"/>
    </row>
    <row r="87" ht="15.75" customHeight="1">
      <c r="A87" s="87"/>
    </row>
    <row r="88" ht="15.75" customHeight="1">
      <c r="A88" s="87"/>
    </row>
    <row r="89" ht="15.75" customHeight="1">
      <c r="A89" s="87"/>
    </row>
    <row r="90" ht="15.75" customHeight="1">
      <c r="A90" s="87"/>
    </row>
    <row r="91" ht="15.75" customHeight="1">
      <c r="A91" s="87"/>
    </row>
    <row r="92" ht="15.75" customHeight="1">
      <c r="A92" s="87"/>
    </row>
    <row r="93" ht="15.75" customHeight="1">
      <c r="A93" s="87"/>
    </row>
    <row r="94" ht="15.75" customHeight="1">
      <c r="A94" s="87"/>
    </row>
    <row r="95" ht="15.75" customHeight="1">
      <c r="A95" s="87"/>
    </row>
    <row r="96" ht="15.75" customHeight="1">
      <c r="A96" s="87"/>
    </row>
    <row r="97" ht="15.75" customHeight="1">
      <c r="A97" s="87"/>
    </row>
    <row r="98" ht="15.75" customHeight="1">
      <c r="A98" s="87"/>
    </row>
    <row r="99" ht="15.75" customHeight="1">
      <c r="A99" s="87"/>
    </row>
    <row r="100" ht="15.75" customHeight="1">
      <c r="A100" s="87"/>
    </row>
    <row r="101" ht="15.75" customHeight="1">
      <c r="A101" s="87"/>
    </row>
    <row r="102" ht="15.75" customHeight="1">
      <c r="A102" s="87"/>
    </row>
    <row r="103" ht="15.75" customHeight="1">
      <c r="A103" s="87"/>
    </row>
    <row r="104" ht="15.75" customHeight="1">
      <c r="A104" s="87"/>
    </row>
    <row r="105" ht="15.75" customHeight="1">
      <c r="A105" s="87"/>
    </row>
    <row r="106" ht="15.75" customHeight="1">
      <c r="A106" s="87"/>
    </row>
    <row r="107" ht="15.75" customHeight="1">
      <c r="A107" s="87"/>
    </row>
    <row r="108" ht="15.75" customHeight="1">
      <c r="A108" s="87"/>
    </row>
    <row r="109" ht="15.75" customHeight="1">
      <c r="A109" s="87"/>
    </row>
    <row r="110" ht="15.75" customHeight="1">
      <c r="A110" s="87"/>
    </row>
    <row r="111" ht="15.75" customHeight="1">
      <c r="A111" s="87"/>
    </row>
    <row r="112" ht="15.75" customHeight="1">
      <c r="A112" s="87"/>
    </row>
    <row r="113" ht="15.75" customHeight="1">
      <c r="A113" s="87"/>
    </row>
    <row r="114" ht="15.75" customHeight="1">
      <c r="A114" s="87"/>
    </row>
    <row r="115" ht="15.75" customHeight="1">
      <c r="A115" s="87"/>
    </row>
    <row r="116" ht="15.75" customHeight="1">
      <c r="A116" s="87"/>
    </row>
    <row r="117" ht="15.75" customHeight="1">
      <c r="A117" s="87"/>
    </row>
    <row r="118" ht="15.75" customHeight="1">
      <c r="A118" s="87"/>
    </row>
    <row r="119" ht="15.75" customHeight="1">
      <c r="A119" s="87"/>
    </row>
    <row r="120" ht="15.75" customHeight="1">
      <c r="A120" s="87"/>
    </row>
    <row r="121" ht="15.75" customHeight="1">
      <c r="A121" s="87"/>
    </row>
    <row r="122" ht="15.75" customHeight="1">
      <c r="A122" s="87"/>
    </row>
    <row r="123" ht="15.75" customHeight="1">
      <c r="A123" s="87"/>
    </row>
    <row r="124" ht="15.75" customHeight="1">
      <c r="A124" s="87"/>
    </row>
    <row r="125" ht="15.75" customHeight="1">
      <c r="A125" s="87"/>
    </row>
    <row r="126" ht="15.75" customHeight="1">
      <c r="A126" s="87"/>
    </row>
    <row r="127" ht="15.75" customHeight="1">
      <c r="A127" s="87"/>
    </row>
    <row r="128" ht="15.75" customHeight="1">
      <c r="A128" s="87"/>
    </row>
    <row r="129" ht="15.75" customHeight="1">
      <c r="A129" s="87"/>
    </row>
    <row r="130" ht="15.75" customHeight="1">
      <c r="A130" s="87"/>
    </row>
    <row r="131" ht="15.75" customHeight="1">
      <c r="A131" s="87"/>
    </row>
    <row r="132" ht="15.75" customHeight="1">
      <c r="A132" s="87"/>
    </row>
    <row r="133" ht="15.75" customHeight="1">
      <c r="A133" s="87"/>
    </row>
    <row r="134" ht="15.75" customHeight="1">
      <c r="A134" s="87"/>
    </row>
    <row r="135" ht="15.75" customHeight="1">
      <c r="A135" s="87"/>
    </row>
    <row r="136" ht="15.75" customHeight="1">
      <c r="A136" s="87"/>
    </row>
    <row r="137" ht="15.75" customHeight="1">
      <c r="A137" s="87"/>
    </row>
    <row r="138" ht="15.75" customHeight="1">
      <c r="A138" s="87"/>
    </row>
    <row r="139" ht="15.75" customHeight="1">
      <c r="A139" s="87"/>
    </row>
    <row r="140" ht="15.75" customHeight="1">
      <c r="A140" s="87"/>
    </row>
    <row r="141" ht="15.75" customHeight="1">
      <c r="A141" s="87"/>
    </row>
    <row r="142" ht="15.75" customHeight="1">
      <c r="A142" s="87"/>
    </row>
    <row r="143" ht="15.75" customHeight="1">
      <c r="A143" s="87"/>
    </row>
    <row r="144" ht="15.75" customHeight="1">
      <c r="A144" s="87"/>
    </row>
    <row r="145" ht="15.75" customHeight="1">
      <c r="A145" s="87"/>
    </row>
    <row r="146" ht="15.75" customHeight="1">
      <c r="A146" s="87"/>
    </row>
    <row r="147" ht="15.75" customHeight="1">
      <c r="A147" s="87"/>
    </row>
    <row r="148" ht="15.75" customHeight="1">
      <c r="A148" s="87"/>
    </row>
    <row r="149" ht="15.75" customHeight="1">
      <c r="A149" s="87"/>
    </row>
    <row r="150" ht="15.75" customHeight="1">
      <c r="A150" s="87"/>
    </row>
    <row r="151" ht="15.75" customHeight="1">
      <c r="A151" s="87"/>
    </row>
    <row r="152" ht="15.75" customHeight="1">
      <c r="A152" s="87"/>
    </row>
    <row r="153" ht="15.75" customHeight="1">
      <c r="A153" s="87"/>
    </row>
    <row r="154" ht="15.75" customHeight="1">
      <c r="A154" s="87"/>
    </row>
    <row r="155" ht="15.75" customHeight="1">
      <c r="A155" s="87"/>
    </row>
    <row r="156" ht="15.75" customHeight="1">
      <c r="A156" s="87"/>
    </row>
    <row r="157" ht="15.75" customHeight="1">
      <c r="A157" s="87"/>
    </row>
    <row r="158" ht="15.75" customHeight="1">
      <c r="A158" s="87"/>
    </row>
    <row r="159" ht="15.75" customHeight="1">
      <c r="A159" s="87"/>
    </row>
    <row r="160" ht="15.75" customHeight="1">
      <c r="A160" s="87"/>
    </row>
    <row r="161" ht="15.75" customHeight="1">
      <c r="A161" s="87"/>
    </row>
    <row r="162" ht="15.75" customHeight="1">
      <c r="A162" s="87"/>
    </row>
    <row r="163" ht="15.75" customHeight="1">
      <c r="A163" s="87"/>
    </row>
    <row r="164" ht="15.75" customHeight="1">
      <c r="A164" s="87"/>
    </row>
    <row r="165" ht="15.75" customHeight="1">
      <c r="A165" s="87"/>
    </row>
    <row r="166" ht="15.75" customHeight="1">
      <c r="A166" s="87"/>
    </row>
    <row r="167" ht="15.75" customHeight="1">
      <c r="A167" s="87"/>
    </row>
    <row r="168" ht="15.75" customHeight="1">
      <c r="A168" s="87"/>
    </row>
    <row r="169" ht="15.75" customHeight="1">
      <c r="A169" s="87"/>
    </row>
    <row r="170" ht="15.75" customHeight="1">
      <c r="A170" s="87"/>
    </row>
    <row r="171" ht="15.75" customHeight="1">
      <c r="A171" s="87"/>
    </row>
    <row r="172" ht="15.75" customHeight="1">
      <c r="A172" s="87"/>
    </row>
    <row r="173" ht="15.75" customHeight="1">
      <c r="A173" s="87"/>
    </row>
    <row r="174" ht="15.75" customHeight="1">
      <c r="A174" s="87"/>
    </row>
    <row r="175" ht="15.75" customHeight="1">
      <c r="A175" s="87"/>
    </row>
    <row r="176" ht="15.75" customHeight="1">
      <c r="A176" s="87"/>
    </row>
    <row r="177" ht="15.75" customHeight="1">
      <c r="A177" s="87"/>
    </row>
    <row r="178" ht="15.75" customHeight="1">
      <c r="A178" s="87"/>
    </row>
    <row r="179" ht="15.75" customHeight="1">
      <c r="A179" s="87"/>
    </row>
    <row r="180" ht="15.75" customHeight="1">
      <c r="A180" s="87"/>
    </row>
    <row r="181" ht="15.75" customHeight="1">
      <c r="A181" s="87"/>
    </row>
    <row r="182" ht="15.75" customHeight="1">
      <c r="A182" s="87"/>
    </row>
    <row r="183" ht="15.75" customHeight="1">
      <c r="A183" s="87"/>
    </row>
    <row r="184" ht="15.75" customHeight="1">
      <c r="A184" s="87"/>
    </row>
    <row r="185" ht="15.75" customHeight="1">
      <c r="A185" s="87"/>
    </row>
    <row r="186" ht="15.75" customHeight="1">
      <c r="A186" s="87"/>
    </row>
    <row r="187" ht="15.75" customHeight="1">
      <c r="A187" s="87"/>
    </row>
    <row r="188" ht="15.75" customHeight="1">
      <c r="A188" s="87"/>
    </row>
    <row r="189" ht="15.75" customHeight="1">
      <c r="A189" s="87"/>
    </row>
    <row r="190" ht="15.75" customHeight="1">
      <c r="A190" s="87"/>
    </row>
    <row r="191" ht="15.75" customHeight="1">
      <c r="A191" s="87"/>
    </row>
    <row r="192" ht="15.75" customHeight="1">
      <c r="A192" s="87"/>
    </row>
    <row r="193" ht="15.75" customHeight="1">
      <c r="A193" s="87"/>
    </row>
    <row r="194" ht="15.75" customHeight="1">
      <c r="A194" s="87"/>
    </row>
    <row r="195" ht="15.75" customHeight="1">
      <c r="A195" s="87"/>
    </row>
    <row r="196" ht="15.75" customHeight="1">
      <c r="A196" s="87"/>
    </row>
    <row r="197" ht="15.75" customHeight="1">
      <c r="A197" s="87"/>
    </row>
    <row r="198" ht="15.75" customHeight="1">
      <c r="A198" s="87"/>
    </row>
    <row r="199" ht="15.75" customHeight="1">
      <c r="A199" s="87"/>
    </row>
    <row r="200" ht="15.75" customHeight="1">
      <c r="A200" s="87"/>
    </row>
    <row r="201" ht="15.75" customHeight="1">
      <c r="A201" s="87"/>
    </row>
    <row r="202" ht="15.75" customHeight="1">
      <c r="A202" s="87"/>
    </row>
    <row r="203" ht="15.75" customHeight="1">
      <c r="A203" s="87"/>
    </row>
    <row r="204" ht="15.75" customHeight="1">
      <c r="A204" s="87"/>
    </row>
    <row r="205" ht="15.75" customHeight="1">
      <c r="A205" s="87"/>
    </row>
    <row r="206" ht="15.75" customHeight="1">
      <c r="A206" s="87"/>
    </row>
    <row r="207" ht="15.75" customHeight="1">
      <c r="A207" s="87"/>
    </row>
    <row r="208" ht="15.75" customHeight="1">
      <c r="A208" s="87"/>
    </row>
    <row r="209" ht="15.75" customHeight="1">
      <c r="A209" s="87"/>
    </row>
    <row r="210" ht="15.75" customHeight="1">
      <c r="A210" s="87"/>
    </row>
    <row r="211" ht="15.75" customHeight="1">
      <c r="A211" s="87"/>
    </row>
    <row r="212" ht="15.75" customHeight="1">
      <c r="A212" s="87"/>
    </row>
    <row r="213" ht="15.75" customHeight="1">
      <c r="A213" s="87"/>
    </row>
    <row r="214" ht="15.75" customHeight="1">
      <c r="A214" s="87"/>
    </row>
    <row r="215" ht="15.75" customHeight="1">
      <c r="A215" s="87"/>
    </row>
    <row r="216" ht="15.75" customHeight="1">
      <c r="A216" s="87"/>
    </row>
    <row r="217" ht="15.75" customHeight="1">
      <c r="A217" s="87"/>
    </row>
    <row r="218" ht="15.75" customHeight="1">
      <c r="A218" s="87"/>
    </row>
    <row r="219" ht="15.75" customHeight="1">
      <c r="A219" s="87"/>
    </row>
    <row r="220" ht="15.75" customHeight="1">
      <c r="A220" s="87"/>
    </row>
    <row r="221" ht="15.75" customHeight="1">
      <c r="A221" s="87"/>
    </row>
    <row r="222" ht="15.75" customHeight="1">
      <c r="A222" s="87"/>
    </row>
    <row r="223" ht="15.75" customHeight="1">
      <c r="A223" s="87"/>
    </row>
    <row r="224" ht="15.75" customHeight="1">
      <c r="A224" s="87"/>
    </row>
    <row r="225" ht="15.75" customHeight="1">
      <c r="A225" s="87"/>
    </row>
    <row r="226" ht="15.75" customHeight="1">
      <c r="A226" s="87"/>
    </row>
    <row r="227" ht="15.75" customHeight="1">
      <c r="A227" s="87"/>
    </row>
    <row r="228" ht="15.75" customHeight="1">
      <c r="A228" s="87"/>
    </row>
    <row r="229" ht="15.75" customHeight="1">
      <c r="A229" s="87"/>
    </row>
    <row r="230" ht="15.75" customHeight="1">
      <c r="A230" s="87"/>
    </row>
    <row r="231" ht="15.75" customHeight="1">
      <c r="A231" s="87"/>
    </row>
    <row r="232" ht="15.75" customHeight="1">
      <c r="A232" s="87"/>
    </row>
    <row r="233" ht="15.75" customHeight="1">
      <c r="A233" s="87"/>
    </row>
    <row r="234" ht="15.75" customHeight="1">
      <c r="A234" s="87"/>
    </row>
    <row r="235" ht="15.75" customHeight="1">
      <c r="A235" s="87"/>
    </row>
    <row r="236" ht="15.75" customHeight="1">
      <c r="A236" s="87"/>
    </row>
    <row r="237" ht="15.75" customHeight="1">
      <c r="A237" s="87"/>
    </row>
    <row r="238" ht="15.75" customHeight="1">
      <c r="A238" s="87"/>
    </row>
    <row r="239" ht="15.75" customHeight="1">
      <c r="A239" s="87"/>
    </row>
    <row r="240" ht="15.75" customHeight="1">
      <c r="A240" s="87"/>
    </row>
    <row r="241" ht="15.75" customHeight="1">
      <c r="A241" s="87"/>
    </row>
    <row r="242" ht="15.75" customHeight="1">
      <c r="A242" s="87"/>
    </row>
    <row r="243" ht="15.75" customHeight="1">
      <c r="A243" s="87"/>
    </row>
    <row r="244" ht="15.75" customHeight="1">
      <c r="A244" s="8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75"/>
    <col customWidth="1" min="2" max="2" width="19.63"/>
    <col customWidth="1" min="3" max="3" width="14.75"/>
    <col customWidth="1" min="4" max="4" width="85.0"/>
    <col customWidth="1" min="5" max="5" width="9.63"/>
    <col customWidth="1" min="6" max="6" width="22.88"/>
    <col customWidth="1" min="7" max="7" width="10.63"/>
    <col customWidth="1" min="8" max="8" width="9.0"/>
  </cols>
  <sheetData>
    <row r="1" ht="15.75" customHeight="1">
      <c r="A1" s="90" t="s">
        <v>1287</v>
      </c>
      <c r="B1" s="91" t="s">
        <v>1281</v>
      </c>
      <c r="C1" s="92" t="s">
        <v>1288</v>
      </c>
      <c r="D1" s="93" t="s">
        <v>1289</v>
      </c>
      <c r="E1" s="90" t="s">
        <v>1290</v>
      </c>
      <c r="F1" s="94" t="s">
        <v>1291</v>
      </c>
      <c r="G1" s="95" t="s">
        <v>1292</v>
      </c>
      <c r="H1" s="94" t="s">
        <v>1293</v>
      </c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15.75" customHeight="1">
      <c r="A2" s="97" t="s">
        <v>1294</v>
      </c>
      <c r="B2" s="98">
        <v>46075.0</v>
      </c>
      <c r="C2" s="99" t="s">
        <v>1295</v>
      </c>
      <c r="D2" s="100" t="s">
        <v>34</v>
      </c>
      <c r="E2" s="101">
        <v>1.0</v>
      </c>
      <c r="F2" s="102">
        <v>2600.0</v>
      </c>
      <c r="G2" s="103"/>
      <c r="H2" s="102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15.75" customHeight="1">
      <c r="A3" s="86"/>
      <c r="B3" s="98">
        <v>46075.0</v>
      </c>
      <c r="C3" s="99" t="s">
        <v>1295</v>
      </c>
      <c r="D3" s="100" t="s">
        <v>1296</v>
      </c>
      <c r="E3" s="101">
        <v>1.0</v>
      </c>
      <c r="F3" s="103" t="s">
        <v>1297</v>
      </c>
      <c r="G3" s="103"/>
      <c r="H3" s="102">
        <v>2600.0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15.75" customHeight="1">
      <c r="A4" s="97" t="s">
        <v>1298</v>
      </c>
      <c r="B4" s="98">
        <v>46075.0</v>
      </c>
      <c r="C4" s="99" t="s">
        <v>1299</v>
      </c>
      <c r="D4" s="100" t="s">
        <v>49</v>
      </c>
      <c r="E4" s="101">
        <v>1.0</v>
      </c>
      <c r="F4" s="102">
        <v>2700.0</v>
      </c>
      <c r="G4" s="103"/>
      <c r="H4" s="102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 ht="15.75" customHeight="1">
      <c r="A5" s="86"/>
      <c r="B5" s="98">
        <v>46075.0</v>
      </c>
      <c r="C5" s="99" t="s">
        <v>1299</v>
      </c>
      <c r="D5" s="100" t="s">
        <v>1296</v>
      </c>
      <c r="E5" s="101">
        <v>1.0</v>
      </c>
      <c r="F5" s="103" t="s">
        <v>1297</v>
      </c>
      <c r="G5" s="103"/>
      <c r="H5" s="102">
        <v>2700.0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15.75" customHeight="1">
      <c r="A6" s="97" t="s">
        <v>1300</v>
      </c>
      <c r="B6" s="104">
        <v>46075.70486111111</v>
      </c>
      <c r="C6" s="105">
        <v>0.7048611111111112</v>
      </c>
      <c r="D6" s="100" t="s">
        <v>415</v>
      </c>
      <c r="E6" s="101">
        <v>1.0</v>
      </c>
      <c r="F6" s="102">
        <v>2000.0</v>
      </c>
      <c r="G6" s="103"/>
      <c r="H6" s="102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15.75" customHeight="1">
      <c r="A7" s="86"/>
      <c r="B7" s="104">
        <v>46075.70486111111</v>
      </c>
      <c r="C7" s="105">
        <v>0.7048611111111112</v>
      </c>
      <c r="D7" s="100" t="s">
        <v>1301</v>
      </c>
      <c r="E7" s="101">
        <v>1.0</v>
      </c>
      <c r="F7" s="103" t="s">
        <v>1297</v>
      </c>
      <c r="G7" s="103"/>
      <c r="H7" s="102">
        <v>2000.0</v>
      </c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15.75" customHeight="1">
      <c r="A8" s="97" t="s">
        <v>1302</v>
      </c>
      <c r="B8" s="98">
        <v>46075.0</v>
      </c>
      <c r="C8" s="99" t="s">
        <v>1303</v>
      </c>
      <c r="D8" s="100" t="s">
        <v>193</v>
      </c>
      <c r="E8" s="101">
        <v>1.0</v>
      </c>
      <c r="F8" s="102">
        <v>2200.0</v>
      </c>
      <c r="G8" s="103"/>
      <c r="H8" s="102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15.75" customHeight="1">
      <c r="A9" s="86"/>
      <c r="B9" s="104">
        <v>46075.73263888889</v>
      </c>
      <c r="C9" s="105">
        <v>0.7326388888888888</v>
      </c>
      <c r="D9" s="100" t="s">
        <v>1304</v>
      </c>
      <c r="E9" s="101">
        <v>1.0</v>
      </c>
      <c r="F9" s="103" t="s">
        <v>1297</v>
      </c>
      <c r="G9" s="103"/>
      <c r="H9" s="102">
        <v>2200.0</v>
      </c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15.75" customHeight="1">
      <c r="A10" s="97" t="s">
        <v>1305</v>
      </c>
      <c r="B10" s="98">
        <v>46076.0</v>
      </c>
      <c r="C10" s="99" t="s">
        <v>1306</v>
      </c>
      <c r="D10" s="100" t="s">
        <v>1307</v>
      </c>
      <c r="E10" s="101">
        <v>1.0</v>
      </c>
      <c r="F10" s="102">
        <v>7200.0</v>
      </c>
      <c r="G10" s="103"/>
      <c r="H10" s="102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15.75" customHeight="1">
      <c r="A11" s="86"/>
      <c r="B11" s="104">
        <v>46076.05625</v>
      </c>
      <c r="C11" s="105">
        <v>0.05625</v>
      </c>
      <c r="D11" s="100" t="s">
        <v>1308</v>
      </c>
      <c r="E11" s="101">
        <v>1.0</v>
      </c>
      <c r="F11" s="103" t="s">
        <v>1297</v>
      </c>
      <c r="G11" s="103"/>
      <c r="H11" s="102">
        <v>7200.0</v>
      </c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15.75" customHeight="1">
      <c r="A12" s="97" t="s">
        <v>1309</v>
      </c>
      <c r="B12" s="98">
        <v>46076.0</v>
      </c>
      <c r="C12" s="99" t="s">
        <v>1310</v>
      </c>
      <c r="D12" s="100" t="s">
        <v>34</v>
      </c>
      <c r="E12" s="101">
        <v>1.0</v>
      </c>
      <c r="F12" s="102">
        <v>2600.0</v>
      </c>
      <c r="G12" s="103"/>
      <c r="H12" s="102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15.75" customHeight="1">
      <c r="A13" s="97" t="s">
        <v>1309</v>
      </c>
      <c r="B13" s="98">
        <v>46076.0</v>
      </c>
      <c r="C13" s="99" t="s">
        <v>1310</v>
      </c>
      <c r="D13" s="100" t="s">
        <v>1307</v>
      </c>
      <c r="E13" s="101">
        <v>1.0</v>
      </c>
      <c r="F13" s="102">
        <v>7200.0</v>
      </c>
      <c r="G13" s="103"/>
      <c r="H13" s="102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 ht="15.75" customHeight="1">
      <c r="A14" s="86"/>
      <c r="B14" s="104">
        <v>46076.08888888889</v>
      </c>
      <c r="C14" s="105">
        <v>0.08888888888888889</v>
      </c>
      <c r="D14" s="100" t="s">
        <v>1311</v>
      </c>
      <c r="E14" s="101">
        <v>2.0</v>
      </c>
      <c r="F14" s="103" t="s">
        <v>1297</v>
      </c>
      <c r="G14" s="103"/>
      <c r="H14" s="102">
        <v>9800.0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15.75" customHeight="1">
      <c r="A15" s="97" t="s">
        <v>1312</v>
      </c>
      <c r="B15" s="98">
        <v>46076.0</v>
      </c>
      <c r="C15" s="99" t="s">
        <v>1313</v>
      </c>
      <c r="D15" s="100" t="s">
        <v>1314</v>
      </c>
      <c r="E15" s="101">
        <v>1.0</v>
      </c>
      <c r="F15" s="102">
        <v>4000.0</v>
      </c>
      <c r="G15" s="103"/>
      <c r="H15" s="102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15.75" customHeight="1">
      <c r="A16" s="97" t="s">
        <v>1312</v>
      </c>
      <c r="B16" s="98">
        <v>46076.0</v>
      </c>
      <c r="C16" s="99" t="s">
        <v>1313</v>
      </c>
      <c r="D16" s="100" t="s">
        <v>499</v>
      </c>
      <c r="E16" s="101">
        <v>1.0</v>
      </c>
      <c r="F16" s="102">
        <v>800.0</v>
      </c>
      <c r="G16" s="103"/>
      <c r="H16" s="102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15.75" customHeight="1">
      <c r="A17" s="86"/>
      <c r="B17" s="104">
        <v>46076.46875</v>
      </c>
      <c r="C17" s="105">
        <v>0.46875</v>
      </c>
      <c r="D17" s="100" t="s">
        <v>1315</v>
      </c>
      <c r="E17" s="101">
        <v>2.0</v>
      </c>
      <c r="F17" s="103" t="s">
        <v>1297</v>
      </c>
      <c r="G17" s="103"/>
      <c r="H17" s="102">
        <v>4800.0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15.75" customHeight="1">
      <c r="A18" s="97" t="s">
        <v>1316</v>
      </c>
      <c r="B18" s="98">
        <v>46076.0</v>
      </c>
      <c r="C18" s="99" t="s">
        <v>1317</v>
      </c>
      <c r="D18" s="100" t="s">
        <v>1243</v>
      </c>
      <c r="E18" s="101">
        <v>1.0</v>
      </c>
      <c r="F18" s="102">
        <v>1200.0</v>
      </c>
      <c r="G18" s="103"/>
      <c r="H18" s="102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15.75" customHeight="1">
      <c r="A19" s="86"/>
      <c r="B19" s="104">
        <v>46076.56319444445</v>
      </c>
      <c r="C19" s="105">
        <v>0.5631944444444444</v>
      </c>
      <c r="D19" s="100" t="s">
        <v>1318</v>
      </c>
      <c r="E19" s="101">
        <v>1.0</v>
      </c>
      <c r="F19" s="103" t="s">
        <v>1297</v>
      </c>
      <c r="G19" s="103"/>
      <c r="H19" s="102">
        <v>1200.0</v>
      </c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15.75" customHeight="1">
      <c r="A20" s="97" t="s">
        <v>1319</v>
      </c>
      <c r="B20" s="98">
        <v>46076.0</v>
      </c>
      <c r="C20" s="99" t="s">
        <v>1320</v>
      </c>
      <c r="D20" s="100" t="s">
        <v>1321</v>
      </c>
      <c r="E20" s="101">
        <v>0.0</v>
      </c>
      <c r="F20" s="102">
        <v>550.0</v>
      </c>
      <c r="G20" s="103"/>
      <c r="H20" s="102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15.75" customHeight="1">
      <c r="A21" s="86"/>
      <c r="B21" s="104">
        <v>46076.58472222222</v>
      </c>
      <c r="C21" s="105">
        <v>0.5847222222222223</v>
      </c>
      <c r="D21" s="100" t="s">
        <v>1322</v>
      </c>
      <c r="E21" s="101">
        <v>0.0</v>
      </c>
      <c r="F21" s="103" t="s">
        <v>1297</v>
      </c>
      <c r="G21" s="103"/>
      <c r="H21" s="102">
        <v>550.0</v>
      </c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15.75" customHeight="1">
      <c r="A22" s="97" t="s">
        <v>1323</v>
      </c>
      <c r="B22" s="98">
        <v>46076.0</v>
      </c>
      <c r="C22" s="99" t="s">
        <v>1324</v>
      </c>
      <c r="D22" s="100" t="s">
        <v>690</v>
      </c>
      <c r="E22" s="101">
        <v>1.0</v>
      </c>
      <c r="F22" s="102">
        <v>1600.0</v>
      </c>
      <c r="G22" s="103"/>
      <c r="H22" s="102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15.75" customHeight="1">
      <c r="A23" s="97" t="s">
        <v>1323</v>
      </c>
      <c r="B23" s="98">
        <v>46076.0</v>
      </c>
      <c r="C23" s="99" t="s">
        <v>1324</v>
      </c>
      <c r="D23" s="100" t="s">
        <v>86</v>
      </c>
      <c r="E23" s="101">
        <v>1.0</v>
      </c>
      <c r="F23" s="102">
        <v>5000.0</v>
      </c>
      <c r="G23" s="103"/>
      <c r="H23" s="102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15.75" customHeight="1">
      <c r="A24" s="97" t="s">
        <v>1323</v>
      </c>
      <c r="B24" s="98">
        <v>46076.0</v>
      </c>
      <c r="C24" s="99" t="s">
        <v>1324</v>
      </c>
      <c r="D24" s="100" t="s">
        <v>1269</v>
      </c>
      <c r="E24" s="101">
        <v>1.0</v>
      </c>
      <c r="F24" s="102">
        <v>4500.0</v>
      </c>
      <c r="G24" s="103"/>
      <c r="H24" s="102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15.75" customHeight="1">
      <c r="A25" s="97" t="s">
        <v>1323</v>
      </c>
      <c r="B25" s="98">
        <v>46076.0</v>
      </c>
      <c r="C25" s="99" t="s">
        <v>1324</v>
      </c>
      <c r="D25" s="100" t="s">
        <v>211</v>
      </c>
      <c r="E25" s="101">
        <v>1.0</v>
      </c>
      <c r="F25" s="102">
        <v>2500.0</v>
      </c>
      <c r="G25" s="103"/>
      <c r="H25" s="102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15.75" customHeight="1">
      <c r="A26" s="86"/>
      <c r="B26" s="104">
        <v>46076.60138888889</v>
      </c>
      <c r="C26" s="105">
        <v>0.6013888888888889</v>
      </c>
      <c r="D26" s="100" t="s">
        <v>1325</v>
      </c>
      <c r="E26" s="101">
        <v>4.0</v>
      </c>
      <c r="F26" s="103" t="s">
        <v>1297</v>
      </c>
      <c r="G26" s="103"/>
      <c r="H26" s="102">
        <v>13600.0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15.75" customHeight="1">
      <c r="A27" s="97" t="s">
        <v>1326</v>
      </c>
      <c r="B27" s="98">
        <v>46076.0</v>
      </c>
      <c r="C27" s="99" t="s">
        <v>1327</v>
      </c>
      <c r="D27" s="100" t="s">
        <v>1273</v>
      </c>
      <c r="E27" s="101">
        <v>1.0</v>
      </c>
      <c r="F27" s="102">
        <v>2500.0</v>
      </c>
      <c r="G27" s="103"/>
      <c r="H27" s="102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15.75" customHeight="1">
      <c r="A28" s="97" t="s">
        <v>1326</v>
      </c>
      <c r="B28" s="98">
        <v>46076.0</v>
      </c>
      <c r="C28" s="99" t="s">
        <v>1327</v>
      </c>
      <c r="D28" s="100" t="s">
        <v>725</v>
      </c>
      <c r="E28" s="101">
        <v>1.0</v>
      </c>
      <c r="F28" s="102">
        <v>3000.0</v>
      </c>
      <c r="G28" s="103"/>
      <c r="H28" s="102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15.75" customHeight="1">
      <c r="A29" s="97" t="s">
        <v>1326</v>
      </c>
      <c r="B29" s="98">
        <v>46076.0</v>
      </c>
      <c r="C29" s="99" t="s">
        <v>1327</v>
      </c>
      <c r="D29" s="100" t="s">
        <v>1328</v>
      </c>
      <c r="E29" s="101">
        <v>0.0</v>
      </c>
      <c r="F29" s="102">
        <v>1200.0</v>
      </c>
      <c r="G29" s="103"/>
      <c r="H29" s="102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15.75" customHeight="1">
      <c r="A30" s="86"/>
      <c r="B30" s="104">
        <v>46076.78194444445</v>
      </c>
      <c r="C30" s="105">
        <v>0.7819444444444444</v>
      </c>
      <c r="D30" s="100" t="s">
        <v>1329</v>
      </c>
      <c r="E30" s="101">
        <v>0.0</v>
      </c>
      <c r="F30" s="103" t="s">
        <v>1297</v>
      </c>
      <c r="G30" s="103"/>
      <c r="H30" s="102">
        <v>6700.0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15.75" customHeight="1">
      <c r="A31" s="97" t="s">
        <v>1330</v>
      </c>
      <c r="B31" s="98">
        <v>46076.0</v>
      </c>
      <c r="C31" s="99" t="s">
        <v>1331</v>
      </c>
      <c r="D31" s="100" t="s">
        <v>711</v>
      </c>
      <c r="E31" s="101">
        <v>1.0</v>
      </c>
      <c r="F31" s="102">
        <v>2500.0</v>
      </c>
      <c r="G31" s="103"/>
      <c r="H31" s="102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7" t="s">
        <v>1330</v>
      </c>
      <c r="B32" s="98">
        <v>46076.0</v>
      </c>
      <c r="C32" s="99" t="s">
        <v>1331</v>
      </c>
      <c r="D32" s="100" t="s">
        <v>1277</v>
      </c>
      <c r="E32" s="101">
        <v>1.0</v>
      </c>
      <c r="F32" s="102">
        <v>4000.0</v>
      </c>
      <c r="G32" s="103"/>
      <c r="H32" s="102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7" t="s">
        <v>1330</v>
      </c>
      <c r="B33" s="98">
        <v>46076.0</v>
      </c>
      <c r="C33" s="99" t="s">
        <v>1331</v>
      </c>
      <c r="D33" s="100" t="s">
        <v>753</v>
      </c>
      <c r="E33" s="101">
        <v>1.0</v>
      </c>
      <c r="F33" s="102">
        <v>6000.0</v>
      </c>
      <c r="G33" s="103"/>
      <c r="H33" s="102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86"/>
      <c r="B34" s="104">
        <v>46076.82083333333</v>
      </c>
      <c r="C34" s="105">
        <v>0.8208333333333333</v>
      </c>
      <c r="D34" s="100" t="s">
        <v>1332</v>
      </c>
      <c r="E34" s="101">
        <v>3.0</v>
      </c>
      <c r="F34" s="103" t="s">
        <v>1297</v>
      </c>
      <c r="G34" s="103"/>
      <c r="H34" s="102">
        <v>12500.0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7" t="s">
        <v>1333</v>
      </c>
      <c r="B35" s="98">
        <v>46076.0</v>
      </c>
      <c r="C35" s="99" t="s">
        <v>1334</v>
      </c>
      <c r="D35" s="100" t="s">
        <v>499</v>
      </c>
      <c r="E35" s="101">
        <v>2.0</v>
      </c>
      <c r="F35" s="102">
        <v>800.0</v>
      </c>
      <c r="G35" s="103"/>
      <c r="H35" s="102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7" t="s">
        <v>1333</v>
      </c>
      <c r="B36" s="98">
        <v>46076.0</v>
      </c>
      <c r="C36" s="99" t="s">
        <v>1334</v>
      </c>
      <c r="D36" s="100" t="s">
        <v>518</v>
      </c>
      <c r="E36" s="101">
        <v>1.0</v>
      </c>
      <c r="F36" s="102">
        <v>2200.0</v>
      </c>
      <c r="G36" s="103"/>
      <c r="H36" s="102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7" t="s">
        <v>1333</v>
      </c>
      <c r="B37" s="98">
        <v>46076.0</v>
      </c>
      <c r="C37" s="99" t="s">
        <v>1334</v>
      </c>
      <c r="D37" s="100" t="s">
        <v>449</v>
      </c>
      <c r="E37" s="101">
        <v>2.0</v>
      </c>
      <c r="F37" s="102">
        <v>1500.0</v>
      </c>
      <c r="G37" s="103"/>
      <c r="H37" s="102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86"/>
      <c r="B38" s="104">
        <v>46076.82222222222</v>
      </c>
      <c r="C38" s="105">
        <v>0.8222222222222222</v>
      </c>
      <c r="D38" s="100" t="s">
        <v>1335</v>
      </c>
      <c r="E38" s="101">
        <v>5.0</v>
      </c>
      <c r="F38" s="103" t="s">
        <v>1297</v>
      </c>
      <c r="G38" s="103"/>
      <c r="H38" s="102">
        <v>6800.0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7" t="s">
        <v>1336</v>
      </c>
      <c r="B39" s="98">
        <v>46076.0</v>
      </c>
      <c r="C39" s="99" t="s">
        <v>1337</v>
      </c>
      <c r="D39" s="100" t="s">
        <v>172</v>
      </c>
      <c r="E39" s="101">
        <v>1.0</v>
      </c>
      <c r="F39" s="102">
        <v>600.0</v>
      </c>
      <c r="G39" s="103"/>
      <c r="H39" s="102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7" t="s">
        <v>1336</v>
      </c>
      <c r="B40" s="98">
        <v>46076.0</v>
      </c>
      <c r="C40" s="99" t="s">
        <v>1337</v>
      </c>
      <c r="D40" s="100" t="s">
        <v>1338</v>
      </c>
      <c r="E40" s="101">
        <v>1.0</v>
      </c>
      <c r="F40" s="102">
        <v>600.0</v>
      </c>
      <c r="G40" s="103"/>
      <c r="H40" s="102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7" t="s">
        <v>1336</v>
      </c>
      <c r="B41" s="98">
        <v>46076.0</v>
      </c>
      <c r="C41" s="99" t="s">
        <v>1337</v>
      </c>
      <c r="D41" s="100" t="s">
        <v>1339</v>
      </c>
      <c r="E41" s="101">
        <v>1.0</v>
      </c>
      <c r="F41" s="102">
        <v>600.0</v>
      </c>
      <c r="G41" s="103"/>
      <c r="H41" s="102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7" t="s">
        <v>1336</v>
      </c>
      <c r="B42" s="98">
        <v>46076.0</v>
      </c>
      <c r="C42" s="99" t="s">
        <v>1337</v>
      </c>
      <c r="D42" s="100" t="s">
        <v>1340</v>
      </c>
      <c r="E42" s="101">
        <v>1.0</v>
      </c>
      <c r="F42" s="102">
        <v>600.0</v>
      </c>
      <c r="G42" s="103"/>
      <c r="H42" s="102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7" t="s">
        <v>1336</v>
      </c>
      <c r="B43" s="98">
        <v>46076.0</v>
      </c>
      <c r="C43" s="99" t="s">
        <v>1337</v>
      </c>
      <c r="D43" s="100" t="s">
        <v>518</v>
      </c>
      <c r="E43" s="101">
        <v>1.0</v>
      </c>
      <c r="F43" s="102">
        <v>2200.0</v>
      </c>
      <c r="G43" s="103"/>
      <c r="H43" s="102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86"/>
      <c r="B44" s="104">
        <v>46076.82777777778</v>
      </c>
      <c r="C44" s="105">
        <v>0.8277777777777777</v>
      </c>
      <c r="D44" s="100" t="s">
        <v>1341</v>
      </c>
      <c r="E44" s="101">
        <v>5.0</v>
      </c>
      <c r="F44" s="103" t="s">
        <v>1297</v>
      </c>
      <c r="G44" s="103"/>
      <c r="H44" s="102">
        <v>4600.0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7" t="s">
        <v>1342</v>
      </c>
      <c r="B45" s="98">
        <v>46076.0</v>
      </c>
      <c r="C45" s="99" t="s">
        <v>1343</v>
      </c>
      <c r="D45" s="100" t="s">
        <v>435</v>
      </c>
      <c r="E45" s="101">
        <v>1.0</v>
      </c>
      <c r="F45" s="102">
        <v>2200.0</v>
      </c>
      <c r="G45" s="103"/>
      <c r="H45" s="102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7" t="s">
        <v>1342</v>
      </c>
      <c r="B46" s="98">
        <v>46076.0</v>
      </c>
      <c r="C46" s="99" t="s">
        <v>1343</v>
      </c>
      <c r="D46" s="100" t="s">
        <v>1344</v>
      </c>
      <c r="E46" s="101">
        <v>0.0</v>
      </c>
      <c r="F46" s="102">
        <v>1170.0</v>
      </c>
      <c r="G46" s="103"/>
      <c r="H46" s="102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7" t="s">
        <v>1342</v>
      </c>
      <c r="B47" s="98">
        <v>46076.0</v>
      </c>
      <c r="C47" s="99" t="s">
        <v>1343</v>
      </c>
      <c r="D47" s="100" t="s">
        <v>518</v>
      </c>
      <c r="E47" s="101">
        <v>1.0</v>
      </c>
      <c r="F47" s="102">
        <v>2200.0</v>
      </c>
      <c r="G47" s="103"/>
      <c r="H47" s="102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86"/>
      <c r="B48" s="104">
        <v>46076.83055555556</v>
      </c>
      <c r="C48" s="105">
        <v>0.8305555555555556</v>
      </c>
      <c r="D48" s="100" t="s">
        <v>1345</v>
      </c>
      <c r="E48" s="101">
        <v>0.0</v>
      </c>
      <c r="F48" s="103" t="s">
        <v>1297</v>
      </c>
      <c r="G48" s="103"/>
      <c r="H48" s="102">
        <v>5570.0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7" t="s">
        <v>1346</v>
      </c>
      <c r="B49" s="98">
        <v>46076.0</v>
      </c>
      <c r="C49" s="99" t="s">
        <v>1343</v>
      </c>
      <c r="D49" s="100" t="s">
        <v>933</v>
      </c>
      <c r="E49" s="101">
        <v>2.0</v>
      </c>
      <c r="F49" s="102">
        <v>4000.0</v>
      </c>
      <c r="G49" s="103"/>
      <c r="H49" s="102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7" t="s">
        <v>1346</v>
      </c>
      <c r="B50" s="98">
        <v>46076.0</v>
      </c>
      <c r="C50" s="99" t="s">
        <v>1343</v>
      </c>
      <c r="D50" s="100" t="s">
        <v>1347</v>
      </c>
      <c r="E50" s="101">
        <v>1.0</v>
      </c>
      <c r="F50" s="102">
        <v>6700.0</v>
      </c>
      <c r="G50" s="103"/>
      <c r="H50" s="102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7" t="s">
        <v>1346</v>
      </c>
      <c r="B51" s="98">
        <v>46076.0</v>
      </c>
      <c r="C51" s="99" t="s">
        <v>1343</v>
      </c>
      <c r="D51" s="100" t="s">
        <v>1307</v>
      </c>
      <c r="E51" s="101">
        <v>1.0</v>
      </c>
      <c r="F51" s="102">
        <v>7200.0</v>
      </c>
      <c r="G51" s="103"/>
      <c r="H51" s="102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7"/>
      <c r="B52" s="104">
        <v>46076.83055555556</v>
      </c>
      <c r="C52" s="105">
        <v>0.8305555555555556</v>
      </c>
      <c r="D52" s="100" t="s">
        <v>1348</v>
      </c>
      <c r="E52" s="101">
        <v>4.0</v>
      </c>
      <c r="F52" s="103" t="s">
        <v>1297</v>
      </c>
      <c r="G52" s="103"/>
      <c r="H52" s="102">
        <v>21900.0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7" t="s">
        <v>1349</v>
      </c>
      <c r="B53" s="98">
        <v>46076.0</v>
      </c>
      <c r="C53" s="99" t="s">
        <v>1350</v>
      </c>
      <c r="D53" s="100" t="s">
        <v>1351</v>
      </c>
      <c r="E53" s="101">
        <v>0.0</v>
      </c>
      <c r="F53" s="102">
        <v>25118.0</v>
      </c>
      <c r="G53" s="103"/>
      <c r="H53" s="10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86"/>
      <c r="B54" s="104">
        <v>46076.83541666667</v>
      </c>
      <c r="C54" s="105">
        <v>0.8354166666666667</v>
      </c>
      <c r="D54" s="100" t="s">
        <v>1352</v>
      </c>
      <c r="E54" s="101">
        <v>0.0</v>
      </c>
      <c r="F54" s="103" t="s">
        <v>1297</v>
      </c>
      <c r="G54" s="103"/>
      <c r="H54" s="102">
        <v>25118.0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7" t="s">
        <v>1353</v>
      </c>
      <c r="B55" s="98">
        <v>46076.0</v>
      </c>
      <c r="C55" s="99" t="s">
        <v>1354</v>
      </c>
      <c r="D55" s="100" t="s">
        <v>356</v>
      </c>
      <c r="E55" s="101">
        <v>8.0</v>
      </c>
      <c r="F55" s="102">
        <v>3500.0</v>
      </c>
      <c r="G55" s="103"/>
      <c r="H55" s="102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86"/>
      <c r="B56" s="104">
        <v>46076.84444444445</v>
      </c>
      <c r="C56" s="105">
        <v>0.8444444444444444</v>
      </c>
      <c r="D56" s="100" t="s">
        <v>1355</v>
      </c>
      <c r="E56" s="101">
        <v>8.0</v>
      </c>
      <c r="F56" s="103" t="s">
        <v>1297</v>
      </c>
      <c r="G56" s="103"/>
      <c r="H56" s="102">
        <v>28000.0</v>
      </c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7" t="s">
        <v>1356</v>
      </c>
      <c r="B57" s="98">
        <v>46076.0</v>
      </c>
      <c r="C57" s="99" t="s">
        <v>1357</v>
      </c>
      <c r="D57" s="100" t="s">
        <v>1279</v>
      </c>
      <c r="E57" s="101">
        <v>2.0</v>
      </c>
      <c r="F57" s="102">
        <v>3500.0</v>
      </c>
      <c r="G57" s="103"/>
      <c r="H57" s="102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86"/>
      <c r="B58" s="104">
        <v>46076.86736111111</v>
      </c>
      <c r="C58" s="105">
        <v>0.8673611111111111</v>
      </c>
      <c r="D58" s="100" t="s">
        <v>1358</v>
      </c>
      <c r="E58" s="101">
        <v>2.0</v>
      </c>
      <c r="F58" s="103" t="s">
        <v>1297</v>
      </c>
      <c r="G58" s="103"/>
      <c r="H58" s="102">
        <v>7000.0</v>
      </c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7" t="s">
        <v>1359</v>
      </c>
      <c r="B59" s="98">
        <v>46076.0</v>
      </c>
      <c r="C59" s="99" t="s">
        <v>1360</v>
      </c>
      <c r="D59" s="100" t="s">
        <v>1361</v>
      </c>
      <c r="E59" s="107">
        <v>0.21</v>
      </c>
      <c r="F59" s="102">
        <v>1050.0</v>
      </c>
      <c r="G59" s="103"/>
      <c r="H59" s="102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7" t="s">
        <v>1359</v>
      </c>
      <c r="B60" s="98">
        <v>46076.0</v>
      </c>
      <c r="C60" s="99" t="s">
        <v>1360</v>
      </c>
      <c r="D60" s="100" t="s">
        <v>187</v>
      </c>
      <c r="E60" s="101">
        <v>1.0</v>
      </c>
      <c r="F60" s="102">
        <v>900.0</v>
      </c>
      <c r="G60" s="103"/>
      <c r="H60" s="102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7" t="s">
        <v>1359</v>
      </c>
      <c r="B61" s="98">
        <v>46076.0</v>
      </c>
      <c r="C61" s="99" t="s">
        <v>1360</v>
      </c>
      <c r="D61" s="100" t="s">
        <v>1362</v>
      </c>
      <c r="E61" s="107">
        <v>0.625</v>
      </c>
      <c r="F61" s="102">
        <v>9999.0</v>
      </c>
      <c r="G61" s="103"/>
      <c r="H61" s="10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7" t="s">
        <v>1359</v>
      </c>
      <c r="B62" s="98">
        <v>46076.0</v>
      </c>
      <c r="C62" s="99" t="s">
        <v>1360</v>
      </c>
      <c r="D62" s="100" t="s">
        <v>1363</v>
      </c>
      <c r="E62" s="101">
        <v>1.0</v>
      </c>
      <c r="F62" s="102">
        <v>3400.0</v>
      </c>
      <c r="G62" s="103"/>
      <c r="H62" s="102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7" t="s">
        <v>1359</v>
      </c>
      <c r="B63" s="98">
        <v>46076.0</v>
      </c>
      <c r="C63" s="99" t="s">
        <v>1360</v>
      </c>
      <c r="D63" s="100" t="s">
        <v>248</v>
      </c>
      <c r="E63" s="101">
        <v>1.0</v>
      </c>
      <c r="F63" s="102">
        <v>1800.0</v>
      </c>
      <c r="G63" s="103"/>
      <c r="H63" s="102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7" t="s">
        <v>1359</v>
      </c>
      <c r="B64" s="98">
        <v>46076.0</v>
      </c>
      <c r="C64" s="99" t="s">
        <v>1360</v>
      </c>
      <c r="D64" s="100" t="s">
        <v>1364</v>
      </c>
      <c r="E64" s="101">
        <v>1.0</v>
      </c>
      <c r="F64" s="102">
        <v>3500.0</v>
      </c>
      <c r="G64" s="103"/>
      <c r="H64" s="102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7" t="s">
        <v>1359</v>
      </c>
      <c r="B65" s="98">
        <v>46076.0</v>
      </c>
      <c r="C65" s="99" t="s">
        <v>1360</v>
      </c>
      <c r="D65" s="100" t="s">
        <v>58</v>
      </c>
      <c r="E65" s="101">
        <v>1.0</v>
      </c>
      <c r="F65" s="102">
        <v>1000.0</v>
      </c>
      <c r="G65" s="103"/>
      <c r="H65" s="102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86"/>
      <c r="B66" s="104">
        <v>46076.87361111111</v>
      </c>
      <c r="C66" s="105">
        <v>0.8736111111111111</v>
      </c>
      <c r="D66" s="100" t="s">
        <v>1365</v>
      </c>
      <c r="E66" s="107">
        <v>0.84</v>
      </c>
      <c r="F66" s="103" t="s">
        <v>1297</v>
      </c>
      <c r="G66" s="103"/>
      <c r="H66" s="102">
        <v>21649.0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7" t="s">
        <v>1366</v>
      </c>
      <c r="B67" s="98">
        <v>46076.0</v>
      </c>
      <c r="C67" s="99" t="s">
        <v>1367</v>
      </c>
      <c r="D67" s="100" t="s">
        <v>1368</v>
      </c>
      <c r="E67" s="107">
        <v>0.25</v>
      </c>
      <c r="F67" s="102">
        <v>500.0</v>
      </c>
      <c r="G67" s="103"/>
      <c r="H67" s="102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86"/>
      <c r="B68" s="104">
        <v>46076.875</v>
      </c>
      <c r="C68" s="105">
        <v>0.875</v>
      </c>
      <c r="D68" s="100" t="s">
        <v>1369</v>
      </c>
      <c r="E68" s="107">
        <v>0.25</v>
      </c>
      <c r="F68" s="103" t="s">
        <v>1297</v>
      </c>
      <c r="G68" s="103"/>
      <c r="H68" s="102">
        <v>500.0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7" t="s">
        <v>1370</v>
      </c>
      <c r="B69" s="98">
        <v>46076.0</v>
      </c>
      <c r="C69" s="99" t="s">
        <v>1371</v>
      </c>
      <c r="D69" s="100" t="s">
        <v>528</v>
      </c>
      <c r="E69" s="101">
        <v>1.0</v>
      </c>
      <c r="F69" s="102">
        <v>3200.0</v>
      </c>
      <c r="G69" s="103"/>
      <c r="H69" s="102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7" t="s">
        <v>1370</v>
      </c>
      <c r="B70" s="98">
        <v>46076.0</v>
      </c>
      <c r="C70" s="99" t="s">
        <v>1371</v>
      </c>
      <c r="D70" s="100" t="s">
        <v>558</v>
      </c>
      <c r="E70" s="101">
        <v>1.0</v>
      </c>
      <c r="F70" s="102">
        <v>3600.0</v>
      </c>
      <c r="G70" s="103"/>
      <c r="H70" s="102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86"/>
      <c r="B71" s="104">
        <v>46076.87569444445</v>
      </c>
      <c r="C71" s="105">
        <v>0.8756944444444444</v>
      </c>
      <c r="D71" s="100" t="s">
        <v>1372</v>
      </c>
      <c r="E71" s="101">
        <v>2.0</v>
      </c>
      <c r="F71" s="103" t="s">
        <v>1297</v>
      </c>
      <c r="G71" s="103"/>
      <c r="H71" s="102">
        <v>6800.0</v>
      </c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7" t="s">
        <v>1373</v>
      </c>
      <c r="B72" s="98">
        <v>46076.0</v>
      </c>
      <c r="C72" s="99" t="s">
        <v>1374</v>
      </c>
      <c r="D72" s="100" t="s">
        <v>1279</v>
      </c>
      <c r="E72" s="101">
        <v>4.0</v>
      </c>
      <c r="F72" s="102">
        <v>3500.0</v>
      </c>
      <c r="G72" s="103"/>
      <c r="H72" s="102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7" t="s">
        <v>1373</v>
      </c>
      <c r="B73" s="98">
        <v>46076.0</v>
      </c>
      <c r="C73" s="99" t="s">
        <v>1374</v>
      </c>
      <c r="D73" s="100" t="s">
        <v>338</v>
      </c>
      <c r="E73" s="101">
        <v>1.0</v>
      </c>
      <c r="F73" s="102">
        <v>3200.0</v>
      </c>
      <c r="G73" s="103"/>
      <c r="H73" s="102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108"/>
      <c r="B74" s="104">
        <v>46076.91597222222</v>
      </c>
      <c r="C74" s="105">
        <v>0.9159722222222222</v>
      </c>
      <c r="D74" s="100" t="s">
        <v>1375</v>
      </c>
      <c r="E74" s="101">
        <v>5.0</v>
      </c>
      <c r="F74" s="103" t="s">
        <v>1297</v>
      </c>
      <c r="G74" s="103"/>
      <c r="H74" s="102">
        <v>17200.0</v>
      </c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7" t="s">
        <v>1376</v>
      </c>
      <c r="B75" s="109">
        <v>46076.96805943287</v>
      </c>
      <c r="C75" s="110">
        <v>0.9680555555555556</v>
      </c>
      <c r="D75" s="103" t="s">
        <v>1267</v>
      </c>
      <c r="E75" s="111">
        <v>1.0</v>
      </c>
      <c r="F75" s="112">
        <v>500.0</v>
      </c>
      <c r="G75" s="103"/>
      <c r="H75" s="112">
        <v>500.0</v>
      </c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111"/>
      <c r="B76" s="113">
        <v>46076.96805943287</v>
      </c>
      <c r="C76" s="114">
        <v>0.9680555555555556</v>
      </c>
      <c r="D76" s="103" t="s">
        <v>1377</v>
      </c>
      <c r="E76" s="111">
        <v>1.0</v>
      </c>
      <c r="F76" s="103" t="s">
        <v>1297</v>
      </c>
      <c r="G76" s="103"/>
      <c r="H76" s="112">
        <v>500.0</v>
      </c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7" t="s">
        <v>1378</v>
      </c>
      <c r="B77" s="109">
        <v>46076.96823892361</v>
      </c>
      <c r="C77" s="110">
        <v>0.9680555555555556</v>
      </c>
      <c r="D77" s="103" t="s">
        <v>1267</v>
      </c>
      <c r="E77" s="111">
        <v>1.0</v>
      </c>
      <c r="F77" s="112">
        <v>500.0</v>
      </c>
      <c r="G77" s="103"/>
      <c r="H77" s="112">
        <v>500.0</v>
      </c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111"/>
      <c r="B78" s="113">
        <v>46076.96823892361</v>
      </c>
      <c r="C78" s="114">
        <v>0.9680555555555556</v>
      </c>
      <c r="D78" s="103" t="s">
        <v>1379</v>
      </c>
      <c r="E78" s="111">
        <v>1.0</v>
      </c>
      <c r="F78" s="103" t="s">
        <v>1380</v>
      </c>
      <c r="G78" s="103"/>
      <c r="H78" s="112">
        <v>500.0</v>
      </c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7" t="s">
        <v>1381</v>
      </c>
      <c r="B79" s="109">
        <v>46076.96836601852</v>
      </c>
      <c r="C79" s="110">
        <v>0.9680555555555556</v>
      </c>
      <c r="D79" s="103" t="s">
        <v>1267</v>
      </c>
      <c r="E79" s="111">
        <v>1.0</v>
      </c>
      <c r="F79" s="112">
        <v>500.0</v>
      </c>
      <c r="G79" s="103"/>
      <c r="H79" s="112">
        <v>500.0</v>
      </c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111"/>
      <c r="B80" s="113">
        <v>46076.96836601852</v>
      </c>
      <c r="C80" s="114">
        <v>0.9680555555555556</v>
      </c>
      <c r="D80" s="103" t="s">
        <v>1382</v>
      </c>
      <c r="E80" s="111">
        <v>1.0</v>
      </c>
      <c r="F80" s="103" t="s">
        <v>1383</v>
      </c>
      <c r="G80" s="103"/>
      <c r="H80" s="112">
        <v>500.0</v>
      </c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7" t="s">
        <v>1384</v>
      </c>
      <c r="B81" s="109">
        <v>46076.9738334838</v>
      </c>
      <c r="C81" s="110">
        <v>0.9736111111111111</v>
      </c>
      <c r="D81" s="103" t="s">
        <v>1267</v>
      </c>
      <c r="E81" s="111">
        <v>1.0</v>
      </c>
      <c r="F81" s="112">
        <v>500.0</v>
      </c>
      <c r="G81" s="103"/>
      <c r="H81" s="112">
        <v>500.0</v>
      </c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7" t="s">
        <v>1384</v>
      </c>
      <c r="B82" s="109">
        <v>46076.9738334838</v>
      </c>
      <c r="C82" s="110">
        <v>0.9736111111111111</v>
      </c>
      <c r="D82" s="103" t="s">
        <v>1385</v>
      </c>
      <c r="E82" s="115">
        <v>0.055</v>
      </c>
      <c r="F82" s="112">
        <v>303.0</v>
      </c>
      <c r="G82" s="103"/>
      <c r="H82" s="112">
        <v>303.0</v>
      </c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111"/>
      <c r="B83" s="113">
        <v>46076.9738334838</v>
      </c>
      <c r="C83" s="114">
        <v>0.9736111111111111</v>
      </c>
      <c r="D83" s="103" t="s">
        <v>1386</v>
      </c>
      <c r="E83" s="111">
        <v>2.0</v>
      </c>
      <c r="F83" s="103" t="s">
        <v>1297</v>
      </c>
      <c r="G83" s="103"/>
      <c r="H83" s="112">
        <v>803.0</v>
      </c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7" t="s">
        <v>1387</v>
      </c>
      <c r="B84" s="109">
        <v>46077.53024328704</v>
      </c>
      <c r="C84" s="110">
        <v>0.5298611111111111</v>
      </c>
      <c r="D84" s="103" t="s">
        <v>472</v>
      </c>
      <c r="E84" s="111">
        <v>1.0</v>
      </c>
      <c r="F84" s="112">
        <v>4500.0</v>
      </c>
      <c r="G84" s="103"/>
      <c r="H84" s="112">
        <v>4500.0</v>
      </c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7" t="s">
        <v>1387</v>
      </c>
      <c r="B85" s="109">
        <v>46077.53024328704</v>
      </c>
      <c r="C85" s="110">
        <v>0.5298611111111111</v>
      </c>
      <c r="D85" s="103" t="s">
        <v>213</v>
      </c>
      <c r="E85" s="111">
        <v>1.0</v>
      </c>
      <c r="F85" s="112">
        <v>3300.0</v>
      </c>
      <c r="G85" s="103"/>
      <c r="H85" s="112">
        <v>3300.0</v>
      </c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7" t="s">
        <v>1387</v>
      </c>
      <c r="B86" s="109">
        <v>46077.53024328704</v>
      </c>
      <c r="C86" s="110">
        <v>0.5298611111111111</v>
      </c>
      <c r="D86" s="103" t="s">
        <v>34</v>
      </c>
      <c r="E86" s="111">
        <v>1.0</v>
      </c>
      <c r="F86" s="112">
        <v>2600.0</v>
      </c>
      <c r="G86" s="103"/>
      <c r="H86" s="112">
        <v>2600.0</v>
      </c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7" t="s">
        <v>1387</v>
      </c>
      <c r="B87" s="109">
        <v>46077.53024328704</v>
      </c>
      <c r="C87" s="110">
        <v>0.5298611111111111</v>
      </c>
      <c r="D87" s="103" t="s">
        <v>78</v>
      </c>
      <c r="E87" s="111">
        <v>1.0</v>
      </c>
      <c r="F87" s="112">
        <v>2500.0</v>
      </c>
      <c r="G87" s="103"/>
      <c r="H87" s="112">
        <v>2500.0</v>
      </c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7" t="s">
        <v>1387</v>
      </c>
      <c r="B88" s="109">
        <v>46077.53024328704</v>
      </c>
      <c r="C88" s="110">
        <v>0.5298611111111111</v>
      </c>
      <c r="D88" s="103" t="s">
        <v>80</v>
      </c>
      <c r="E88" s="111">
        <v>2.0</v>
      </c>
      <c r="F88" s="112">
        <v>2500.0</v>
      </c>
      <c r="G88" s="103"/>
      <c r="H88" s="112">
        <v>5000.0</v>
      </c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7" t="s">
        <v>1387</v>
      </c>
      <c r="B89" s="109">
        <v>46077.53024328704</v>
      </c>
      <c r="C89" s="110">
        <v>0.5298611111111111</v>
      </c>
      <c r="D89" s="103" t="s">
        <v>933</v>
      </c>
      <c r="E89" s="111">
        <v>1.0</v>
      </c>
      <c r="F89" s="112">
        <v>4000.0</v>
      </c>
      <c r="G89" s="103"/>
      <c r="H89" s="112">
        <v>4000.0</v>
      </c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7" t="s">
        <v>1387</v>
      </c>
      <c r="B90" s="109">
        <v>46077.53024328704</v>
      </c>
      <c r="C90" s="110">
        <v>0.5298611111111111</v>
      </c>
      <c r="D90" s="103" t="s">
        <v>642</v>
      </c>
      <c r="E90" s="111">
        <v>1.0</v>
      </c>
      <c r="F90" s="112">
        <v>4000.0</v>
      </c>
      <c r="G90" s="103"/>
      <c r="H90" s="112">
        <v>4000.0</v>
      </c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7" t="s">
        <v>1387</v>
      </c>
      <c r="B91" s="109">
        <v>46077.53024328704</v>
      </c>
      <c r="C91" s="110">
        <v>0.5298611111111111</v>
      </c>
      <c r="D91" s="103" t="s">
        <v>1363</v>
      </c>
      <c r="E91" s="111">
        <v>1.0</v>
      </c>
      <c r="F91" s="112">
        <v>3400.0</v>
      </c>
      <c r="G91" s="103"/>
      <c r="H91" s="112">
        <v>3400.0</v>
      </c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111"/>
      <c r="B92" s="113">
        <v>46077.53024328704</v>
      </c>
      <c r="C92" s="114">
        <v>0.5298611111111111</v>
      </c>
      <c r="D92" s="103" t="s">
        <v>1388</v>
      </c>
      <c r="E92" s="111">
        <v>9.0</v>
      </c>
      <c r="F92" s="103" t="s">
        <v>1297</v>
      </c>
      <c r="G92" s="103"/>
      <c r="H92" s="112">
        <v>29300.0</v>
      </c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7" t="s">
        <v>1389</v>
      </c>
      <c r="B93" s="109">
        <v>46077.63473850695</v>
      </c>
      <c r="C93" s="110">
        <v>0.6347222222222222</v>
      </c>
      <c r="D93" s="103" t="s">
        <v>1048</v>
      </c>
      <c r="E93" s="111">
        <v>1.0</v>
      </c>
      <c r="F93" s="112">
        <v>2500.0</v>
      </c>
      <c r="G93" s="103"/>
      <c r="H93" s="112">
        <v>2500.0</v>
      </c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7" t="s">
        <v>1389</v>
      </c>
      <c r="B94" s="109">
        <v>46077.63473850695</v>
      </c>
      <c r="C94" s="110">
        <v>0.6347222222222222</v>
      </c>
      <c r="D94" s="103" t="s">
        <v>637</v>
      </c>
      <c r="E94" s="111">
        <v>1.0</v>
      </c>
      <c r="F94" s="112">
        <v>9000.0</v>
      </c>
      <c r="G94" s="103"/>
      <c r="H94" s="112">
        <v>9000.0</v>
      </c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111"/>
      <c r="B95" s="113">
        <v>46077.63473850695</v>
      </c>
      <c r="C95" s="114">
        <v>0.6347222222222222</v>
      </c>
      <c r="D95" s="103" t="s">
        <v>1390</v>
      </c>
      <c r="E95" s="111">
        <v>2.0</v>
      </c>
      <c r="F95" s="103" t="s">
        <v>1297</v>
      </c>
      <c r="G95" s="103"/>
      <c r="H95" s="112">
        <v>11500.0</v>
      </c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7" t="s">
        <v>1391</v>
      </c>
      <c r="B96" s="109">
        <v>46077.74701629629</v>
      </c>
      <c r="C96" s="110">
        <v>0.7465277777777778</v>
      </c>
      <c r="D96" s="103" t="s">
        <v>360</v>
      </c>
      <c r="E96" s="111">
        <v>1.0</v>
      </c>
      <c r="F96" s="112">
        <v>2000.0</v>
      </c>
      <c r="G96" s="103"/>
      <c r="H96" s="112">
        <v>2000.0</v>
      </c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7" t="s">
        <v>1391</v>
      </c>
      <c r="B97" s="109">
        <v>46077.74701629629</v>
      </c>
      <c r="C97" s="110">
        <v>0.7465277777777778</v>
      </c>
      <c r="D97" s="103" t="s">
        <v>1279</v>
      </c>
      <c r="E97" s="111">
        <v>1.0</v>
      </c>
      <c r="F97" s="112">
        <v>3500.0</v>
      </c>
      <c r="G97" s="103"/>
      <c r="H97" s="112">
        <v>3500.0</v>
      </c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111"/>
      <c r="B98" s="113">
        <v>46077.74701629629</v>
      </c>
      <c r="C98" s="114">
        <v>0.7465277777777778</v>
      </c>
      <c r="D98" s="103" t="s">
        <v>1392</v>
      </c>
      <c r="E98" s="111">
        <v>2.0</v>
      </c>
      <c r="F98" s="103" t="s">
        <v>1383</v>
      </c>
      <c r="G98" s="103"/>
      <c r="H98" s="112">
        <v>5500.0</v>
      </c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7" t="s">
        <v>1393</v>
      </c>
      <c r="B99" s="109">
        <v>46077.74867731481</v>
      </c>
      <c r="C99" s="110">
        <v>0.7486111111111111</v>
      </c>
      <c r="D99" s="103" t="s">
        <v>230</v>
      </c>
      <c r="E99" s="111">
        <v>1.0</v>
      </c>
      <c r="F99" s="112">
        <v>1800.0</v>
      </c>
      <c r="G99" s="103"/>
      <c r="H99" s="112">
        <v>1800.0</v>
      </c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7" t="s">
        <v>1393</v>
      </c>
      <c r="B100" s="109">
        <v>46077.74867731481</v>
      </c>
      <c r="C100" s="110">
        <v>0.7486111111111111</v>
      </c>
      <c r="D100" s="103" t="s">
        <v>1394</v>
      </c>
      <c r="E100" s="115">
        <v>0.355</v>
      </c>
      <c r="F100" s="112">
        <v>710.0</v>
      </c>
      <c r="G100" s="103"/>
      <c r="H100" s="112">
        <v>710.0</v>
      </c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111"/>
      <c r="B101" s="113">
        <v>46077.74867731481</v>
      </c>
      <c r="C101" s="114">
        <v>0.7486111111111111</v>
      </c>
      <c r="D101" s="103" t="s">
        <v>1395</v>
      </c>
      <c r="E101" s="111">
        <v>2.0</v>
      </c>
      <c r="F101" s="103" t="s">
        <v>1297</v>
      </c>
      <c r="G101" s="103"/>
      <c r="H101" s="112">
        <v>2510.0</v>
      </c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7" t="s">
        <v>1396</v>
      </c>
      <c r="B102" s="109">
        <v>46077.7678790162</v>
      </c>
      <c r="C102" s="110">
        <v>0.7673611111111112</v>
      </c>
      <c r="D102" s="103" t="s">
        <v>1279</v>
      </c>
      <c r="E102" s="111">
        <v>2.0</v>
      </c>
      <c r="F102" s="112">
        <v>3500.0</v>
      </c>
      <c r="G102" s="103"/>
      <c r="H102" s="112">
        <v>7000.0</v>
      </c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7" t="s">
        <v>1396</v>
      </c>
      <c r="B103" s="109">
        <v>46077.7678790162</v>
      </c>
      <c r="C103" s="110">
        <v>0.7673611111111112</v>
      </c>
      <c r="D103" s="103" t="s">
        <v>417</v>
      </c>
      <c r="E103" s="111">
        <v>1.0</v>
      </c>
      <c r="F103" s="112">
        <v>2000.0</v>
      </c>
      <c r="G103" s="103"/>
      <c r="H103" s="112">
        <v>2000.0</v>
      </c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111"/>
      <c r="B104" s="113">
        <v>46077.7678790162</v>
      </c>
      <c r="C104" s="114">
        <v>0.7673611111111112</v>
      </c>
      <c r="D104" s="103" t="s">
        <v>1397</v>
      </c>
      <c r="E104" s="111">
        <v>3.0</v>
      </c>
      <c r="F104" s="103" t="s">
        <v>1383</v>
      </c>
      <c r="G104" s="103"/>
      <c r="H104" s="112">
        <v>9000.0</v>
      </c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7" t="s">
        <v>1398</v>
      </c>
      <c r="B105" s="109">
        <v>46077.79011435185</v>
      </c>
      <c r="C105" s="110">
        <v>0.7895833333333333</v>
      </c>
      <c r="D105" s="103" t="s">
        <v>1273</v>
      </c>
      <c r="E105" s="111">
        <v>2.0</v>
      </c>
      <c r="F105" s="112">
        <v>2500.0</v>
      </c>
      <c r="G105" s="103"/>
      <c r="H105" s="112">
        <v>5000.0</v>
      </c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111"/>
      <c r="B106" s="113">
        <v>46077.79011435185</v>
      </c>
      <c r="C106" s="114">
        <v>0.7895833333333333</v>
      </c>
      <c r="D106" s="103" t="s">
        <v>1399</v>
      </c>
      <c r="E106" s="111">
        <v>2.0</v>
      </c>
      <c r="F106" s="103" t="s">
        <v>1297</v>
      </c>
      <c r="G106" s="103"/>
      <c r="H106" s="112">
        <v>5000.0</v>
      </c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7" t="s">
        <v>1400</v>
      </c>
      <c r="B107" s="109">
        <v>46077.82639763889</v>
      </c>
      <c r="C107" s="110">
        <v>0.8263888888888888</v>
      </c>
      <c r="D107" s="103" t="s">
        <v>1401</v>
      </c>
      <c r="E107" s="115">
        <v>0.5</v>
      </c>
      <c r="F107" s="112">
        <v>2000.0</v>
      </c>
      <c r="G107" s="103"/>
      <c r="H107" s="112">
        <v>2000.0</v>
      </c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111"/>
      <c r="B108" s="113">
        <v>46077.82639763889</v>
      </c>
      <c r="C108" s="114">
        <v>0.8263888888888888</v>
      </c>
      <c r="D108" s="103" t="s">
        <v>1402</v>
      </c>
      <c r="E108" s="111">
        <v>1.0</v>
      </c>
      <c r="F108" s="103" t="s">
        <v>1297</v>
      </c>
      <c r="G108" s="103"/>
      <c r="H108" s="112">
        <v>2000.0</v>
      </c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7" t="s">
        <v>1403</v>
      </c>
      <c r="B109" s="109">
        <v>46078.01556462963</v>
      </c>
      <c r="C109" s="110">
        <v>0.01527777777777778</v>
      </c>
      <c r="D109" s="103" t="s">
        <v>1404</v>
      </c>
      <c r="E109" s="115">
        <v>0.018</v>
      </c>
      <c r="F109" s="112">
        <v>99.0</v>
      </c>
      <c r="G109" s="103"/>
      <c r="H109" s="8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111"/>
      <c r="B110" s="113">
        <v>46078.01556462963</v>
      </c>
      <c r="C110" s="114">
        <v>0.01527777777777778</v>
      </c>
      <c r="D110" s="103" t="s">
        <v>1405</v>
      </c>
      <c r="E110" s="111">
        <v>1.0</v>
      </c>
      <c r="F110" s="103" t="s">
        <v>1297</v>
      </c>
      <c r="G110" s="103" t="s">
        <v>1406</v>
      </c>
      <c r="H110" s="112">
        <v>99.0</v>
      </c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7" t="s">
        <v>1407</v>
      </c>
      <c r="B111" s="109">
        <v>46078.06905701389</v>
      </c>
      <c r="C111" s="110">
        <v>0.06875</v>
      </c>
      <c r="D111" s="103" t="s">
        <v>1267</v>
      </c>
      <c r="E111" s="111">
        <v>1.0</v>
      </c>
      <c r="F111" s="112">
        <v>500.0</v>
      </c>
      <c r="G111" s="103">
        <v>500.0</v>
      </c>
      <c r="H111" s="112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111"/>
      <c r="B112" s="113">
        <v>46078.06905701389</v>
      </c>
      <c r="C112" s="114">
        <v>0.06875</v>
      </c>
      <c r="D112" s="103" t="s">
        <v>1408</v>
      </c>
      <c r="E112" s="111">
        <v>1.0</v>
      </c>
      <c r="F112" s="103" t="s">
        <v>1297</v>
      </c>
      <c r="G112" s="103"/>
      <c r="H112" s="112">
        <v>500.0</v>
      </c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7" t="s">
        <v>1409</v>
      </c>
      <c r="B113" s="109">
        <v>46078.54185951389</v>
      </c>
      <c r="C113" s="110">
        <v>0.5416666666666666</v>
      </c>
      <c r="D113" s="103" t="s">
        <v>967</v>
      </c>
      <c r="E113" s="111">
        <v>1.0</v>
      </c>
      <c r="F113" s="112">
        <v>1500.0</v>
      </c>
      <c r="G113" s="103">
        <v>1500.0</v>
      </c>
      <c r="H113" s="112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7" t="s">
        <v>1409</v>
      </c>
      <c r="B114" s="109">
        <v>46078.54185951389</v>
      </c>
      <c r="C114" s="110">
        <v>0.5416666666666666</v>
      </c>
      <c r="D114" s="103" t="s">
        <v>462</v>
      </c>
      <c r="E114" s="111">
        <v>1.0</v>
      </c>
      <c r="F114" s="112">
        <v>2300.0</v>
      </c>
      <c r="G114" s="103">
        <v>2300.0</v>
      </c>
      <c r="H114" s="112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7" t="s">
        <v>1409</v>
      </c>
      <c r="B115" s="109">
        <v>46078.54185951389</v>
      </c>
      <c r="C115" s="110">
        <v>0.5416666666666666</v>
      </c>
      <c r="D115" s="103" t="s">
        <v>1410</v>
      </c>
      <c r="E115" s="115">
        <v>0.27</v>
      </c>
      <c r="F115" s="112">
        <v>3780.0</v>
      </c>
      <c r="G115" s="103">
        <v>3780.0</v>
      </c>
      <c r="H115" s="112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111"/>
      <c r="B116" s="113">
        <v>46078.54185951389</v>
      </c>
      <c r="C116" s="114">
        <v>0.5416666666666666</v>
      </c>
      <c r="D116" s="103" t="s">
        <v>1411</v>
      </c>
      <c r="E116" s="111">
        <v>3.0</v>
      </c>
      <c r="F116" s="103" t="s">
        <v>1297</v>
      </c>
      <c r="G116" s="103" t="s">
        <v>1406</v>
      </c>
      <c r="H116" s="112">
        <v>7580.0</v>
      </c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7" t="s">
        <v>1412</v>
      </c>
      <c r="B117" s="109">
        <v>46078.54830185185</v>
      </c>
      <c r="C117" s="110">
        <v>0.5479166666666667</v>
      </c>
      <c r="D117" s="103" t="s">
        <v>1347</v>
      </c>
      <c r="E117" s="111">
        <v>1.0</v>
      </c>
      <c r="F117" s="112">
        <v>6700.0</v>
      </c>
      <c r="G117" s="103">
        <v>6700.0</v>
      </c>
      <c r="H117" s="112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7" t="s">
        <v>1412</v>
      </c>
      <c r="B118" s="109">
        <v>46078.54830185185</v>
      </c>
      <c r="C118" s="110">
        <v>0.5479166666666667</v>
      </c>
      <c r="D118" s="103" t="s">
        <v>1174</v>
      </c>
      <c r="E118" s="111">
        <v>1.0</v>
      </c>
      <c r="F118" s="112">
        <v>3500.0</v>
      </c>
      <c r="G118" s="103">
        <v>3500.0</v>
      </c>
      <c r="H118" s="112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111"/>
      <c r="B119" s="113">
        <v>46078.54830185185</v>
      </c>
      <c r="C119" s="114">
        <v>0.5479166666666667</v>
      </c>
      <c r="D119" s="103" t="s">
        <v>1413</v>
      </c>
      <c r="E119" s="111">
        <v>2.0</v>
      </c>
      <c r="F119" s="103" t="s">
        <v>1383</v>
      </c>
      <c r="G119" s="103" t="s">
        <v>1406</v>
      </c>
      <c r="H119" s="112">
        <v>10200.0</v>
      </c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7" t="s">
        <v>1414</v>
      </c>
      <c r="B120" s="109">
        <v>46078.56800540509</v>
      </c>
      <c r="C120" s="110">
        <v>0.5673611111111111</v>
      </c>
      <c r="D120" s="103" t="s">
        <v>574</v>
      </c>
      <c r="E120" s="111">
        <v>2.0</v>
      </c>
      <c r="F120" s="112">
        <v>3000.0</v>
      </c>
      <c r="G120" s="103">
        <v>6000.0</v>
      </c>
      <c r="H120" s="112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7" t="s">
        <v>1414</v>
      </c>
      <c r="B121" s="109">
        <v>46078.56800540509</v>
      </c>
      <c r="C121" s="110">
        <v>0.5673611111111111</v>
      </c>
      <c r="D121" s="103" t="s">
        <v>170</v>
      </c>
      <c r="E121" s="111">
        <v>1.0</v>
      </c>
      <c r="F121" s="112">
        <v>600.0</v>
      </c>
      <c r="G121" s="103">
        <v>600.0</v>
      </c>
      <c r="H121" s="112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7" t="s">
        <v>1414</v>
      </c>
      <c r="B122" s="109">
        <v>46078.56800540509</v>
      </c>
      <c r="C122" s="110">
        <v>0.5673611111111111</v>
      </c>
      <c r="D122" s="103" t="s">
        <v>961</v>
      </c>
      <c r="E122" s="111">
        <v>1.0</v>
      </c>
      <c r="F122" s="112">
        <v>600.0</v>
      </c>
      <c r="G122" s="103">
        <v>600.0</v>
      </c>
      <c r="H122" s="112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111"/>
      <c r="B123" s="113">
        <v>46078.56800540509</v>
      </c>
      <c r="C123" s="114">
        <v>0.5673611111111111</v>
      </c>
      <c r="D123" s="103" t="s">
        <v>1415</v>
      </c>
      <c r="E123" s="111">
        <v>4.0</v>
      </c>
      <c r="F123" s="103" t="s">
        <v>1297</v>
      </c>
      <c r="G123" s="103" t="s">
        <v>1406</v>
      </c>
      <c r="H123" s="112">
        <v>7200.0</v>
      </c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7" t="s">
        <v>1416</v>
      </c>
      <c r="B124" s="109">
        <v>46078.58400283565</v>
      </c>
      <c r="C124" s="110">
        <v>0.5833333333333334</v>
      </c>
      <c r="D124" s="103" t="s">
        <v>1401</v>
      </c>
      <c r="E124" s="115">
        <v>0.5</v>
      </c>
      <c r="F124" s="112">
        <v>2000.0</v>
      </c>
      <c r="G124" s="103">
        <v>2000.0</v>
      </c>
      <c r="H124" s="112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111"/>
      <c r="B125" s="113">
        <v>46078.58400283565</v>
      </c>
      <c r="C125" s="114">
        <v>0.5833333333333334</v>
      </c>
      <c r="D125" s="103" t="s">
        <v>1417</v>
      </c>
      <c r="E125" s="111">
        <v>1.0</v>
      </c>
      <c r="F125" s="103" t="s">
        <v>1297</v>
      </c>
      <c r="G125" s="103" t="s">
        <v>1406</v>
      </c>
      <c r="H125" s="112">
        <v>2000.0</v>
      </c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7" t="s">
        <v>1418</v>
      </c>
      <c r="B126" s="109">
        <v>46078.58774868055</v>
      </c>
      <c r="C126" s="110">
        <v>0.5875</v>
      </c>
      <c r="D126" s="103" t="s">
        <v>493</v>
      </c>
      <c r="E126" s="111">
        <v>1.0</v>
      </c>
      <c r="F126" s="112">
        <v>2500.0</v>
      </c>
      <c r="G126" s="103">
        <v>2500.0</v>
      </c>
      <c r="H126" s="112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7" t="s">
        <v>1418</v>
      </c>
      <c r="B127" s="109">
        <v>46078.58774868055</v>
      </c>
      <c r="C127" s="110">
        <v>0.5875</v>
      </c>
      <c r="D127" s="103" t="s">
        <v>433</v>
      </c>
      <c r="E127" s="111">
        <v>1.0</v>
      </c>
      <c r="F127" s="112">
        <v>2500.0</v>
      </c>
      <c r="G127" s="103">
        <v>2500.0</v>
      </c>
      <c r="H127" s="112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7" t="s">
        <v>1418</v>
      </c>
      <c r="B128" s="109">
        <v>46078.58774868055</v>
      </c>
      <c r="C128" s="110">
        <v>0.5875</v>
      </c>
      <c r="D128" s="103" t="s">
        <v>455</v>
      </c>
      <c r="E128" s="111">
        <v>1.0</v>
      </c>
      <c r="F128" s="112">
        <v>2400.0</v>
      </c>
      <c r="G128" s="103">
        <v>2400.0</v>
      </c>
      <c r="H128" s="112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111"/>
      <c r="B129" s="113">
        <v>46078.58774868055</v>
      </c>
      <c r="C129" s="114">
        <v>0.5875</v>
      </c>
      <c r="D129" s="103" t="s">
        <v>1419</v>
      </c>
      <c r="E129" s="111">
        <v>3.0</v>
      </c>
      <c r="F129" s="103" t="s">
        <v>1297</v>
      </c>
      <c r="G129" s="103" t="s">
        <v>1406</v>
      </c>
      <c r="H129" s="112">
        <v>7400.0</v>
      </c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7" t="s">
        <v>1420</v>
      </c>
      <c r="B130" s="109">
        <v>46078.68295164352</v>
      </c>
      <c r="C130" s="110">
        <v>0.6826388888888889</v>
      </c>
      <c r="D130" s="103" t="s">
        <v>550</v>
      </c>
      <c r="E130" s="111">
        <v>2.0</v>
      </c>
      <c r="F130" s="112">
        <v>1500.0</v>
      </c>
      <c r="G130" s="103">
        <v>3000.0</v>
      </c>
      <c r="H130" s="112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7" t="s">
        <v>1420</v>
      </c>
      <c r="B131" s="109">
        <v>46078.68295164352</v>
      </c>
      <c r="C131" s="110">
        <v>0.6826388888888889</v>
      </c>
      <c r="D131" s="103" t="s">
        <v>1164</v>
      </c>
      <c r="E131" s="111">
        <v>1.0</v>
      </c>
      <c r="F131" s="112">
        <v>3500.0</v>
      </c>
      <c r="G131" s="103">
        <v>3500.0</v>
      </c>
      <c r="H131" s="112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7" t="s">
        <v>1420</v>
      </c>
      <c r="B132" s="109">
        <v>46078.68295164352</v>
      </c>
      <c r="C132" s="110">
        <v>0.6826388888888889</v>
      </c>
      <c r="D132" s="103" t="s">
        <v>1421</v>
      </c>
      <c r="E132" s="115">
        <v>1.8</v>
      </c>
      <c r="F132" s="112">
        <v>3600.0</v>
      </c>
      <c r="G132" s="103">
        <v>3600.0</v>
      </c>
      <c r="H132" s="112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7" t="s">
        <v>1420</v>
      </c>
      <c r="B133" s="109">
        <v>46078.68295164352</v>
      </c>
      <c r="C133" s="110">
        <v>0.6826388888888889</v>
      </c>
      <c r="D133" s="103" t="s">
        <v>1422</v>
      </c>
      <c r="E133" s="115">
        <v>0.9</v>
      </c>
      <c r="F133" s="112">
        <v>2340.0</v>
      </c>
      <c r="G133" s="103">
        <v>2340.0</v>
      </c>
      <c r="H133" s="112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111"/>
      <c r="B134" s="113">
        <v>46078.68295164352</v>
      </c>
      <c r="C134" s="114">
        <v>0.6826388888888889</v>
      </c>
      <c r="D134" s="103" t="s">
        <v>1423</v>
      </c>
      <c r="E134" s="111">
        <v>5.0</v>
      </c>
      <c r="F134" s="103" t="s">
        <v>1297</v>
      </c>
      <c r="G134" s="103" t="s">
        <v>1424</v>
      </c>
      <c r="H134" s="112">
        <v>12440.0</v>
      </c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7" t="s">
        <v>1425</v>
      </c>
      <c r="B135" s="109">
        <v>46078.69114416667</v>
      </c>
      <c r="C135" s="110">
        <v>0.6909722222222222</v>
      </c>
      <c r="D135" s="103" t="s">
        <v>719</v>
      </c>
      <c r="E135" s="111">
        <v>1.0</v>
      </c>
      <c r="F135" s="112">
        <v>5500.0</v>
      </c>
      <c r="G135" s="103">
        <v>5500.0</v>
      </c>
      <c r="H135" s="112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111"/>
      <c r="B136" s="113">
        <v>46078.69114416667</v>
      </c>
      <c r="C136" s="114">
        <v>0.6909722222222222</v>
      </c>
      <c r="D136" s="103" t="s">
        <v>1426</v>
      </c>
      <c r="E136" s="111">
        <v>1.0</v>
      </c>
      <c r="F136" s="103" t="s">
        <v>1383</v>
      </c>
      <c r="G136" s="103" t="s">
        <v>1406</v>
      </c>
      <c r="H136" s="112">
        <v>5500.0</v>
      </c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7" t="s">
        <v>1427</v>
      </c>
      <c r="B137" s="109">
        <v>46078.69640071759</v>
      </c>
      <c r="C137" s="110">
        <v>0.6958333333333333</v>
      </c>
      <c r="D137" s="103" t="s">
        <v>1277</v>
      </c>
      <c r="E137" s="111">
        <v>4.0</v>
      </c>
      <c r="F137" s="112">
        <v>4300.0</v>
      </c>
      <c r="G137" s="103">
        <v>17200.0</v>
      </c>
      <c r="H137" s="112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111"/>
      <c r="B138" s="113">
        <v>46078.69640071759</v>
      </c>
      <c r="C138" s="114">
        <v>0.6958333333333333</v>
      </c>
      <c r="D138" s="103" t="s">
        <v>1428</v>
      </c>
      <c r="E138" s="111">
        <v>4.0</v>
      </c>
      <c r="F138" s="103" t="s">
        <v>1297</v>
      </c>
      <c r="G138" s="103" t="s">
        <v>1406</v>
      </c>
      <c r="H138" s="112">
        <v>17200.0</v>
      </c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7" t="s">
        <v>1429</v>
      </c>
      <c r="B139" s="109">
        <v>46078.7188841088</v>
      </c>
      <c r="C139" s="110">
        <v>0.71875</v>
      </c>
      <c r="D139" s="103" t="s">
        <v>427</v>
      </c>
      <c r="E139" s="111">
        <v>1.0</v>
      </c>
      <c r="F139" s="112">
        <v>2000.0</v>
      </c>
      <c r="G139" s="103">
        <v>2000.0</v>
      </c>
      <c r="H139" s="112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7" t="s">
        <v>1429</v>
      </c>
      <c r="B140" s="109">
        <v>46078.7188841088</v>
      </c>
      <c r="C140" s="110">
        <v>0.71875</v>
      </c>
      <c r="D140" s="103" t="s">
        <v>435</v>
      </c>
      <c r="E140" s="111">
        <v>1.0</v>
      </c>
      <c r="F140" s="112">
        <v>2200.0</v>
      </c>
      <c r="G140" s="103">
        <v>2200.0</v>
      </c>
      <c r="H140" s="112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111"/>
      <c r="B141" s="113">
        <v>46078.7188841088</v>
      </c>
      <c r="C141" s="114">
        <v>0.71875</v>
      </c>
      <c r="D141" s="103" t="s">
        <v>1430</v>
      </c>
      <c r="E141" s="111">
        <v>2.0</v>
      </c>
      <c r="F141" s="103" t="s">
        <v>1297</v>
      </c>
      <c r="G141" s="103" t="s">
        <v>1406</v>
      </c>
      <c r="H141" s="112">
        <v>4200.0</v>
      </c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7" t="s">
        <v>1431</v>
      </c>
      <c r="B142" s="109">
        <v>46078.73854298611</v>
      </c>
      <c r="C142" s="110">
        <v>0.7381944444444445</v>
      </c>
      <c r="D142" s="103" t="s">
        <v>86</v>
      </c>
      <c r="E142" s="111">
        <v>1.0</v>
      </c>
      <c r="F142" s="112">
        <v>5000.0</v>
      </c>
      <c r="G142" s="103">
        <v>5000.0</v>
      </c>
      <c r="H142" s="112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7" t="s">
        <v>1431</v>
      </c>
      <c r="B143" s="109">
        <v>46078.73854298611</v>
      </c>
      <c r="C143" s="110">
        <v>0.7381944444444445</v>
      </c>
      <c r="D143" s="103" t="s">
        <v>631</v>
      </c>
      <c r="E143" s="111">
        <v>2.0</v>
      </c>
      <c r="F143" s="112">
        <v>2500.0</v>
      </c>
      <c r="G143" s="103">
        <v>5000.0</v>
      </c>
      <c r="H143" s="112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111"/>
      <c r="B144" s="113">
        <v>46078.73854298611</v>
      </c>
      <c r="C144" s="114">
        <v>0.7381944444444445</v>
      </c>
      <c r="D144" s="103" t="s">
        <v>1432</v>
      </c>
      <c r="E144" s="111">
        <v>3.0</v>
      </c>
      <c r="F144" s="103" t="s">
        <v>1383</v>
      </c>
      <c r="G144" s="103" t="s">
        <v>1406</v>
      </c>
      <c r="H144" s="112">
        <v>10000.0</v>
      </c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7" t="s">
        <v>1433</v>
      </c>
      <c r="B145" s="109">
        <v>46078.81244496528</v>
      </c>
      <c r="C145" s="110">
        <v>0.8118055555555556</v>
      </c>
      <c r="D145" s="103" t="s">
        <v>429</v>
      </c>
      <c r="E145" s="111">
        <v>1.0</v>
      </c>
      <c r="F145" s="112">
        <v>2000.0</v>
      </c>
      <c r="G145" s="103">
        <v>2000.0</v>
      </c>
      <c r="H145" s="112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7" t="s">
        <v>1433</v>
      </c>
      <c r="B146" s="109">
        <v>46078.81244496528</v>
      </c>
      <c r="C146" s="110">
        <v>0.8118055555555556</v>
      </c>
      <c r="D146" s="103" t="s">
        <v>170</v>
      </c>
      <c r="E146" s="111">
        <v>1.0</v>
      </c>
      <c r="F146" s="112">
        <v>600.0</v>
      </c>
      <c r="G146" s="103">
        <v>600.0</v>
      </c>
      <c r="H146" s="112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7" t="s">
        <v>1433</v>
      </c>
      <c r="B147" s="109">
        <v>46078.81244496528</v>
      </c>
      <c r="C147" s="110">
        <v>0.8118055555555556</v>
      </c>
      <c r="D147" s="103" t="s">
        <v>1339</v>
      </c>
      <c r="E147" s="111">
        <v>1.0</v>
      </c>
      <c r="F147" s="112">
        <v>600.0</v>
      </c>
      <c r="G147" s="103">
        <v>600.0</v>
      </c>
      <c r="H147" s="112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7" t="s">
        <v>1433</v>
      </c>
      <c r="B148" s="109">
        <v>46078.81244496528</v>
      </c>
      <c r="C148" s="110">
        <v>0.8118055555555556</v>
      </c>
      <c r="D148" s="103" t="s">
        <v>1160</v>
      </c>
      <c r="E148" s="111">
        <v>1.0</v>
      </c>
      <c r="F148" s="112">
        <v>2500.0</v>
      </c>
      <c r="G148" s="103">
        <v>2500.0</v>
      </c>
      <c r="H148" s="112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7" t="s">
        <v>1433</v>
      </c>
      <c r="B149" s="109">
        <v>46078.81244496528</v>
      </c>
      <c r="C149" s="110">
        <v>0.8118055555555556</v>
      </c>
      <c r="D149" s="103" t="s">
        <v>654</v>
      </c>
      <c r="E149" s="111">
        <v>1.0</v>
      </c>
      <c r="F149" s="112">
        <v>5000.0</v>
      </c>
      <c r="G149" s="103">
        <v>5000.0</v>
      </c>
      <c r="H149" s="112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7" t="s">
        <v>1433</v>
      </c>
      <c r="B150" s="109">
        <v>46078.81244496528</v>
      </c>
      <c r="C150" s="110">
        <v>0.8118055555555556</v>
      </c>
      <c r="D150" s="103" t="s">
        <v>709</v>
      </c>
      <c r="E150" s="111">
        <v>1.0</v>
      </c>
      <c r="F150" s="112">
        <v>2000.0</v>
      </c>
      <c r="G150" s="103">
        <v>2000.0</v>
      </c>
      <c r="H150" s="112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7" t="s">
        <v>1433</v>
      </c>
      <c r="B151" s="109">
        <v>46078.81244496528</v>
      </c>
      <c r="C151" s="110">
        <v>0.8118055555555556</v>
      </c>
      <c r="D151" s="103" t="s">
        <v>407</v>
      </c>
      <c r="E151" s="111">
        <v>1.0</v>
      </c>
      <c r="F151" s="112">
        <v>2000.0</v>
      </c>
      <c r="G151" s="103">
        <v>2000.0</v>
      </c>
      <c r="H151" s="112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7" t="s">
        <v>1433</v>
      </c>
      <c r="B152" s="109">
        <v>46078.81244496528</v>
      </c>
      <c r="C152" s="110">
        <v>0.8118055555555556</v>
      </c>
      <c r="D152" s="103" t="s">
        <v>1434</v>
      </c>
      <c r="E152" s="115">
        <v>0.1</v>
      </c>
      <c r="F152" s="112">
        <v>700.0</v>
      </c>
      <c r="G152" s="103">
        <v>700.0</v>
      </c>
      <c r="H152" s="112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111"/>
      <c r="B153" s="113">
        <v>46078.81244496528</v>
      </c>
      <c r="C153" s="114">
        <v>0.8118055555555556</v>
      </c>
      <c r="D153" s="103" t="s">
        <v>1435</v>
      </c>
      <c r="E153" s="111">
        <v>8.0</v>
      </c>
      <c r="F153" s="103" t="s">
        <v>1383</v>
      </c>
      <c r="G153" s="103" t="s">
        <v>1406</v>
      </c>
      <c r="H153" s="112">
        <v>15400.0</v>
      </c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7" t="s">
        <v>1436</v>
      </c>
      <c r="B154" s="109">
        <v>46078.81270475694</v>
      </c>
      <c r="C154" s="110">
        <v>0.8125</v>
      </c>
      <c r="D154" s="103" t="s">
        <v>220</v>
      </c>
      <c r="E154" s="111">
        <v>2.0</v>
      </c>
      <c r="F154" s="112">
        <v>1500.0</v>
      </c>
      <c r="G154" s="103">
        <v>3000.0</v>
      </c>
      <c r="H154" s="112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111"/>
      <c r="B155" s="113">
        <v>46078.81270475694</v>
      </c>
      <c r="C155" s="114">
        <v>0.8125</v>
      </c>
      <c r="D155" s="103" t="s">
        <v>1437</v>
      </c>
      <c r="E155" s="111">
        <v>2.0</v>
      </c>
      <c r="F155" s="103" t="s">
        <v>1297</v>
      </c>
      <c r="G155" s="103" t="s">
        <v>1406</v>
      </c>
      <c r="H155" s="112">
        <v>3000.0</v>
      </c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7" t="s">
        <v>1438</v>
      </c>
      <c r="B156" s="109">
        <v>46078.82207407407</v>
      </c>
      <c r="C156" s="110">
        <v>0.8215277777777777</v>
      </c>
      <c r="D156" s="103" t="s">
        <v>131</v>
      </c>
      <c r="E156" s="111">
        <v>1.0</v>
      </c>
      <c r="F156" s="112">
        <v>4000.0</v>
      </c>
      <c r="G156" s="103">
        <v>4000.0</v>
      </c>
      <c r="H156" s="112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111"/>
      <c r="B157" s="113">
        <v>46078.82207407407</v>
      </c>
      <c r="C157" s="114">
        <v>0.8215277777777777</v>
      </c>
      <c r="D157" s="103" t="s">
        <v>1439</v>
      </c>
      <c r="E157" s="111">
        <v>1.0</v>
      </c>
      <c r="F157" s="103" t="s">
        <v>1297</v>
      </c>
      <c r="G157" s="103" t="s">
        <v>1406</v>
      </c>
      <c r="H157" s="112">
        <v>4000.0</v>
      </c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7" t="s">
        <v>1440</v>
      </c>
      <c r="B158" s="109">
        <v>46078.84114435185</v>
      </c>
      <c r="C158" s="110">
        <v>0.8409722222222222</v>
      </c>
      <c r="D158" s="103" t="s">
        <v>574</v>
      </c>
      <c r="E158" s="111">
        <v>1.0</v>
      </c>
      <c r="F158" s="112">
        <v>3000.0</v>
      </c>
      <c r="G158" s="103">
        <v>3000.0</v>
      </c>
      <c r="H158" s="112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7" t="s">
        <v>1440</v>
      </c>
      <c r="B159" s="109">
        <v>46078.84114435185</v>
      </c>
      <c r="C159" s="110">
        <v>0.8409722222222222</v>
      </c>
      <c r="D159" s="103" t="s">
        <v>431</v>
      </c>
      <c r="E159" s="111">
        <v>1.0</v>
      </c>
      <c r="F159" s="112">
        <v>2000.0</v>
      </c>
      <c r="G159" s="103">
        <v>2000.0</v>
      </c>
      <c r="H159" s="112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111"/>
      <c r="B160" s="113">
        <v>46078.84114435185</v>
      </c>
      <c r="C160" s="114">
        <v>0.8409722222222222</v>
      </c>
      <c r="D160" s="103" t="s">
        <v>1441</v>
      </c>
      <c r="E160" s="111">
        <v>2.0</v>
      </c>
      <c r="F160" s="103" t="s">
        <v>1297</v>
      </c>
      <c r="G160" s="103" t="s">
        <v>1406</v>
      </c>
      <c r="H160" s="112">
        <v>5000.0</v>
      </c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7" t="s">
        <v>1442</v>
      </c>
      <c r="B161" s="109">
        <v>46078.84252306713</v>
      </c>
      <c r="C161" s="110">
        <v>0.8423611111111111</v>
      </c>
      <c r="D161" s="103" t="s">
        <v>1443</v>
      </c>
      <c r="E161" s="115">
        <v>1.0</v>
      </c>
      <c r="F161" s="112">
        <v>2000.0</v>
      </c>
      <c r="G161" s="103">
        <v>2000.0</v>
      </c>
      <c r="H161" s="112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111"/>
      <c r="B162" s="113">
        <v>46078.84252306713</v>
      </c>
      <c r="C162" s="114">
        <v>0.8423611111111111</v>
      </c>
      <c r="D162" s="103" t="s">
        <v>1444</v>
      </c>
      <c r="E162" s="111">
        <v>1.0</v>
      </c>
      <c r="F162" s="103" t="s">
        <v>1297</v>
      </c>
      <c r="G162" s="103" t="s">
        <v>1406</v>
      </c>
      <c r="H162" s="112">
        <v>2000.0</v>
      </c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7" t="s">
        <v>1445</v>
      </c>
      <c r="B163" s="109">
        <v>46078.85856546296</v>
      </c>
      <c r="C163" s="110">
        <v>0.8583333333333333</v>
      </c>
      <c r="D163" s="103" t="s">
        <v>721</v>
      </c>
      <c r="E163" s="111">
        <v>1.0</v>
      </c>
      <c r="F163" s="112">
        <v>4500.0</v>
      </c>
      <c r="G163" s="103">
        <v>4500.0</v>
      </c>
      <c r="H163" s="112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7" t="s">
        <v>1445</v>
      </c>
      <c r="B164" s="109">
        <v>46078.85856546296</v>
      </c>
      <c r="C164" s="110">
        <v>0.8583333333333333</v>
      </c>
      <c r="D164" s="103" t="s">
        <v>998</v>
      </c>
      <c r="E164" s="111">
        <v>1.0</v>
      </c>
      <c r="F164" s="112">
        <v>4500.0</v>
      </c>
      <c r="G164" s="103">
        <v>4500.0</v>
      </c>
      <c r="H164" s="112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7" t="s">
        <v>1445</v>
      </c>
      <c r="B165" s="109">
        <v>46078.85856546296</v>
      </c>
      <c r="C165" s="110">
        <v>0.8583333333333333</v>
      </c>
      <c r="D165" s="103" t="s">
        <v>1275</v>
      </c>
      <c r="E165" s="111">
        <v>1.0</v>
      </c>
      <c r="F165" s="112">
        <v>1000.0</v>
      </c>
      <c r="G165" s="103">
        <v>1000.0</v>
      </c>
      <c r="H165" s="112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111"/>
      <c r="B166" s="113">
        <v>46078.85856546296</v>
      </c>
      <c r="C166" s="114">
        <v>0.8583333333333333</v>
      </c>
      <c r="D166" s="103" t="s">
        <v>1446</v>
      </c>
      <c r="E166" s="111">
        <v>3.0</v>
      </c>
      <c r="F166" s="103" t="s">
        <v>1383</v>
      </c>
      <c r="G166" s="103" t="s">
        <v>1406</v>
      </c>
      <c r="H166" s="112">
        <v>10000.0</v>
      </c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7" t="s">
        <v>1447</v>
      </c>
      <c r="B167" s="109">
        <v>46078.86019435185</v>
      </c>
      <c r="C167" s="110">
        <v>0.8597222222222223</v>
      </c>
      <c r="D167" s="103" t="s">
        <v>119</v>
      </c>
      <c r="E167" s="111">
        <v>1.0</v>
      </c>
      <c r="F167" s="112">
        <v>1500.0</v>
      </c>
      <c r="G167" s="103">
        <v>1500.0</v>
      </c>
      <c r="H167" s="112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111"/>
      <c r="B168" s="113">
        <v>46078.86019435185</v>
      </c>
      <c r="C168" s="114">
        <v>0.8597222222222223</v>
      </c>
      <c r="D168" s="103" t="s">
        <v>1448</v>
      </c>
      <c r="E168" s="111">
        <v>1.0</v>
      </c>
      <c r="F168" s="103" t="s">
        <v>1297</v>
      </c>
      <c r="G168" s="103" t="s">
        <v>1406</v>
      </c>
      <c r="H168" s="112">
        <v>1500.0</v>
      </c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7" t="s">
        <v>1449</v>
      </c>
      <c r="B169" s="109">
        <v>46078.86073513889</v>
      </c>
      <c r="C169" s="110">
        <v>0.8604166666666667</v>
      </c>
      <c r="D169" s="103" t="s">
        <v>1450</v>
      </c>
      <c r="E169" s="115">
        <v>0.5</v>
      </c>
      <c r="F169" s="112">
        <v>2500.0</v>
      </c>
      <c r="G169" s="103">
        <v>2500.0</v>
      </c>
      <c r="H169" s="112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111"/>
      <c r="B170" s="113">
        <v>46078.86073513889</v>
      </c>
      <c r="C170" s="114">
        <v>0.8604166666666667</v>
      </c>
      <c r="D170" s="103" t="s">
        <v>1451</v>
      </c>
      <c r="E170" s="111">
        <v>1.0</v>
      </c>
      <c r="F170" s="103" t="s">
        <v>1297</v>
      </c>
      <c r="G170" s="103" t="s">
        <v>1406</v>
      </c>
      <c r="H170" s="112">
        <v>2500.0</v>
      </c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7" t="s">
        <v>1452</v>
      </c>
      <c r="B171" s="109">
        <v>46078.89828219907</v>
      </c>
      <c r="C171" s="110">
        <v>0.8979166666666667</v>
      </c>
      <c r="D171" s="103" t="s">
        <v>370</v>
      </c>
      <c r="E171" s="111">
        <v>1.0</v>
      </c>
      <c r="F171" s="112">
        <v>2000.0</v>
      </c>
      <c r="G171" s="103">
        <v>2000.0</v>
      </c>
      <c r="H171" s="112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7" t="s">
        <v>1452</v>
      </c>
      <c r="B172" s="109">
        <v>46078.89828219907</v>
      </c>
      <c r="C172" s="110">
        <v>0.8979166666666667</v>
      </c>
      <c r="D172" s="103" t="s">
        <v>1453</v>
      </c>
      <c r="E172" s="115">
        <v>0.65</v>
      </c>
      <c r="F172" s="112">
        <v>8775.0</v>
      </c>
      <c r="G172" s="103">
        <v>8775.0</v>
      </c>
      <c r="H172" s="112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111"/>
      <c r="B173" s="113">
        <v>46078.89828219907</v>
      </c>
      <c r="C173" s="114">
        <v>0.8979166666666667</v>
      </c>
      <c r="D173" s="103" t="s">
        <v>1454</v>
      </c>
      <c r="E173" s="111">
        <v>2.0</v>
      </c>
      <c r="F173" s="103" t="s">
        <v>1297</v>
      </c>
      <c r="G173" s="103" t="s">
        <v>1406</v>
      </c>
      <c r="H173" s="112">
        <v>10775.0</v>
      </c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7" t="s">
        <v>1455</v>
      </c>
      <c r="B174" s="109">
        <v>46078.89848944444</v>
      </c>
      <c r="C174" s="110">
        <v>0.8979166666666667</v>
      </c>
      <c r="D174" s="103" t="s">
        <v>1243</v>
      </c>
      <c r="E174" s="111">
        <v>6.0</v>
      </c>
      <c r="F174" s="112">
        <v>1200.0</v>
      </c>
      <c r="G174" s="103">
        <v>7200.0</v>
      </c>
      <c r="H174" s="112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111"/>
      <c r="B175" s="113">
        <v>46078.89848944444</v>
      </c>
      <c r="C175" s="114">
        <v>0.8979166666666667</v>
      </c>
      <c r="D175" s="103" t="s">
        <v>1456</v>
      </c>
      <c r="E175" s="111">
        <v>6.0</v>
      </c>
      <c r="F175" s="103" t="s">
        <v>1297</v>
      </c>
      <c r="G175" s="103" t="s">
        <v>1406</v>
      </c>
      <c r="H175" s="112">
        <v>7200.0</v>
      </c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7" t="s">
        <v>1457</v>
      </c>
      <c r="B176" s="109">
        <v>46078.89958956018</v>
      </c>
      <c r="C176" s="110">
        <v>0.8993055555555556</v>
      </c>
      <c r="D176" s="103" t="s">
        <v>1458</v>
      </c>
      <c r="E176" s="115">
        <v>0.155</v>
      </c>
      <c r="F176" s="112">
        <v>2480.0</v>
      </c>
      <c r="G176" s="103">
        <v>2480.0</v>
      </c>
      <c r="H176" s="112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7" t="s">
        <v>1457</v>
      </c>
      <c r="B177" s="109">
        <v>46078.89958956018</v>
      </c>
      <c r="C177" s="110">
        <v>0.8993055555555556</v>
      </c>
      <c r="D177" s="103" t="s">
        <v>1459</v>
      </c>
      <c r="E177" s="115">
        <v>0.15</v>
      </c>
      <c r="F177" s="112">
        <v>1050.0</v>
      </c>
      <c r="G177" s="103">
        <v>1050.0</v>
      </c>
      <c r="H177" s="112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7" t="s">
        <v>1457</v>
      </c>
      <c r="B178" s="109">
        <v>46078.89958956018</v>
      </c>
      <c r="C178" s="110">
        <v>0.8993055555555556</v>
      </c>
      <c r="D178" s="103" t="s">
        <v>1460</v>
      </c>
      <c r="E178" s="115">
        <v>0.2</v>
      </c>
      <c r="F178" s="112">
        <v>1000.0</v>
      </c>
      <c r="G178" s="103">
        <v>1000.0</v>
      </c>
      <c r="H178" s="112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111"/>
      <c r="B179" s="113">
        <v>46078.89958956018</v>
      </c>
      <c r="C179" s="114">
        <v>0.8993055555555556</v>
      </c>
      <c r="D179" s="103" t="s">
        <v>1461</v>
      </c>
      <c r="E179" s="111">
        <v>3.0</v>
      </c>
      <c r="F179" s="103" t="s">
        <v>1297</v>
      </c>
      <c r="G179" s="103" t="s">
        <v>1406</v>
      </c>
      <c r="H179" s="112">
        <v>4530.0</v>
      </c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7" t="s">
        <v>1462</v>
      </c>
      <c r="B180" s="109">
        <v>46078.90165662037</v>
      </c>
      <c r="C180" s="110">
        <v>0.9013888888888889</v>
      </c>
      <c r="D180" s="103" t="s">
        <v>1463</v>
      </c>
      <c r="E180" s="115">
        <v>0.42</v>
      </c>
      <c r="F180" s="112">
        <v>2100.0</v>
      </c>
      <c r="G180" s="103">
        <v>2100.0</v>
      </c>
      <c r="H180" s="112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7" t="s">
        <v>1462</v>
      </c>
      <c r="B181" s="109">
        <v>46078.90165662037</v>
      </c>
      <c r="C181" s="110">
        <v>0.9013888888888889</v>
      </c>
      <c r="D181" s="103" t="s">
        <v>1464</v>
      </c>
      <c r="E181" s="115">
        <v>0.4</v>
      </c>
      <c r="F181" s="112">
        <v>1200.0</v>
      </c>
      <c r="G181" s="103">
        <v>1200.0</v>
      </c>
      <c r="H181" s="112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7" t="s">
        <v>1462</v>
      </c>
      <c r="B182" s="109">
        <v>46078.90165662037</v>
      </c>
      <c r="C182" s="110">
        <v>0.9013888888888889</v>
      </c>
      <c r="D182" s="103" t="s">
        <v>682</v>
      </c>
      <c r="E182" s="111">
        <v>1.0</v>
      </c>
      <c r="F182" s="112">
        <v>1500.0</v>
      </c>
      <c r="G182" s="103">
        <v>1500.0</v>
      </c>
      <c r="H182" s="112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111"/>
      <c r="B183" s="113">
        <v>46078.90165662037</v>
      </c>
      <c r="C183" s="114">
        <v>0.9013888888888889</v>
      </c>
      <c r="D183" s="103" t="s">
        <v>1465</v>
      </c>
      <c r="E183" s="111">
        <v>3.0</v>
      </c>
      <c r="F183" s="103" t="s">
        <v>1297</v>
      </c>
      <c r="G183" s="103" t="s">
        <v>1406</v>
      </c>
      <c r="H183" s="112">
        <v>4800.0</v>
      </c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7" t="s">
        <v>1466</v>
      </c>
      <c r="B184" s="109">
        <v>46078.90693778935</v>
      </c>
      <c r="C184" s="110">
        <v>0.90625</v>
      </c>
      <c r="D184" s="103" t="s">
        <v>721</v>
      </c>
      <c r="E184" s="111">
        <v>1.0</v>
      </c>
      <c r="F184" s="112">
        <v>4500.0</v>
      </c>
      <c r="G184" s="103">
        <v>4500.0</v>
      </c>
      <c r="H184" s="112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111"/>
      <c r="B185" s="113">
        <v>46078.90693778935</v>
      </c>
      <c r="C185" s="114">
        <v>0.90625</v>
      </c>
      <c r="D185" s="103" t="s">
        <v>1467</v>
      </c>
      <c r="E185" s="111">
        <v>1.0</v>
      </c>
      <c r="F185" s="103" t="s">
        <v>1297</v>
      </c>
      <c r="G185" s="103" t="s">
        <v>1406</v>
      </c>
      <c r="H185" s="112">
        <v>4500.0</v>
      </c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7" t="s">
        <v>1468</v>
      </c>
      <c r="B186" s="109">
        <v>46078.9075172338</v>
      </c>
      <c r="C186" s="110">
        <v>0.9069444444444444</v>
      </c>
      <c r="D186" s="103" t="s">
        <v>1469</v>
      </c>
      <c r="E186" s="115">
        <v>0.9</v>
      </c>
      <c r="F186" s="112">
        <v>14400.0</v>
      </c>
      <c r="G186" s="103">
        <v>14400.0</v>
      </c>
      <c r="H186" s="112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7" t="s">
        <v>1468</v>
      </c>
      <c r="B187" s="109">
        <v>46078.9075172338</v>
      </c>
      <c r="C187" s="110">
        <v>0.9069444444444444</v>
      </c>
      <c r="D187" s="103" t="s">
        <v>435</v>
      </c>
      <c r="E187" s="111">
        <v>1.0</v>
      </c>
      <c r="F187" s="112">
        <v>2200.0</v>
      </c>
      <c r="G187" s="103">
        <v>2200.0</v>
      </c>
      <c r="H187" s="112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7" t="s">
        <v>1468</v>
      </c>
      <c r="B188" s="109">
        <v>46078.9075172338</v>
      </c>
      <c r="C188" s="110">
        <v>0.9069444444444444</v>
      </c>
      <c r="D188" s="103" t="s">
        <v>1267</v>
      </c>
      <c r="E188" s="111">
        <v>4.0</v>
      </c>
      <c r="F188" s="112">
        <v>500.0</v>
      </c>
      <c r="G188" s="103">
        <v>2000.0</v>
      </c>
      <c r="H188" s="112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111"/>
      <c r="B189" s="113">
        <v>46078.9075172338</v>
      </c>
      <c r="C189" s="114">
        <v>0.9069444444444444</v>
      </c>
      <c r="D189" s="103" t="s">
        <v>1470</v>
      </c>
      <c r="E189" s="111">
        <v>6.0</v>
      </c>
      <c r="F189" s="103" t="s">
        <v>1383</v>
      </c>
      <c r="G189" s="103" t="s">
        <v>1406</v>
      </c>
      <c r="H189" s="112">
        <v>18600.0</v>
      </c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7" t="s">
        <v>1471</v>
      </c>
      <c r="B190" s="109">
        <v>46078.90968113426</v>
      </c>
      <c r="C190" s="110">
        <v>0.9090277777777778</v>
      </c>
      <c r="D190" s="103" t="s">
        <v>211</v>
      </c>
      <c r="E190" s="111">
        <v>1.0</v>
      </c>
      <c r="F190" s="112">
        <v>2500.0</v>
      </c>
      <c r="G190" s="103">
        <v>2500.0</v>
      </c>
      <c r="H190" s="112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7" t="s">
        <v>1471</v>
      </c>
      <c r="B191" s="109">
        <v>46078.90968113426</v>
      </c>
      <c r="C191" s="110">
        <v>0.9090277777777778</v>
      </c>
      <c r="D191" s="103" t="s">
        <v>236</v>
      </c>
      <c r="E191" s="111">
        <v>1.0</v>
      </c>
      <c r="F191" s="112">
        <v>1500.0</v>
      </c>
      <c r="G191" s="103">
        <v>1500.0</v>
      </c>
      <c r="H191" s="112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111"/>
      <c r="B192" s="113">
        <v>46078.90968113426</v>
      </c>
      <c r="C192" s="114">
        <v>0.9090277777777778</v>
      </c>
      <c r="D192" s="103" t="s">
        <v>1472</v>
      </c>
      <c r="E192" s="111">
        <v>2.0</v>
      </c>
      <c r="F192" s="103" t="s">
        <v>1297</v>
      </c>
      <c r="G192" s="103" t="s">
        <v>1406</v>
      </c>
      <c r="H192" s="112">
        <v>4000.0</v>
      </c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7" t="s">
        <v>1473</v>
      </c>
      <c r="B193" s="109">
        <v>46078.91108503472</v>
      </c>
      <c r="C193" s="110">
        <v>0.9104166666666667</v>
      </c>
      <c r="D193" s="103" t="s">
        <v>1474</v>
      </c>
      <c r="E193" s="115">
        <v>2.0</v>
      </c>
      <c r="F193" s="112">
        <v>4000.0</v>
      </c>
      <c r="G193" s="103">
        <v>4000.0</v>
      </c>
      <c r="H193" s="112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7" t="s">
        <v>1473</v>
      </c>
      <c r="B194" s="109">
        <v>46078.91108503472</v>
      </c>
      <c r="C194" s="110">
        <v>0.9104166666666667</v>
      </c>
      <c r="D194" s="103" t="s">
        <v>1475</v>
      </c>
      <c r="E194" s="115">
        <v>0.6</v>
      </c>
      <c r="F194" s="112">
        <v>1500.0</v>
      </c>
      <c r="G194" s="103">
        <v>1500.0</v>
      </c>
      <c r="H194" s="112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7" t="s">
        <v>1473</v>
      </c>
      <c r="B195" s="109">
        <v>46078.91108503472</v>
      </c>
      <c r="C195" s="110">
        <v>0.9104166666666667</v>
      </c>
      <c r="D195" s="103" t="s">
        <v>1476</v>
      </c>
      <c r="E195" s="115">
        <v>0.5</v>
      </c>
      <c r="F195" s="112">
        <v>1100.0</v>
      </c>
      <c r="G195" s="103">
        <v>1100.0</v>
      </c>
      <c r="H195" s="112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7" t="s">
        <v>1473</v>
      </c>
      <c r="B196" s="109">
        <v>46078.91108503472</v>
      </c>
      <c r="C196" s="110">
        <v>0.9104166666666667</v>
      </c>
      <c r="D196" s="103" t="s">
        <v>1460</v>
      </c>
      <c r="E196" s="115">
        <v>0.2</v>
      </c>
      <c r="F196" s="112">
        <v>1000.0</v>
      </c>
      <c r="G196" s="103">
        <v>1000.0</v>
      </c>
      <c r="H196" s="112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7" t="s">
        <v>1473</v>
      </c>
      <c r="B197" s="109">
        <v>46078.91108503472</v>
      </c>
      <c r="C197" s="110">
        <v>0.9104166666666667</v>
      </c>
      <c r="D197" s="103" t="s">
        <v>99</v>
      </c>
      <c r="E197" s="111">
        <v>1.0</v>
      </c>
      <c r="F197" s="112">
        <v>2000.0</v>
      </c>
      <c r="G197" s="103">
        <v>2000.0</v>
      </c>
      <c r="H197" s="112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7" t="s">
        <v>1473</v>
      </c>
      <c r="B198" s="109">
        <v>46078.91108503472</v>
      </c>
      <c r="C198" s="110">
        <v>0.9104166666666667</v>
      </c>
      <c r="D198" s="103" t="s">
        <v>230</v>
      </c>
      <c r="E198" s="111">
        <v>1.0</v>
      </c>
      <c r="F198" s="112">
        <v>1800.0</v>
      </c>
      <c r="G198" s="103">
        <v>1800.0</v>
      </c>
      <c r="H198" s="112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111"/>
      <c r="B199" s="113">
        <v>46078.91108503472</v>
      </c>
      <c r="C199" s="114">
        <v>0.9104166666666667</v>
      </c>
      <c r="D199" s="103" t="s">
        <v>1477</v>
      </c>
      <c r="E199" s="111">
        <v>6.0</v>
      </c>
      <c r="F199" s="103" t="s">
        <v>1383</v>
      </c>
      <c r="G199" s="103" t="s">
        <v>1406</v>
      </c>
      <c r="H199" s="112">
        <v>11400.0</v>
      </c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7" t="s">
        <v>1478</v>
      </c>
      <c r="B200" s="109">
        <v>46079.55509905093</v>
      </c>
      <c r="C200" s="110">
        <v>0.5548611111111111</v>
      </c>
      <c r="D200" s="103" t="s">
        <v>579</v>
      </c>
      <c r="E200" s="111">
        <v>1.0</v>
      </c>
      <c r="F200" s="112">
        <v>3000.0</v>
      </c>
      <c r="G200" s="103">
        <v>3000.0</v>
      </c>
      <c r="H200" s="112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7" t="s">
        <v>1478</v>
      </c>
      <c r="B201" s="109">
        <v>46079.55509905093</v>
      </c>
      <c r="C201" s="110">
        <v>0.5548611111111111</v>
      </c>
      <c r="D201" s="103" t="s">
        <v>230</v>
      </c>
      <c r="E201" s="111">
        <v>1.0</v>
      </c>
      <c r="F201" s="112">
        <v>1800.0</v>
      </c>
      <c r="G201" s="103">
        <v>1800.0</v>
      </c>
      <c r="H201" s="112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7" t="s">
        <v>1478</v>
      </c>
      <c r="B202" s="109">
        <v>46079.55509905093</v>
      </c>
      <c r="C202" s="110">
        <v>0.5548611111111111</v>
      </c>
      <c r="D202" s="103" t="s">
        <v>218</v>
      </c>
      <c r="E202" s="111">
        <v>1.0</v>
      </c>
      <c r="F202" s="112">
        <v>2000.0</v>
      </c>
      <c r="G202" s="103">
        <v>2000.0</v>
      </c>
      <c r="H202" s="112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7" t="s">
        <v>1478</v>
      </c>
      <c r="B203" s="109">
        <v>46079.55509905093</v>
      </c>
      <c r="C203" s="110">
        <v>0.5548611111111111</v>
      </c>
      <c r="D203" s="103" t="s">
        <v>548</v>
      </c>
      <c r="E203" s="111">
        <v>1.0</v>
      </c>
      <c r="F203" s="112">
        <v>1200.0</v>
      </c>
      <c r="G203" s="103">
        <v>1200.0</v>
      </c>
      <c r="H203" s="112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7" t="s">
        <v>1478</v>
      </c>
      <c r="B204" s="109">
        <v>46079.55509905093</v>
      </c>
      <c r="C204" s="110">
        <v>0.5548611111111111</v>
      </c>
      <c r="D204" s="103" t="s">
        <v>546</v>
      </c>
      <c r="E204" s="111">
        <v>1.0</v>
      </c>
      <c r="F204" s="112">
        <v>1200.0</v>
      </c>
      <c r="G204" s="103">
        <v>1200.0</v>
      </c>
      <c r="H204" s="112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7" t="s">
        <v>1478</v>
      </c>
      <c r="B205" s="109">
        <v>46079.55509905093</v>
      </c>
      <c r="C205" s="110">
        <v>0.5548611111111111</v>
      </c>
      <c r="D205" s="103" t="s">
        <v>1479</v>
      </c>
      <c r="E205" s="111">
        <v>1.0</v>
      </c>
      <c r="F205" s="112">
        <v>600.0</v>
      </c>
      <c r="G205" s="103">
        <v>600.0</v>
      </c>
      <c r="H205" s="112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7" t="s">
        <v>1478</v>
      </c>
      <c r="B206" s="109">
        <v>46079.55509905093</v>
      </c>
      <c r="C206" s="110">
        <v>0.5548611111111111</v>
      </c>
      <c r="D206" s="103" t="s">
        <v>170</v>
      </c>
      <c r="E206" s="111">
        <v>1.0</v>
      </c>
      <c r="F206" s="112">
        <v>600.0</v>
      </c>
      <c r="G206" s="103">
        <v>600.0</v>
      </c>
      <c r="H206" s="112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111"/>
      <c r="B207" s="113">
        <v>46079.55509905093</v>
      </c>
      <c r="C207" s="114">
        <v>0.5548611111111111</v>
      </c>
      <c r="D207" s="103" t="s">
        <v>1480</v>
      </c>
      <c r="E207" s="111">
        <v>7.0</v>
      </c>
      <c r="F207" s="103" t="s">
        <v>1383</v>
      </c>
      <c r="G207" s="103" t="s">
        <v>1424</v>
      </c>
      <c r="H207" s="112">
        <v>10400.0</v>
      </c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7" t="s">
        <v>1481</v>
      </c>
      <c r="B208" s="109">
        <v>46079.59442854167</v>
      </c>
      <c r="C208" s="110">
        <v>0.59375</v>
      </c>
      <c r="D208" s="103" t="s">
        <v>441</v>
      </c>
      <c r="E208" s="111">
        <v>2.0</v>
      </c>
      <c r="F208" s="112">
        <v>2000.0</v>
      </c>
      <c r="G208" s="103">
        <v>4000.0</v>
      </c>
      <c r="H208" s="112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7" t="s">
        <v>1481</v>
      </c>
      <c r="B209" s="109">
        <v>46079.59442854167</v>
      </c>
      <c r="C209" s="110">
        <v>0.59375</v>
      </c>
      <c r="D209" s="103" t="s">
        <v>713</v>
      </c>
      <c r="E209" s="111">
        <v>1.0</v>
      </c>
      <c r="F209" s="112">
        <v>3000.0</v>
      </c>
      <c r="G209" s="103">
        <v>3000.0</v>
      </c>
      <c r="H209" s="112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111"/>
      <c r="B210" s="113">
        <v>46079.59442854167</v>
      </c>
      <c r="C210" s="114">
        <v>0.59375</v>
      </c>
      <c r="D210" s="103" t="s">
        <v>1482</v>
      </c>
      <c r="E210" s="111">
        <v>3.0</v>
      </c>
      <c r="F210" s="103" t="s">
        <v>1383</v>
      </c>
      <c r="G210" s="103" t="s">
        <v>1424</v>
      </c>
      <c r="H210" s="112">
        <v>7000.0</v>
      </c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7" t="s">
        <v>1483</v>
      </c>
      <c r="B211" s="109">
        <v>46079.67476017361</v>
      </c>
      <c r="C211" s="110">
        <v>0.6743055555555556</v>
      </c>
      <c r="D211" s="103" t="s">
        <v>1484</v>
      </c>
      <c r="E211" s="115">
        <v>1.0</v>
      </c>
      <c r="F211" s="112">
        <v>4000.0</v>
      </c>
      <c r="G211" s="103">
        <v>4000.0</v>
      </c>
      <c r="H211" s="112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7" t="s">
        <v>1483</v>
      </c>
      <c r="B212" s="109">
        <v>46079.67476017361</v>
      </c>
      <c r="C212" s="110">
        <v>0.6743055555555556</v>
      </c>
      <c r="D212" s="103" t="s">
        <v>105</v>
      </c>
      <c r="E212" s="111">
        <v>1.0</v>
      </c>
      <c r="F212" s="112">
        <v>7000.0</v>
      </c>
      <c r="G212" s="103">
        <v>7000.0</v>
      </c>
      <c r="H212" s="112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7" t="s">
        <v>1483</v>
      </c>
      <c r="B213" s="109">
        <v>46079.67476017361</v>
      </c>
      <c r="C213" s="110">
        <v>0.6743055555555556</v>
      </c>
      <c r="D213" s="103" t="s">
        <v>1485</v>
      </c>
      <c r="E213" s="111">
        <v>1.0</v>
      </c>
      <c r="F213" s="112">
        <v>5500.0</v>
      </c>
      <c r="G213" s="103">
        <v>5500.0</v>
      </c>
      <c r="H213" s="112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7" t="s">
        <v>1483</v>
      </c>
      <c r="B214" s="109">
        <v>46079.67476017361</v>
      </c>
      <c r="C214" s="110">
        <v>0.6743055555555556</v>
      </c>
      <c r="D214" s="103" t="s">
        <v>998</v>
      </c>
      <c r="E214" s="111">
        <v>1.0</v>
      </c>
      <c r="F214" s="112">
        <v>4500.0</v>
      </c>
      <c r="G214" s="103">
        <v>4500.0</v>
      </c>
      <c r="H214" s="112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7" t="s">
        <v>1483</v>
      </c>
      <c r="B215" s="109">
        <v>46079.67476017361</v>
      </c>
      <c r="C215" s="110">
        <v>0.6743055555555556</v>
      </c>
      <c r="D215" s="103" t="s">
        <v>409</v>
      </c>
      <c r="E215" s="111">
        <v>1.0</v>
      </c>
      <c r="F215" s="112">
        <v>2000.0</v>
      </c>
      <c r="G215" s="103">
        <v>2000.0</v>
      </c>
      <c r="H215" s="112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7" t="s">
        <v>1483</v>
      </c>
      <c r="B216" s="109">
        <v>46079.67476017361</v>
      </c>
      <c r="C216" s="110">
        <v>0.6743055555555556</v>
      </c>
      <c r="D216" s="103" t="s">
        <v>1486</v>
      </c>
      <c r="E216" s="115">
        <v>1.0</v>
      </c>
      <c r="F216" s="112">
        <v>2000.0</v>
      </c>
      <c r="G216" s="103">
        <v>2000.0</v>
      </c>
      <c r="H216" s="112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7" t="s">
        <v>1483</v>
      </c>
      <c r="B217" s="109">
        <v>46079.67476017361</v>
      </c>
      <c r="C217" s="110">
        <v>0.6743055555555556</v>
      </c>
      <c r="D217" s="103" t="s">
        <v>676</v>
      </c>
      <c r="E217" s="111">
        <v>1.0</v>
      </c>
      <c r="F217" s="112">
        <v>2000.0</v>
      </c>
      <c r="G217" s="103">
        <v>2000.0</v>
      </c>
      <c r="H217" s="112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7" t="s">
        <v>1483</v>
      </c>
      <c r="B218" s="109">
        <v>46079.67476017361</v>
      </c>
      <c r="C218" s="110">
        <v>0.6743055555555556</v>
      </c>
      <c r="D218" s="103" t="s">
        <v>508</v>
      </c>
      <c r="E218" s="111">
        <v>1.0</v>
      </c>
      <c r="F218" s="112">
        <v>1500.0</v>
      </c>
      <c r="G218" s="103">
        <v>1500.0</v>
      </c>
      <c r="H218" s="112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7" t="s">
        <v>1483</v>
      </c>
      <c r="B219" s="109">
        <v>46079.67476017361</v>
      </c>
      <c r="C219" s="110">
        <v>0.6743055555555556</v>
      </c>
      <c r="D219" s="103" t="s">
        <v>560</v>
      </c>
      <c r="E219" s="111">
        <v>1.0</v>
      </c>
      <c r="F219" s="112">
        <v>3000.0</v>
      </c>
      <c r="G219" s="103">
        <v>3000.0</v>
      </c>
      <c r="H219" s="112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7" t="s">
        <v>1483</v>
      </c>
      <c r="B220" s="109">
        <v>46079.67476017361</v>
      </c>
      <c r="C220" s="110">
        <v>0.6743055555555556</v>
      </c>
      <c r="D220" s="103" t="s">
        <v>1487</v>
      </c>
      <c r="E220" s="111">
        <v>1.0</v>
      </c>
      <c r="F220" s="112">
        <v>5000.0</v>
      </c>
      <c r="G220" s="103">
        <v>5000.0</v>
      </c>
      <c r="H220" s="112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111"/>
      <c r="B221" s="113">
        <v>46079.67476017361</v>
      </c>
      <c r="C221" s="114">
        <v>0.6743055555555556</v>
      </c>
      <c r="D221" s="103" t="s">
        <v>1488</v>
      </c>
      <c r="E221" s="111">
        <v>10.0</v>
      </c>
      <c r="F221" s="103" t="s">
        <v>1383</v>
      </c>
      <c r="G221" s="103" t="s">
        <v>1406</v>
      </c>
      <c r="H221" s="112">
        <v>38000.0</v>
      </c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7" t="s">
        <v>1489</v>
      </c>
      <c r="B222" s="109">
        <v>46079.77137868055</v>
      </c>
      <c r="C222" s="110">
        <v>0.7708333333333334</v>
      </c>
      <c r="D222" s="103" t="s">
        <v>1490</v>
      </c>
      <c r="E222" s="115">
        <v>0.3</v>
      </c>
      <c r="F222" s="112">
        <v>4050.0</v>
      </c>
      <c r="G222" s="103">
        <v>4050.0</v>
      </c>
      <c r="H222" s="112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7" t="s">
        <v>1489</v>
      </c>
      <c r="B223" s="109">
        <v>46079.77137868055</v>
      </c>
      <c r="C223" s="110">
        <v>0.7708333333333334</v>
      </c>
      <c r="D223" s="103" t="s">
        <v>127</v>
      </c>
      <c r="E223" s="111">
        <v>1.0</v>
      </c>
      <c r="F223" s="112">
        <v>3000.0</v>
      </c>
      <c r="G223" s="103">
        <v>3000.0</v>
      </c>
      <c r="H223" s="112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7" t="s">
        <v>1489</v>
      </c>
      <c r="B224" s="109">
        <v>46079.77137868055</v>
      </c>
      <c r="C224" s="110">
        <v>0.7708333333333334</v>
      </c>
      <c r="D224" s="103" t="s">
        <v>642</v>
      </c>
      <c r="E224" s="111">
        <v>1.0</v>
      </c>
      <c r="F224" s="112">
        <v>4000.0</v>
      </c>
      <c r="G224" s="103">
        <v>4000.0</v>
      </c>
      <c r="H224" s="112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7" t="s">
        <v>1489</v>
      </c>
      <c r="B225" s="109">
        <v>46079.77137868055</v>
      </c>
      <c r="C225" s="110">
        <v>0.7708333333333334</v>
      </c>
      <c r="D225" s="103" t="s">
        <v>933</v>
      </c>
      <c r="E225" s="111">
        <v>1.0</v>
      </c>
      <c r="F225" s="112">
        <v>4000.0</v>
      </c>
      <c r="G225" s="103">
        <v>4000.0</v>
      </c>
      <c r="H225" s="112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7" t="s">
        <v>1489</v>
      </c>
      <c r="B226" s="109">
        <v>46079.77137868055</v>
      </c>
      <c r="C226" s="110">
        <v>0.7708333333333334</v>
      </c>
      <c r="D226" s="103" t="s">
        <v>598</v>
      </c>
      <c r="E226" s="111">
        <v>1.0</v>
      </c>
      <c r="F226" s="112">
        <v>4000.0</v>
      </c>
      <c r="G226" s="103">
        <v>4000.0</v>
      </c>
      <c r="H226" s="112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111"/>
      <c r="B227" s="113">
        <v>46079.77137868055</v>
      </c>
      <c r="C227" s="114">
        <v>0.7708333333333334</v>
      </c>
      <c r="D227" s="103" t="s">
        <v>1491</v>
      </c>
      <c r="E227" s="111">
        <v>5.0</v>
      </c>
      <c r="F227" s="103" t="s">
        <v>1297</v>
      </c>
      <c r="G227" s="103" t="s">
        <v>1406</v>
      </c>
      <c r="H227" s="112">
        <v>19050.0</v>
      </c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7" t="s">
        <v>1492</v>
      </c>
      <c r="B228" s="109">
        <v>46079.77462626158</v>
      </c>
      <c r="C228" s="110">
        <v>0.7743055555555556</v>
      </c>
      <c r="D228" s="103" t="s">
        <v>1493</v>
      </c>
      <c r="E228" s="115">
        <v>1.0</v>
      </c>
      <c r="F228" s="112">
        <v>3000.0</v>
      </c>
      <c r="G228" s="103">
        <v>3000.0</v>
      </c>
      <c r="H228" s="112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111"/>
      <c r="B229" s="113">
        <v>46079.77462626158</v>
      </c>
      <c r="C229" s="114">
        <v>0.7743055555555556</v>
      </c>
      <c r="D229" s="103" t="s">
        <v>1494</v>
      </c>
      <c r="E229" s="111">
        <v>1.0</v>
      </c>
      <c r="F229" s="103" t="s">
        <v>1297</v>
      </c>
      <c r="G229" s="103" t="s">
        <v>1406</v>
      </c>
      <c r="H229" s="112">
        <v>3000.0</v>
      </c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7" t="s">
        <v>1495</v>
      </c>
      <c r="B230" s="109">
        <v>46079.8343824537</v>
      </c>
      <c r="C230" s="110">
        <v>0.8340277777777778</v>
      </c>
      <c r="D230" s="103" t="s">
        <v>1496</v>
      </c>
      <c r="E230" s="115">
        <v>1.2</v>
      </c>
      <c r="F230" s="112">
        <v>3600.0</v>
      </c>
      <c r="G230" s="103">
        <v>3600.0</v>
      </c>
      <c r="H230" s="112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7" t="s">
        <v>1495</v>
      </c>
      <c r="B231" s="109">
        <v>46079.8343824537</v>
      </c>
      <c r="C231" s="110">
        <v>0.8340277777777778</v>
      </c>
      <c r="D231" s="103" t="s">
        <v>419</v>
      </c>
      <c r="E231" s="111">
        <v>1.0</v>
      </c>
      <c r="F231" s="112">
        <v>2500.0</v>
      </c>
      <c r="G231" s="103">
        <v>2500.0</v>
      </c>
      <c r="H231" s="112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7" t="s">
        <v>1495</v>
      </c>
      <c r="B232" s="109">
        <v>46079.8343824537</v>
      </c>
      <c r="C232" s="110">
        <v>0.8340277777777778</v>
      </c>
      <c r="D232" s="103" t="s">
        <v>1338</v>
      </c>
      <c r="E232" s="111">
        <v>1.0</v>
      </c>
      <c r="F232" s="112">
        <v>600.0</v>
      </c>
      <c r="G232" s="103">
        <v>600.0</v>
      </c>
      <c r="H232" s="112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7" t="s">
        <v>1495</v>
      </c>
      <c r="B233" s="109">
        <v>46079.8343824537</v>
      </c>
      <c r="C233" s="110">
        <v>0.8340277777777778</v>
      </c>
      <c r="D233" s="103" t="s">
        <v>1497</v>
      </c>
      <c r="E233" s="111">
        <v>1.0</v>
      </c>
      <c r="F233" s="112">
        <v>600.0</v>
      </c>
      <c r="G233" s="103">
        <v>600.0</v>
      </c>
      <c r="H233" s="112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7" t="s">
        <v>1495</v>
      </c>
      <c r="B234" s="109">
        <v>46079.8343824537</v>
      </c>
      <c r="C234" s="110">
        <v>0.8340277777777778</v>
      </c>
      <c r="D234" s="103" t="s">
        <v>1340</v>
      </c>
      <c r="E234" s="111">
        <v>1.0</v>
      </c>
      <c r="F234" s="112">
        <v>600.0</v>
      </c>
      <c r="G234" s="103">
        <v>600.0</v>
      </c>
      <c r="H234" s="112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111"/>
      <c r="B235" s="113">
        <v>46079.8343824537</v>
      </c>
      <c r="C235" s="114">
        <v>0.8340277777777778</v>
      </c>
      <c r="D235" s="103" t="s">
        <v>1498</v>
      </c>
      <c r="E235" s="111">
        <v>5.0</v>
      </c>
      <c r="F235" s="103" t="s">
        <v>1297</v>
      </c>
      <c r="G235" s="103" t="s">
        <v>1406</v>
      </c>
      <c r="H235" s="112">
        <v>7900.0</v>
      </c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7" t="s">
        <v>1499</v>
      </c>
      <c r="B236" s="109">
        <v>46079.83488761574</v>
      </c>
      <c r="C236" s="110">
        <v>0.8347222222222223</v>
      </c>
      <c r="D236" s="103" t="s">
        <v>719</v>
      </c>
      <c r="E236" s="111">
        <v>1.0</v>
      </c>
      <c r="F236" s="112">
        <v>5500.0</v>
      </c>
      <c r="G236" s="103">
        <v>5500.0</v>
      </c>
      <c r="H236" s="112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7" t="s">
        <v>1499</v>
      </c>
      <c r="B237" s="109">
        <v>46079.83488761574</v>
      </c>
      <c r="C237" s="110">
        <v>0.8347222222222223</v>
      </c>
      <c r="D237" s="103" t="s">
        <v>1500</v>
      </c>
      <c r="E237" s="115">
        <v>1.0</v>
      </c>
      <c r="F237" s="112">
        <v>3000.0</v>
      </c>
      <c r="G237" s="103">
        <v>3000.0</v>
      </c>
      <c r="H237" s="112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111"/>
      <c r="B238" s="113">
        <v>46079.83488761574</v>
      </c>
      <c r="C238" s="114">
        <v>0.8347222222222223</v>
      </c>
      <c r="D238" s="103" t="s">
        <v>1501</v>
      </c>
      <c r="E238" s="111">
        <v>2.0</v>
      </c>
      <c r="F238" s="103" t="s">
        <v>1297</v>
      </c>
      <c r="G238" s="103" t="s">
        <v>1406</v>
      </c>
      <c r="H238" s="112">
        <v>8500.0</v>
      </c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7" t="s">
        <v>1502</v>
      </c>
      <c r="B239" s="109">
        <v>46079.84762782407</v>
      </c>
      <c r="C239" s="110">
        <v>0.8472222222222222</v>
      </c>
      <c r="D239" s="103" t="s">
        <v>1503</v>
      </c>
      <c r="E239" s="115">
        <v>0.425</v>
      </c>
      <c r="F239" s="112">
        <v>1700.0</v>
      </c>
      <c r="G239" s="103">
        <v>1700.0</v>
      </c>
      <c r="H239" s="112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7" t="s">
        <v>1502</v>
      </c>
      <c r="B240" s="109">
        <v>46079.84762782407</v>
      </c>
      <c r="C240" s="110">
        <v>0.8472222222222222</v>
      </c>
      <c r="D240" s="103" t="s">
        <v>193</v>
      </c>
      <c r="E240" s="111">
        <v>1.0</v>
      </c>
      <c r="F240" s="112">
        <v>2200.0</v>
      </c>
      <c r="G240" s="103">
        <v>2200.0</v>
      </c>
      <c r="H240" s="112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111"/>
      <c r="B241" s="113">
        <v>46079.84762782407</v>
      </c>
      <c r="C241" s="114">
        <v>0.8472222222222222</v>
      </c>
      <c r="D241" s="103" t="s">
        <v>1504</v>
      </c>
      <c r="E241" s="111">
        <v>2.0</v>
      </c>
      <c r="F241" s="103" t="s">
        <v>1297</v>
      </c>
      <c r="G241" s="103" t="s">
        <v>1406</v>
      </c>
      <c r="H241" s="112">
        <v>3900.0</v>
      </c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7" t="s">
        <v>1505</v>
      </c>
      <c r="B242" s="109">
        <v>46079.84869302083</v>
      </c>
      <c r="C242" s="110">
        <v>0.8486111111111111</v>
      </c>
      <c r="D242" s="103" t="s">
        <v>506</v>
      </c>
      <c r="E242" s="111">
        <v>2.0</v>
      </c>
      <c r="F242" s="112">
        <v>700.0</v>
      </c>
      <c r="G242" s="103">
        <v>1400.0</v>
      </c>
      <c r="H242" s="112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111"/>
      <c r="B243" s="113">
        <v>46079.84869302083</v>
      </c>
      <c r="C243" s="114">
        <v>0.8486111111111111</v>
      </c>
      <c r="D243" s="103" t="s">
        <v>1506</v>
      </c>
      <c r="E243" s="111">
        <v>2.0</v>
      </c>
      <c r="F243" s="103" t="s">
        <v>1297</v>
      </c>
      <c r="G243" s="103" t="s">
        <v>1406</v>
      </c>
      <c r="H243" s="112">
        <v>1400.0</v>
      </c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7" t="s">
        <v>1507</v>
      </c>
      <c r="B244" s="109">
        <v>46079.85197309028</v>
      </c>
      <c r="C244" s="110">
        <v>0.8513888888888889</v>
      </c>
      <c r="D244" s="103" t="s">
        <v>646</v>
      </c>
      <c r="E244" s="111">
        <v>1.0</v>
      </c>
      <c r="F244" s="112">
        <v>3500.0</v>
      </c>
      <c r="G244" s="103">
        <v>3500.0</v>
      </c>
      <c r="H244" s="112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111"/>
      <c r="B245" s="113">
        <v>46079.85197309028</v>
      </c>
      <c r="C245" s="114">
        <v>0.8513888888888889</v>
      </c>
      <c r="D245" s="103" t="s">
        <v>1508</v>
      </c>
      <c r="E245" s="111">
        <v>1.0</v>
      </c>
      <c r="F245" s="103" t="s">
        <v>1297</v>
      </c>
      <c r="G245" s="103" t="s">
        <v>1406</v>
      </c>
      <c r="H245" s="112">
        <v>3500.0</v>
      </c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7" t="s">
        <v>1509</v>
      </c>
      <c r="B246" s="109">
        <v>46079.86505295139</v>
      </c>
      <c r="C246" s="110">
        <v>0.8645833333333334</v>
      </c>
      <c r="D246" s="103" t="s">
        <v>721</v>
      </c>
      <c r="E246" s="111">
        <v>1.0</v>
      </c>
      <c r="F246" s="112">
        <v>4500.0</v>
      </c>
      <c r="G246" s="103">
        <v>4500.0</v>
      </c>
      <c r="H246" s="112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7" t="s">
        <v>1509</v>
      </c>
      <c r="B247" s="109">
        <v>46079.86505295139</v>
      </c>
      <c r="C247" s="110">
        <v>0.8645833333333334</v>
      </c>
      <c r="D247" s="103" t="s">
        <v>1510</v>
      </c>
      <c r="E247" s="115">
        <v>0.575</v>
      </c>
      <c r="F247" s="112">
        <v>9199.0</v>
      </c>
      <c r="G247" s="103">
        <v>9199.0</v>
      </c>
      <c r="H247" s="112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111"/>
      <c r="B248" s="113">
        <v>46079.86505295139</v>
      </c>
      <c r="C248" s="114">
        <v>0.8645833333333334</v>
      </c>
      <c r="D248" s="103" t="s">
        <v>1511</v>
      </c>
      <c r="E248" s="111">
        <v>2.0</v>
      </c>
      <c r="F248" s="103" t="s">
        <v>1383</v>
      </c>
      <c r="G248" s="103" t="s">
        <v>1406</v>
      </c>
      <c r="H248" s="112">
        <v>13699.0</v>
      </c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7" t="s">
        <v>1512</v>
      </c>
      <c r="B249" s="109">
        <v>46080.51902408565</v>
      </c>
      <c r="C249" s="110">
        <v>0.51875</v>
      </c>
      <c r="D249" s="103" t="s">
        <v>707</v>
      </c>
      <c r="E249" s="111">
        <v>1.0</v>
      </c>
      <c r="F249" s="112">
        <v>2000.0</v>
      </c>
      <c r="G249" s="103">
        <v>2000.0</v>
      </c>
      <c r="H249" s="112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7" t="s">
        <v>1512</v>
      </c>
      <c r="B250" s="109">
        <v>46080.51902408565</v>
      </c>
      <c r="C250" s="110">
        <v>0.51875</v>
      </c>
      <c r="D250" s="103" t="s">
        <v>711</v>
      </c>
      <c r="E250" s="111">
        <v>1.0</v>
      </c>
      <c r="F250" s="112">
        <v>2500.0</v>
      </c>
      <c r="G250" s="103">
        <v>2500.0</v>
      </c>
      <c r="H250" s="112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7" t="s">
        <v>1512</v>
      </c>
      <c r="B251" s="109">
        <v>46080.51902408565</v>
      </c>
      <c r="C251" s="110">
        <v>0.51875</v>
      </c>
      <c r="D251" s="103" t="s">
        <v>731</v>
      </c>
      <c r="E251" s="111">
        <v>1.0</v>
      </c>
      <c r="F251" s="112">
        <v>3000.0</v>
      </c>
      <c r="G251" s="103">
        <v>3000.0</v>
      </c>
      <c r="H251" s="112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111"/>
      <c r="B252" s="113">
        <v>46080.51902408565</v>
      </c>
      <c r="C252" s="114">
        <v>0.51875</v>
      </c>
      <c r="D252" s="103" t="s">
        <v>1513</v>
      </c>
      <c r="E252" s="111">
        <v>3.0</v>
      </c>
      <c r="F252" s="103" t="s">
        <v>1383</v>
      </c>
      <c r="G252" s="103" t="s">
        <v>1406</v>
      </c>
      <c r="H252" s="112">
        <v>7500.0</v>
      </c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7" t="s">
        <v>1514</v>
      </c>
      <c r="B253" s="109">
        <v>46080.56087077547</v>
      </c>
      <c r="C253" s="110">
        <v>0.5604166666666667</v>
      </c>
      <c r="D253" s="103" t="s">
        <v>1515</v>
      </c>
      <c r="E253" s="115">
        <v>0.5</v>
      </c>
      <c r="F253" s="112">
        <v>2000.0</v>
      </c>
      <c r="G253" s="103">
        <v>2000.0</v>
      </c>
      <c r="H253" s="112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A254" s="111"/>
      <c r="B254" s="113">
        <v>46080.56087077547</v>
      </c>
      <c r="C254" s="114">
        <v>0.5604166666666667</v>
      </c>
      <c r="D254" s="103" t="s">
        <v>1516</v>
      </c>
      <c r="E254" s="111">
        <v>1.0</v>
      </c>
      <c r="F254" s="103" t="s">
        <v>1297</v>
      </c>
      <c r="G254" s="103" t="s">
        <v>1406</v>
      </c>
      <c r="H254" s="112">
        <v>2000.0</v>
      </c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  <c r="AA254" s="96"/>
    </row>
    <row r="255" ht="15.75" customHeight="1">
      <c r="A255" s="97" t="s">
        <v>1517</v>
      </c>
      <c r="B255" s="109">
        <v>46080.68195040509</v>
      </c>
      <c r="C255" s="110">
        <v>0.6819444444444445</v>
      </c>
      <c r="D255" s="103" t="s">
        <v>1518</v>
      </c>
      <c r="E255" s="115">
        <v>1.0</v>
      </c>
      <c r="F255" s="112">
        <v>15999.0</v>
      </c>
      <c r="G255" s="103">
        <v>15999.0</v>
      </c>
      <c r="H255" s="112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  <c r="AA255" s="96"/>
    </row>
    <row r="256" ht="15.75" customHeight="1">
      <c r="A256" s="111"/>
      <c r="B256" s="113">
        <v>46080.68195040509</v>
      </c>
      <c r="C256" s="114">
        <v>0.6819444444444445</v>
      </c>
      <c r="D256" s="103" t="s">
        <v>1519</v>
      </c>
      <c r="E256" s="111">
        <v>1.0</v>
      </c>
      <c r="F256" s="103" t="s">
        <v>1383</v>
      </c>
      <c r="G256" s="103" t="s">
        <v>1406</v>
      </c>
      <c r="H256" s="112">
        <v>15999.0</v>
      </c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  <c r="AA256" s="96"/>
    </row>
    <row r="257" ht="15.75" customHeight="1">
      <c r="A257" s="97" t="s">
        <v>1520</v>
      </c>
      <c r="B257" s="109">
        <v>46080.72407221065</v>
      </c>
      <c r="C257" s="110">
        <v>0.7236111111111111</v>
      </c>
      <c r="D257" s="103" t="s">
        <v>431</v>
      </c>
      <c r="E257" s="111">
        <v>1.0</v>
      </c>
      <c r="F257" s="112">
        <v>2000.0</v>
      </c>
      <c r="G257" s="103">
        <v>2000.0</v>
      </c>
      <c r="H257" s="112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  <c r="AA257" s="96"/>
    </row>
    <row r="258" ht="15.75" customHeight="1">
      <c r="A258" s="97" t="s">
        <v>1520</v>
      </c>
      <c r="B258" s="109">
        <v>46080.72407221065</v>
      </c>
      <c r="C258" s="110">
        <v>0.7236111111111111</v>
      </c>
      <c r="D258" s="103" t="s">
        <v>624</v>
      </c>
      <c r="E258" s="111">
        <v>1.0</v>
      </c>
      <c r="F258" s="112">
        <v>1800.0</v>
      </c>
      <c r="G258" s="103">
        <v>1800.0</v>
      </c>
      <c r="H258" s="112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  <c r="AA258" s="96"/>
    </row>
    <row r="259" ht="15.75" customHeight="1">
      <c r="A259" s="97" t="s">
        <v>1520</v>
      </c>
      <c r="B259" s="109">
        <v>46080.72407221065</v>
      </c>
      <c r="C259" s="110">
        <v>0.7236111111111111</v>
      </c>
      <c r="D259" s="103" t="s">
        <v>180</v>
      </c>
      <c r="E259" s="111">
        <v>1.0</v>
      </c>
      <c r="F259" s="112">
        <v>600.0</v>
      </c>
      <c r="G259" s="103">
        <v>600.0</v>
      </c>
      <c r="H259" s="112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  <c r="AA259" s="96"/>
    </row>
    <row r="260" ht="15.75" customHeight="1">
      <c r="A260" s="97" t="s">
        <v>1520</v>
      </c>
      <c r="B260" s="109">
        <v>46080.72407221065</v>
      </c>
      <c r="C260" s="110">
        <v>0.7236111111111111</v>
      </c>
      <c r="D260" s="103" t="s">
        <v>1207</v>
      </c>
      <c r="E260" s="111">
        <v>1.0</v>
      </c>
      <c r="F260" s="112">
        <v>600.0</v>
      </c>
      <c r="G260" s="103">
        <v>600.0</v>
      </c>
      <c r="H260" s="112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  <c r="AA260" s="96"/>
    </row>
    <row r="261" ht="15.75" customHeight="1">
      <c r="A261" s="111"/>
      <c r="B261" s="113">
        <v>46080.72407221065</v>
      </c>
      <c r="C261" s="114">
        <v>0.7236111111111111</v>
      </c>
      <c r="D261" s="103" t="s">
        <v>1521</v>
      </c>
      <c r="E261" s="111">
        <v>4.0</v>
      </c>
      <c r="F261" s="103" t="s">
        <v>1383</v>
      </c>
      <c r="G261" s="103" t="s">
        <v>1406</v>
      </c>
      <c r="H261" s="112">
        <v>5000.0</v>
      </c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  <c r="AA261" s="96"/>
    </row>
    <row r="262" ht="15.75" customHeight="1">
      <c r="A262" s="97" t="s">
        <v>1522</v>
      </c>
      <c r="B262" s="109">
        <v>46080.72554438657</v>
      </c>
      <c r="C262" s="110">
        <v>0.725</v>
      </c>
      <c r="D262" s="103" t="s">
        <v>721</v>
      </c>
      <c r="E262" s="111">
        <v>1.0</v>
      </c>
      <c r="F262" s="112">
        <v>4500.0</v>
      </c>
      <c r="G262" s="103">
        <v>4500.0</v>
      </c>
      <c r="H262" s="112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  <c r="AA262" s="96"/>
    </row>
    <row r="263" ht="15.75" customHeight="1">
      <c r="A263" s="97" t="s">
        <v>1522</v>
      </c>
      <c r="B263" s="109">
        <v>46080.72554438657</v>
      </c>
      <c r="C263" s="110">
        <v>0.725</v>
      </c>
      <c r="D263" s="103" t="s">
        <v>478</v>
      </c>
      <c r="E263" s="111">
        <v>1.0</v>
      </c>
      <c r="F263" s="112">
        <v>4500.0</v>
      </c>
      <c r="G263" s="103">
        <v>4500.0</v>
      </c>
      <c r="H263" s="112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  <c r="AA263" s="96"/>
    </row>
    <row r="264" ht="15.75" customHeight="1">
      <c r="A264" s="97" t="s">
        <v>1522</v>
      </c>
      <c r="B264" s="109">
        <v>46080.72554438657</v>
      </c>
      <c r="C264" s="110">
        <v>0.725</v>
      </c>
      <c r="D264" s="103" t="s">
        <v>501</v>
      </c>
      <c r="E264" s="111">
        <v>1.0</v>
      </c>
      <c r="F264" s="112">
        <v>1000.0</v>
      </c>
      <c r="G264" s="103">
        <v>1000.0</v>
      </c>
      <c r="H264" s="112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  <c r="AA264" s="96"/>
    </row>
    <row r="265" ht="15.75" customHeight="1">
      <c r="A265" s="111"/>
      <c r="B265" s="113">
        <v>46080.72554438657</v>
      </c>
      <c r="C265" s="114">
        <v>0.725</v>
      </c>
      <c r="D265" s="103" t="s">
        <v>1523</v>
      </c>
      <c r="E265" s="111">
        <v>3.0</v>
      </c>
      <c r="F265" s="103" t="s">
        <v>1297</v>
      </c>
      <c r="G265" s="103" t="s">
        <v>1406</v>
      </c>
      <c r="H265" s="112">
        <v>10000.0</v>
      </c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  <c r="AA265" s="96"/>
    </row>
    <row r="266" ht="15.75" customHeight="1">
      <c r="A266" s="97" t="s">
        <v>1524</v>
      </c>
      <c r="B266" s="109">
        <v>46080.74824954861</v>
      </c>
      <c r="C266" s="110">
        <v>0.7479166666666667</v>
      </c>
      <c r="D266" s="103" t="s">
        <v>646</v>
      </c>
      <c r="E266" s="111">
        <v>1.0</v>
      </c>
      <c r="F266" s="112">
        <v>3500.0</v>
      </c>
      <c r="G266" s="103">
        <v>3500.0</v>
      </c>
      <c r="H266" s="112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  <c r="AA266" s="96"/>
    </row>
    <row r="267" ht="15.75" customHeight="1">
      <c r="A267" s="111"/>
      <c r="B267" s="113">
        <v>46080.74824954861</v>
      </c>
      <c r="C267" s="114">
        <v>0.7479166666666667</v>
      </c>
      <c r="D267" s="103" t="s">
        <v>1525</v>
      </c>
      <c r="E267" s="111">
        <v>1.0</v>
      </c>
      <c r="F267" s="103" t="s">
        <v>1297</v>
      </c>
      <c r="G267" s="103" t="s">
        <v>1406</v>
      </c>
      <c r="H267" s="112">
        <v>3500.0</v>
      </c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  <c r="AA267" s="96"/>
    </row>
    <row r="268" ht="15.75" customHeight="1">
      <c r="A268" s="97" t="s">
        <v>1526</v>
      </c>
      <c r="B268" s="109">
        <v>46080.79917943287</v>
      </c>
      <c r="C268" s="110">
        <v>0.7986111111111112</v>
      </c>
      <c r="D268" s="103" t="s">
        <v>187</v>
      </c>
      <c r="E268" s="111">
        <v>4.0</v>
      </c>
      <c r="F268" s="112">
        <v>900.0</v>
      </c>
      <c r="G268" s="103">
        <v>3600.0</v>
      </c>
      <c r="H268" s="112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  <c r="AA268" s="96"/>
    </row>
    <row r="269" ht="15.75" customHeight="1">
      <c r="A269" s="111"/>
      <c r="B269" s="113">
        <v>46080.79917943287</v>
      </c>
      <c r="C269" s="114">
        <v>0.7986111111111112</v>
      </c>
      <c r="D269" s="103" t="s">
        <v>1527</v>
      </c>
      <c r="E269" s="111">
        <v>4.0</v>
      </c>
      <c r="F269" s="103" t="s">
        <v>1297</v>
      </c>
      <c r="G269" s="103" t="s">
        <v>1406</v>
      </c>
      <c r="H269" s="112">
        <v>3600.0</v>
      </c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  <c r="AA269" s="96"/>
    </row>
    <row r="270" ht="15.75" customHeight="1">
      <c r="A270" s="97" t="s">
        <v>1528</v>
      </c>
      <c r="B270" s="109">
        <v>46080.80892686343</v>
      </c>
      <c r="C270" s="110">
        <v>0.8083333333333333</v>
      </c>
      <c r="D270" s="103" t="s">
        <v>1529</v>
      </c>
      <c r="E270" s="111">
        <v>1.0</v>
      </c>
      <c r="F270" s="112">
        <v>2500.0</v>
      </c>
      <c r="G270" s="103">
        <v>2500.0</v>
      </c>
      <c r="H270" s="112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  <c r="AA270" s="96"/>
    </row>
    <row r="271" ht="15.75" customHeight="1">
      <c r="A271" s="97" t="s">
        <v>1528</v>
      </c>
      <c r="B271" s="109">
        <v>46080.80892686343</v>
      </c>
      <c r="C271" s="110">
        <v>0.8083333333333333</v>
      </c>
      <c r="D271" s="103" t="s">
        <v>594</v>
      </c>
      <c r="E271" s="111">
        <v>1.0</v>
      </c>
      <c r="F271" s="112">
        <v>2500.0</v>
      </c>
      <c r="G271" s="103">
        <v>2500.0</v>
      </c>
      <c r="H271" s="112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  <c r="AA271" s="96"/>
    </row>
    <row r="272" ht="15.75" customHeight="1">
      <c r="A272" s="97" t="s">
        <v>1528</v>
      </c>
      <c r="B272" s="109">
        <v>46080.80892686343</v>
      </c>
      <c r="C272" s="110">
        <v>0.8083333333333333</v>
      </c>
      <c r="D272" s="103" t="s">
        <v>195</v>
      </c>
      <c r="E272" s="111">
        <v>1.0</v>
      </c>
      <c r="F272" s="112">
        <v>2200.0</v>
      </c>
      <c r="G272" s="103">
        <v>2200.0</v>
      </c>
      <c r="H272" s="112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  <c r="AA272" s="96"/>
    </row>
    <row r="273" ht="15.75" customHeight="1">
      <c r="A273" s="97" t="s">
        <v>1528</v>
      </c>
      <c r="B273" s="109">
        <v>46080.80892686343</v>
      </c>
      <c r="C273" s="110">
        <v>0.8083333333333333</v>
      </c>
      <c r="D273" s="103" t="s">
        <v>713</v>
      </c>
      <c r="E273" s="111">
        <v>1.0</v>
      </c>
      <c r="F273" s="112">
        <v>3000.0</v>
      </c>
      <c r="G273" s="103">
        <v>3000.0</v>
      </c>
      <c r="H273" s="112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  <c r="AA273" s="96"/>
    </row>
    <row r="274" ht="15.75" customHeight="1">
      <c r="A274" s="111"/>
      <c r="B274" s="113">
        <v>46080.80892686343</v>
      </c>
      <c r="C274" s="114">
        <v>0.8083333333333333</v>
      </c>
      <c r="D274" s="103" t="s">
        <v>1530</v>
      </c>
      <c r="E274" s="111">
        <v>4.0</v>
      </c>
      <c r="F274" s="103" t="s">
        <v>1297</v>
      </c>
      <c r="G274" s="103" t="s">
        <v>1406</v>
      </c>
      <c r="H274" s="112">
        <v>10200.0</v>
      </c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  <c r="AA274" s="96"/>
    </row>
    <row r="275" ht="15.75" customHeight="1">
      <c r="A275" s="97" t="s">
        <v>1531</v>
      </c>
      <c r="B275" s="109">
        <v>46080.83378855324</v>
      </c>
      <c r="C275" s="110">
        <v>0.8333333333333334</v>
      </c>
      <c r="D275" s="103" t="s">
        <v>749</v>
      </c>
      <c r="E275" s="111">
        <v>1.0</v>
      </c>
      <c r="F275" s="112">
        <v>4000.0</v>
      </c>
      <c r="G275" s="103">
        <v>4000.0</v>
      </c>
      <c r="H275" s="112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  <c r="AA275" s="96"/>
    </row>
    <row r="276" ht="15.75" customHeight="1">
      <c r="A276" s="111"/>
      <c r="B276" s="113">
        <v>46080.83378855324</v>
      </c>
      <c r="C276" s="114">
        <v>0.8333333333333334</v>
      </c>
      <c r="D276" s="103" t="s">
        <v>1532</v>
      </c>
      <c r="E276" s="111">
        <v>1.0</v>
      </c>
      <c r="F276" s="103" t="s">
        <v>1383</v>
      </c>
      <c r="G276" s="103" t="s">
        <v>1406</v>
      </c>
      <c r="H276" s="112">
        <v>4000.0</v>
      </c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  <c r="AA276" s="96"/>
    </row>
    <row r="277" ht="15.75" customHeight="1">
      <c r="A277" s="97" t="s">
        <v>1533</v>
      </c>
      <c r="B277" s="109">
        <v>46080.83875449074</v>
      </c>
      <c r="C277" s="110">
        <v>0.8381944444444445</v>
      </c>
      <c r="D277" s="103" t="s">
        <v>1534</v>
      </c>
      <c r="E277" s="115">
        <v>0.66</v>
      </c>
      <c r="F277" s="112">
        <v>3300.0</v>
      </c>
      <c r="G277" s="103">
        <v>3300.0</v>
      </c>
      <c r="H277" s="112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  <c r="AA277" s="96"/>
    </row>
    <row r="278" ht="15.75" customHeight="1">
      <c r="A278" s="97" t="s">
        <v>1533</v>
      </c>
      <c r="B278" s="109">
        <v>46080.83875449074</v>
      </c>
      <c r="C278" s="110">
        <v>0.8381944444444445</v>
      </c>
      <c r="D278" s="103" t="s">
        <v>1535</v>
      </c>
      <c r="E278" s="115">
        <v>1.165</v>
      </c>
      <c r="F278" s="112">
        <v>3495.0</v>
      </c>
      <c r="G278" s="103">
        <v>3495.0</v>
      </c>
      <c r="H278" s="112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  <c r="AA278" s="96"/>
    </row>
    <row r="279" ht="15.75" customHeight="1">
      <c r="A279" s="97" t="s">
        <v>1533</v>
      </c>
      <c r="B279" s="109">
        <v>46080.83875449074</v>
      </c>
      <c r="C279" s="110">
        <v>0.8381944444444445</v>
      </c>
      <c r="D279" s="103" t="s">
        <v>1235</v>
      </c>
      <c r="E279" s="111">
        <v>1.0</v>
      </c>
      <c r="F279" s="112">
        <v>4500.0</v>
      </c>
      <c r="G279" s="103">
        <v>4500.0</v>
      </c>
      <c r="H279" s="112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  <c r="AA279" s="96"/>
    </row>
    <row r="280" ht="15.75" customHeight="1">
      <c r="A280" s="111"/>
      <c r="B280" s="113">
        <v>46080.83875449074</v>
      </c>
      <c r="C280" s="114">
        <v>0.8381944444444445</v>
      </c>
      <c r="D280" s="103" t="s">
        <v>1536</v>
      </c>
      <c r="E280" s="111">
        <v>3.0</v>
      </c>
      <c r="F280" s="103" t="s">
        <v>1297</v>
      </c>
      <c r="G280" s="103" t="s">
        <v>1406</v>
      </c>
      <c r="H280" s="112">
        <v>11295.0</v>
      </c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  <c r="AA280" s="96"/>
    </row>
    <row r="281" ht="15.75" customHeight="1">
      <c r="A281" s="97" t="s">
        <v>1537</v>
      </c>
      <c r="B281" s="109">
        <v>46080.840951875</v>
      </c>
      <c r="C281" s="110">
        <v>0.8402777777777778</v>
      </c>
      <c r="D281" s="103" t="s">
        <v>536</v>
      </c>
      <c r="E281" s="111">
        <v>2.0</v>
      </c>
      <c r="F281" s="112">
        <v>6700.0</v>
      </c>
      <c r="G281" s="103">
        <v>13400.0</v>
      </c>
      <c r="H281" s="112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  <c r="AA281" s="96"/>
    </row>
    <row r="282" ht="15.75" customHeight="1">
      <c r="A282" s="97" t="s">
        <v>1537</v>
      </c>
      <c r="B282" s="109">
        <v>46080.840951875</v>
      </c>
      <c r="C282" s="110">
        <v>0.8402777777777778</v>
      </c>
      <c r="D282" s="103" t="s">
        <v>893</v>
      </c>
      <c r="E282" s="111">
        <v>1.0</v>
      </c>
      <c r="F282" s="112">
        <v>4500.0</v>
      </c>
      <c r="G282" s="103">
        <v>4500.0</v>
      </c>
      <c r="H282" s="112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  <c r="AA282" s="96"/>
    </row>
    <row r="283" ht="15.75" customHeight="1">
      <c r="A283" s="97" t="s">
        <v>1537</v>
      </c>
      <c r="B283" s="109">
        <v>46080.840951875</v>
      </c>
      <c r="C283" s="110">
        <v>0.8402777777777778</v>
      </c>
      <c r="D283" s="103" t="s">
        <v>1538</v>
      </c>
      <c r="E283" s="115">
        <v>0.555</v>
      </c>
      <c r="F283" s="112">
        <v>2220.0</v>
      </c>
      <c r="G283" s="103">
        <v>2220.0</v>
      </c>
      <c r="H283" s="112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  <c r="AA283" s="96"/>
    </row>
    <row r="284" ht="15.75" customHeight="1">
      <c r="A284" s="111"/>
      <c r="B284" s="113">
        <v>46080.840951875</v>
      </c>
      <c r="C284" s="114">
        <v>0.8402777777777778</v>
      </c>
      <c r="D284" s="103" t="s">
        <v>1539</v>
      </c>
      <c r="E284" s="111">
        <v>4.0</v>
      </c>
      <c r="F284" s="103" t="s">
        <v>1383</v>
      </c>
      <c r="G284" s="103" t="s">
        <v>1406</v>
      </c>
      <c r="H284" s="112">
        <v>20120.0</v>
      </c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  <c r="AA284" s="96"/>
    </row>
    <row r="285" ht="15.75" customHeight="1">
      <c r="A285" s="97" t="s">
        <v>1540</v>
      </c>
      <c r="B285" s="109">
        <v>46080.84336791667</v>
      </c>
      <c r="C285" s="110">
        <v>0.8430555555555556</v>
      </c>
      <c r="D285" s="103" t="s">
        <v>721</v>
      </c>
      <c r="E285" s="111">
        <v>1.0</v>
      </c>
      <c r="F285" s="112">
        <v>4500.0</v>
      </c>
      <c r="G285" s="103">
        <v>4500.0</v>
      </c>
      <c r="H285" s="112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  <c r="AA285" s="96"/>
    </row>
    <row r="286" ht="15.75" customHeight="1">
      <c r="A286" s="97" t="s">
        <v>1540</v>
      </c>
      <c r="B286" s="109">
        <v>46080.84336791667</v>
      </c>
      <c r="C286" s="110">
        <v>0.8430555555555556</v>
      </c>
      <c r="D286" s="103" t="s">
        <v>633</v>
      </c>
      <c r="E286" s="111">
        <v>1.0</v>
      </c>
      <c r="F286" s="112">
        <v>2000.0</v>
      </c>
      <c r="G286" s="103">
        <v>2000.0</v>
      </c>
      <c r="H286" s="112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  <c r="AA286" s="96"/>
    </row>
    <row r="287" ht="15.75" customHeight="1">
      <c r="A287" s="97" t="s">
        <v>1540</v>
      </c>
      <c r="B287" s="109">
        <v>46080.84336791667</v>
      </c>
      <c r="C287" s="110">
        <v>0.8430555555555556</v>
      </c>
      <c r="D287" s="103" t="s">
        <v>215</v>
      </c>
      <c r="E287" s="111">
        <v>1.0</v>
      </c>
      <c r="F287" s="112">
        <v>1500.0</v>
      </c>
      <c r="G287" s="103">
        <v>1500.0</v>
      </c>
      <c r="H287" s="112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  <c r="AA287" s="96"/>
    </row>
    <row r="288" ht="15.75" customHeight="1">
      <c r="A288" s="111"/>
      <c r="B288" s="113">
        <v>46080.84336791667</v>
      </c>
      <c r="C288" s="114">
        <v>0.8430555555555556</v>
      </c>
      <c r="D288" s="103" t="s">
        <v>1541</v>
      </c>
      <c r="E288" s="111">
        <v>3.0</v>
      </c>
      <c r="F288" s="103" t="s">
        <v>1297</v>
      </c>
      <c r="G288" s="103" t="s">
        <v>1406</v>
      </c>
      <c r="H288" s="112">
        <v>8000.0</v>
      </c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  <c r="AA288" s="96"/>
    </row>
    <row r="289" ht="15.75" customHeight="1">
      <c r="A289" s="97" t="s">
        <v>1542</v>
      </c>
      <c r="B289" s="109">
        <v>46080.84656489583</v>
      </c>
      <c r="C289" s="110">
        <v>0.8465277777777778</v>
      </c>
      <c r="D289" s="103" t="s">
        <v>702</v>
      </c>
      <c r="E289" s="111">
        <v>1.0</v>
      </c>
      <c r="F289" s="112">
        <v>10000.0</v>
      </c>
      <c r="G289" s="103">
        <v>10000.0</v>
      </c>
      <c r="H289" s="112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  <c r="AA289" s="96"/>
    </row>
    <row r="290" ht="15.75" customHeight="1">
      <c r="A290" s="111"/>
      <c r="B290" s="113">
        <v>46080.84656489583</v>
      </c>
      <c r="C290" s="114">
        <v>0.8465277777777778</v>
      </c>
      <c r="D290" s="103" t="s">
        <v>1543</v>
      </c>
      <c r="E290" s="111">
        <v>1.0</v>
      </c>
      <c r="F290" s="103" t="s">
        <v>1297</v>
      </c>
      <c r="G290" s="103" t="s">
        <v>1406</v>
      </c>
      <c r="H290" s="112">
        <v>10000.0</v>
      </c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  <c r="AA290" s="96"/>
    </row>
    <row r="291" ht="15.75" customHeight="1">
      <c r="A291" s="97" t="s">
        <v>1544</v>
      </c>
      <c r="B291" s="109">
        <v>46080.86331709491</v>
      </c>
      <c r="C291" s="110">
        <v>0.8631944444444445</v>
      </c>
      <c r="D291" s="103" t="s">
        <v>1307</v>
      </c>
      <c r="E291" s="111">
        <v>1.0</v>
      </c>
      <c r="F291" s="112">
        <v>7200.0</v>
      </c>
      <c r="G291" s="103">
        <v>7200.0</v>
      </c>
      <c r="H291" s="112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  <c r="AA291" s="96"/>
    </row>
    <row r="292" ht="15.75" customHeight="1">
      <c r="A292" s="97" t="s">
        <v>1544</v>
      </c>
      <c r="B292" s="109">
        <v>46080.86331709491</v>
      </c>
      <c r="C292" s="110">
        <v>0.8631944444444445</v>
      </c>
      <c r="D292" s="103" t="s">
        <v>1042</v>
      </c>
      <c r="E292" s="111">
        <v>1.0</v>
      </c>
      <c r="F292" s="112">
        <v>3000.0</v>
      </c>
      <c r="G292" s="103">
        <v>3000.0</v>
      </c>
      <c r="H292" s="112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  <c r="AA292" s="96"/>
    </row>
    <row r="293" ht="15.75" customHeight="1">
      <c r="A293" s="97" t="s">
        <v>1544</v>
      </c>
      <c r="B293" s="109">
        <v>46080.86331709491</v>
      </c>
      <c r="C293" s="110">
        <v>0.8631944444444445</v>
      </c>
      <c r="D293" s="103" t="s">
        <v>666</v>
      </c>
      <c r="E293" s="111">
        <v>1.0</v>
      </c>
      <c r="F293" s="112">
        <v>1500.0</v>
      </c>
      <c r="G293" s="103">
        <v>1500.0</v>
      </c>
      <c r="H293" s="112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  <c r="AA293" s="96"/>
    </row>
    <row r="294" ht="15.75" customHeight="1">
      <c r="A294" s="97" t="s">
        <v>1544</v>
      </c>
      <c r="B294" s="109">
        <v>46080.86331709491</v>
      </c>
      <c r="C294" s="110">
        <v>0.8631944444444445</v>
      </c>
      <c r="D294" s="103" t="s">
        <v>642</v>
      </c>
      <c r="E294" s="111">
        <v>2.0</v>
      </c>
      <c r="F294" s="112">
        <v>4000.0</v>
      </c>
      <c r="G294" s="103">
        <v>8000.0</v>
      </c>
      <c r="H294" s="112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  <c r="AA294" s="96"/>
    </row>
    <row r="295" ht="15.75" customHeight="1">
      <c r="A295" s="111"/>
      <c r="B295" s="113">
        <v>46080.86331709491</v>
      </c>
      <c r="C295" s="114">
        <v>0.8631944444444445</v>
      </c>
      <c r="D295" s="103" t="s">
        <v>1545</v>
      </c>
      <c r="E295" s="111">
        <v>5.0</v>
      </c>
      <c r="F295" s="103" t="s">
        <v>1297</v>
      </c>
      <c r="G295" s="103" t="s">
        <v>1406</v>
      </c>
      <c r="H295" s="112">
        <v>19700.0</v>
      </c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  <c r="AA295" s="96"/>
    </row>
    <row r="296" ht="15.75" customHeight="1">
      <c r="A296" s="97" t="s">
        <v>1546</v>
      </c>
      <c r="B296" s="109">
        <v>46080.92276943287</v>
      </c>
      <c r="C296" s="110">
        <v>0.9222222222222223</v>
      </c>
      <c r="D296" s="103" t="s">
        <v>1547</v>
      </c>
      <c r="E296" s="115">
        <v>0.45</v>
      </c>
      <c r="F296" s="112">
        <v>1170.0</v>
      </c>
      <c r="G296" s="103">
        <v>1170.0</v>
      </c>
      <c r="H296" s="112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  <c r="AA296" s="96"/>
    </row>
    <row r="297" ht="15.75" customHeight="1">
      <c r="A297" s="97" t="s">
        <v>1546</v>
      </c>
      <c r="B297" s="109">
        <v>46080.92276943287</v>
      </c>
      <c r="C297" s="110">
        <v>0.9222222222222223</v>
      </c>
      <c r="D297" s="103" t="s">
        <v>534</v>
      </c>
      <c r="E297" s="111">
        <v>1.0</v>
      </c>
      <c r="F297" s="112">
        <v>3400.0</v>
      </c>
      <c r="G297" s="103">
        <v>3400.0</v>
      </c>
      <c r="H297" s="112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  <c r="AA297" s="96"/>
    </row>
    <row r="298" ht="15.75" customHeight="1">
      <c r="A298" s="97" t="s">
        <v>1546</v>
      </c>
      <c r="B298" s="109">
        <v>46080.92276943287</v>
      </c>
      <c r="C298" s="110">
        <v>0.9222222222222223</v>
      </c>
      <c r="D298" s="103" t="s">
        <v>536</v>
      </c>
      <c r="E298" s="111">
        <v>1.0</v>
      </c>
      <c r="F298" s="112">
        <v>6700.0</v>
      </c>
      <c r="G298" s="103">
        <v>6700.0</v>
      </c>
      <c r="H298" s="112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  <c r="AA298" s="96"/>
    </row>
    <row r="299" ht="15.75" customHeight="1">
      <c r="A299" s="97" t="s">
        <v>1546</v>
      </c>
      <c r="B299" s="109">
        <v>46080.92276943287</v>
      </c>
      <c r="C299" s="110">
        <v>0.9222222222222223</v>
      </c>
      <c r="D299" s="103" t="s">
        <v>1548</v>
      </c>
      <c r="E299" s="115">
        <v>0.325</v>
      </c>
      <c r="F299" s="112">
        <v>1625.0</v>
      </c>
      <c r="G299" s="103">
        <v>1625.0</v>
      </c>
      <c r="H299" s="112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  <c r="AA299" s="96"/>
    </row>
    <row r="300" ht="15.75" customHeight="1">
      <c r="A300" s="97" t="s">
        <v>1546</v>
      </c>
      <c r="B300" s="109">
        <v>46080.92276943287</v>
      </c>
      <c r="C300" s="110">
        <v>0.9222222222222223</v>
      </c>
      <c r="D300" s="103" t="s">
        <v>1549</v>
      </c>
      <c r="E300" s="115">
        <v>0.365</v>
      </c>
      <c r="F300" s="112">
        <v>803.0</v>
      </c>
      <c r="G300" s="103">
        <v>803.0</v>
      </c>
      <c r="H300" s="112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  <c r="AA300" s="96"/>
    </row>
    <row r="301" ht="15.75" customHeight="1">
      <c r="A301" s="97" t="s">
        <v>1546</v>
      </c>
      <c r="B301" s="109">
        <v>46080.92276943287</v>
      </c>
      <c r="C301" s="110">
        <v>0.9222222222222223</v>
      </c>
      <c r="D301" s="103" t="s">
        <v>1550</v>
      </c>
      <c r="E301" s="115">
        <v>0.265</v>
      </c>
      <c r="F301" s="112">
        <v>1855.0</v>
      </c>
      <c r="G301" s="103">
        <v>1855.0</v>
      </c>
      <c r="H301" s="112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  <c r="AA301" s="96"/>
    </row>
    <row r="302" ht="15.75" customHeight="1">
      <c r="A302" s="97" t="s">
        <v>1546</v>
      </c>
      <c r="B302" s="109">
        <v>46080.92276943287</v>
      </c>
      <c r="C302" s="110">
        <v>0.9222222222222223</v>
      </c>
      <c r="D302" s="103" t="s">
        <v>715</v>
      </c>
      <c r="E302" s="111">
        <v>1.0</v>
      </c>
      <c r="F302" s="112">
        <v>1600.0</v>
      </c>
      <c r="G302" s="103">
        <v>1600.0</v>
      </c>
      <c r="H302" s="112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  <c r="AA302" s="96"/>
    </row>
    <row r="303" ht="15.75" customHeight="1">
      <c r="A303" s="97" t="s">
        <v>1546</v>
      </c>
      <c r="B303" s="109">
        <v>46080.92276943287</v>
      </c>
      <c r="C303" s="110">
        <v>0.9222222222222223</v>
      </c>
      <c r="D303" s="103" t="s">
        <v>1048</v>
      </c>
      <c r="E303" s="111">
        <v>1.0</v>
      </c>
      <c r="F303" s="112">
        <v>2500.0</v>
      </c>
      <c r="G303" s="103">
        <v>2500.0</v>
      </c>
      <c r="H303" s="112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  <c r="AA303" s="96"/>
    </row>
    <row r="304" ht="15.75" customHeight="1">
      <c r="A304" s="97" t="s">
        <v>1546</v>
      </c>
      <c r="B304" s="109">
        <v>46080.92276943287</v>
      </c>
      <c r="C304" s="110">
        <v>0.9222222222222223</v>
      </c>
      <c r="D304" s="103" t="s">
        <v>66</v>
      </c>
      <c r="E304" s="111">
        <v>2.0</v>
      </c>
      <c r="F304" s="112">
        <v>2500.0</v>
      </c>
      <c r="G304" s="103">
        <v>5000.0</v>
      </c>
      <c r="H304" s="112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  <c r="AA304" s="96"/>
    </row>
    <row r="305" ht="15.75" customHeight="1">
      <c r="A305" s="111"/>
      <c r="B305" s="113">
        <v>46080.92276943287</v>
      </c>
      <c r="C305" s="114">
        <v>0.9222222222222223</v>
      </c>
      <c r="D305" s="103" t="s">
        <v>1551</v>
      </c>
      <c r="E305" s="111">
        <v>10.0</v>
      </c>
      <c r="F305" s="103" t="s">
        <v>1383</v>
      </c>
      <c r="G305" s="103" t="s">
        <v>1406</v>
      </c>
      <c r="H305" s="112">
        <v>24653.0</v>
      </c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  <c r="AA305" s="96"/>
    </row>
    <row r="306" ht="15.75" customHeight="1">
      <c r="A306" s="97" t="s">
        <v>1552</v>
      </c>
      <c r="B306" s="109">
        <v>46081.56237195602</v>
      </c>
      <c r="C306" s="110">
        <v>0.5618055555555556</v>
      </c>
      <c r="D306" s="103" t="s">
        <v>1553</v>
      </c>
      <c r="E306" s="111">
        <v>2.0</v>
      </c>
      <c r="F306" s="112">
        <v>7000.0</v>
      </c>
      <c r="G306" s="103">
        <v>14000.0</v>
      </c>
      <c r="H306" s="112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  <c r="AA306" s="96"/>
    </row>
    <row r="307" ht="15.75" customHeight="1">
      <c r="A307" s="97" t="s">
        <v>1552</v>
      </c>
      <c r="B307" s="109">
        <v>46081.56237195602</v>
      </c>
      <c r="C307" s="110">
        <v>0.5618055555555556</v>
      </c>
      <c r="D307" s="103" t="s">
        <v>207</v>
      </c>
      <c r="E307" s="111">
        <v>3.0</v>
      </c>
      <c r="F307" s="112">
        <v>3000.0</v>
      </c>
      <c r="G307" s="103">
        <v>9000.0</v>
      </c>
      <c r="H307" s="112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  <c r="AA307" s="96"/>
    </row>
    <row r="308" ht="15.75" customHeight="1">
      <c r="A308" s="97" t="s">
        <v>1552</v>
      </c>
      <c r="B308" s="109">
        <v>46081.56237195602</v>
      </c>
      <c r="C308" s="110">
        <v>0.5618055555555556</v>
      </c>
      <c r="D308" s="103" t="s">
        <v>195</v>
      </c>
      <c r="E308" s="111">
        <v>1.0</v>
      </c>
      <c r="F308" s="112">
        <v>2200.0</v>
      </c>
      <c r="G308" s="103">
        <v>2200.0</v>
      </c>
      <c r="H308" s="112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  <c r="AA308" s="96"/>
    </row>
    <row r="309" ht="15.75" customHeight="1">
      <c r="A309" s="97" t="s">
        <v>1552</v>
      </c>
      <c r="B309" s="109">
        <v>46081.56237195602</v>
      </c>
      <c r="C309" s="110">
        <v>0.5618055555555556</v>
      </c>
      <c r="D309" s="103" t="s">
        <v>415</v>
      </c>
      <c r="E309" s="111">
        <v>1.0</v>
      </c>
      <c r="F309" s="112">
        <v>2000.0</v>
      </c>
      <c r="G309" s="103">
        <v>2000.0</v>
      </c>
      <c r="H309" s="112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  <c r="AA309" s="96"/>
    </row>
    <row r="310" ht="15.75" customHeight="1">
      <c r="A310" s="97" t="s">
        <v>1552</v>
      </c>
      <c r="B310" s="109">
        <v>46081.56237195602</v>
      </c>
      <c r="C310" s="110">
        <v>0.5618055555555556</v>
      </c>
      <c r="D310" s="103" t="s">
        <v>1275</v>
      </c>
      <c r="E310" s="111">
        <v>1.0</v>
      </c>
      <c r="F310" s="112">
        <v>1000.0</v>
      </c>
      <c r="G310" s="103">
        <v>1000.0</v>
      </c>
      <c r="H310" s="112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  <c r="AA310" s="96"/>
    </row>
    <row r="311" ht="15.75" customHeight="1">
      <c r="A311" s="111"/>
      <c r="B311" s="113">
        <v>46081.56237195602</v>
      </c>
      <c r="C311" s="114">
        <v>0.5618055555555556</v>
      </c>
      <c r="D311" s="103" t="s">
        <v>1554</v>
      </c>
      <c r="E311" s="111">
        <v>8.0</v>
      </c>
      <c r="F311" s="103" t="s">
        <v>1297</v>
      </c>
      <c r="G311" s="103" t="s">
        <v>1406</v>
      </c>
      <c r="H311" s="112">
        <v>28200.0</v>
      </c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  <c r="AA311" s="96"/>
    </row>
    <row r="312" ht="15.75" customHeight="1">
      <c r="A312" s="97" t="s">
        <v>1555</v>
      </c>
      <c r="B312" s="109">
        <v>46081.64598759259</v>
      </c>
      <c r="C312" s="110">
        <v>0.6458333333333334</v>
      </c>
      <c r="D312" s="103" t="s">
        <v>1556</v>
      </c>
      <c r="E312" s="115">
        <v>0.36</v>
      </c>
      <c r="F312" s="112">
        <v>1800.0</v>
      </c>
      <c r="G312" s="103">
        <v>1800.0</v>
      </c>
      <c r="H312" s="112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  <c r="AA312" s="96"/>
    </row>
    <row r="313" ht="15.75" customHeight="1">
      <c r="A313" s="97" t="s">
        <v>1555</v>
      </c>
      <c r="B313" s="109">
        <v>46081.64598759259</v>
      </c>
      <c r="C313" s="110">
        <v>0.6458333333333334</v>
      </c>
      <c r="D313" s="103" t="s">
        <v>1557</v>
      </c>
      <c r="E313" s="115">
        <v>1.205</v>
      </c>
      <c r="F313" s="112">
        <v>4218.0</v>
      </c>
      <c r="G313" s="103">
        <v>4218.0</v>
      </c>
      <c r="H313" s="112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  <c r="AA313" s="96"/>
    </row>
    <row r="314" ht="15.75" customHeight="1">
      <c r="A314" s="97" t="s">
        <v>1555</v>
      </c>
      <c r="B314" s="109">
        <v>46081.64598759259</v>
      </c>
      <c r="C314" s="110">
        <v>0.6458333333333334</v>
      </c>
      <c r="D314" s="103" t="s">
        <v>1275</v>
      </c>
      <c r="E314" s="111">
        <v>1.0</v>
      </c>
      <c r="F314" s="112">
        <v>1000.0</v>
      </c>
      <c r="G314" s="103">
        <v>1000.0</v>
      </c>
      <c r="H314" s="112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  <c r="AA314" s="96"/>
    </row>
    <row r="315" ht="15.75" customHeight="1">
      <c r="A315" s="111"/>
      <c r="B315" s="113">
        <v>46081.64598759259</v>
      </c>
      <c r="C315" s="114">
        <v>0.6458333333333334</v>
      </c>
      <c r="D315" s="103" t="s">
        <v>1558</v>
      </c>
      <c r="E315" s="111">
        <v>3.0</v>
      </c>
      <c r="F315" s="103" t="s">
        <v>1383</v>
      </c>
      <c r="G315" s="103" t="s">
        <v>1406</v>
      </c>
      <c r="H315" s="112">
        <v>7018.0</v>
      </c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  <c r="AA315" s="96"/>
    </row>
    <row r="316" ht="15.75" customHeight="1">
      <c r="A316" s="97" t="s">
        <v>1559</v>
      </c>
      <c r="B316" s="109">
        <v>46081.64826115741</v>
      </c>
      <c r="C316" s="110">
        <v>0.6479166666666667</v>
      </c>
      <c r="D316" s="103" t="s">
        <v>264</v>
      </c>
      <c r="E316" s="111">
        <v>1.0</v>
      </c>
      <c r="F316" s="112">
        <v>3500.0</v>
      </c>
      <c r="G316" s="103">
        <v>3500.0</v>
      </c>
      <c r="H316" s="112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  <c r="AA316" s="96"/>
    </row>
    <row r="317" ht="15.75" customHeight="1">
      <c r="A317" s="97" t="s">
        <v>1559</v>
      </c>
      <c r="B317" s="109">
        <v>46081.64826115741</v>
      </c>
      <c r="C317" s="110">
        <v>0.6479166666666667</v>
      </c>
      <c r="D317" s="103" t="s">
        <v>76</v>
      </c>
      <c r="E317" s="111">
        <v>1.0</v>
      </c>
      <c r="F317" s="112">
        <v>2000.0</v>
      </c>
      <c r="G317" s="103">
        <v>2000.0</v>
      </c>
      <c r="H317" s="112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  <c r="AA317" s="96"/>
    </row>
    <row r="318" ht="15.75" customHeight="1">
      <c r="A318" s="111"/>
      <c r="B318" s="113">
        <v>46081.64826115741</v>
      </c>
      <c r="C318" s="114">
        <v>0.6479166666666667</v>
      </c>
      <c r="D318" s="103" t="s">
        <v>1560</v>
      </c>
      <c r="E318" s="111">
        <v>2.0</v>
      </c>
      <c r="F318" s="103" t="s">
        <v>1297</v>
      </c>
      <c r="G318" s="103" t="s">
        <v>1406</v>
      </c>
      <c r="H318" s="112">
        <v>5500.0</v>
      </c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  <c r="AA318" s="96"/>
    </row>
    <row r="319" ht="15.75" customHeight="1">
      <c r="A319" s="97" t="s">
        <v>1561</v>
      </c>
      <c r="B319" s="109">
        <v>46081.68935553241</v>
      </c>
      <c r="C319" s="110">
        <v>0.6888888888888889</v>
      </c>
      <c r="D319" s="103" t="s">
        <v>356</v>
      </c>
      <c r="E319" s="111">
        <v>4.0</v>
      </c>
      <c r="F319" s="112">
        <v>3500.0</v>
      </c>
      <c r="G319" s="103">
        <v>14000.0</v>
      </c>
      <c r="H319" s="112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  <c r="AA319" s="96"/>
    </row>
    <row r="320" ht="15.75" customHeight="1">
      <c r="A320" s="111"/>
      <c r="B320" s="113">
        <v>46081.68935553241</v>
      </c>
      <c r="C320" s="114">
        <v>0.6888888888888889</v>
      </c>
      <c r="D320" s="103" t="s">
        <v>1562</v>
      </c>
      <c r="E320" s="111">
        <v>4.0</v>
      </c>
      <c r="F320" s="103" t="s">
        <v>1383</v>
      </c>
      <c r="G320" s="103" t="s">
        <v>1406</v>
      </c>
      <c r="H320" s="112">
        <v>14000.0</v>
      </c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  <c r="AA320" s="96"/>
    </row>
    <row r="321" ht="15.75" customHeight="1">
      <c r="A321" s="97" t="s">
        <v>1563</v>
      </c>
      <c r="B321" s="109">
        <v>46081.69642777778</v>
      </c>
      <c r="C321" s="110">
        <v>0.6958333333333333</v>
      </c>
      <c r="D321" s="103" t="s">
        <v>1564</v>
      </c>
      <c r="E321" s="115">
        <v>1.0</v>
      </c>
      <c r="F321" s="112">
        <v>4000.0</v>
      </c>
      <c r="G321" s="103">
        <v>4000.0</v>
      </c>
      <c r="H321" s="112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  <c r="AA321" s="96"/>
    </row>
    <row r="322" ht="15.75" customHeight="1">
      <c r="A322" s="97" t="s">
        <v>1563</v>
      </c>
      <c r="B322" s="109">
        <v>46081.69642777778</v>
      </c>
      <c r="C322" s="110">
        <v>0.6958333333333333</v>
      </c>
      <c r="D322" s="103" t="s">
        <v>572</v>
      </c>
      <c r="E322" s="111">
        <v>3.0</v>
      </c>
      <c r="F322" s="112">
        <v>3200.0</v>
      </c>
      <c r="G322" s="103">
        <v>9600.0</v>
      </c>
      <c r="H322" s="112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  <c r="AA322" s="96"/>
    </row>
    <row r="323" ht="15.75" customHeight="1">
      <c r="A323" s="111"/>
      <c r="B323" s="113">
        <v>46081.69642777778</v>
      </c>
      <c r="C323" s="114">
        <v>0.6958333333333333</v>
      </c>
      <c r="D323" s="103" t="s">
        <v>1565</v>
      </c>
      <c r="E323" s="111">
        <v>4.0</v>
      </c>
      <c r="F323" s="103" t="s">
        <v>1297</v>
      </c>
      <c r="G323" s="103" t="s">
        <v>1406</v>
      </c>
      <c r="H323" s="112">
        <v>13600.0</v>
      </c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  <c r="AA323" s="96"/>
    </row>
    <row r="324" ht="15.75" customHeight="1">
      <c r="A324" s="97" t="s">
        <v>1566</v>
      </c>
      <c r="B324" s="109">
        <v>46081.70132304398</v>
      </c>
      <c r="C324" s="110">
        <v>0.7006944444444444</v>
      </c>
      <c r="D324" s="103" t="s">
        <v>631</v>
      </c>
      <c r="E324" s="111">
        <v>1.0</v>
      </c>
      <c r="F324" s="112">
        <v>2500.0</v>
      </c>
      <c r="G324" s="103">
        <v>2500.0</v>
      </c>
      <c r="H324" s="112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  <c r="AA324" s="96"/>
    </row>
    <row r="325" ht="15.75" customHeight="1">
      <c r="A325" s="111"/>
      <c r="B325" s="113">
        <v>46081.70132304398</v>
      </c>
      <c r="C325" s="114">
        <v>0.7006944444444444</v>
      </c>
      <c r="D325" s="103" t="s">
        <v>1567</v>
      </c>
      <c r="E325" s="111">
        <v>1.0</v>
      </c>
      <c r="F325" s="103" t="s">
        <v>1297</v>
      </c>
      <c r="G325" s="103" t="s">
        <v>1406</v>
      </c>
      <c r="H325" s="112">
        <v>2500.0</v>
      </c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  <c r="AA325" s="96"/>
    </row>
    <row r="326" ht="15.75" customHeight="1">
      <c r="A326" s="97" t="s">
        <v>1568</v>
      </c>
      <c r="B326" s="109">
        <v>46081.70157435185</v>
      </c>
      <c r="C326" s="110">
        <v>0.7013888888888888</v>
      </c>
      <c r="D326" s="103" t="s">
        <v>495</v>
      </c>
      <c r="E326" s="111">
        <v>1.0</v>
      </c>
      <c r="F326" s="112">
        <v>800.0</v>
      </c>
      <c r="G326" s="103">
        <v>800.0</v>
      </c>
      <c r="H326" s="112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  <c r="AA326" s="96"/>
    </row>
    <row r="327" ht="15.75" customHeight="1">
      <c r="A327" s="111"/>
      <c r="B327" s="113">
        <v>46081.70157435185</v>
      </c>
      <c r="C327" s="114">
        <v>0.7013888888888888</v>
      </c>
      <c r="D327" s="103" t="s">
        <v>1569</v>
      </c>
      <c r="E327" s="111">
        <v>1.0</v>
      </c>
      <c r="F327" s="103" t="s">
        <v>1297</v>
      </c>
      <c r="G327" s="103" t="s">
        <v>1406</v>
      </c>
      <c r="H327" s="112">
        <v>800.0</v>
      </c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  <c r="AA327" s="96"/>
    </row>
    <row r="328" ht="15.75" customHeight="1">
      <c r="A328" s="97" t="s">
        <v>1570</v>
      </c>
      <c r="B328" s="109">
        <v>46081.70393131945</v>
      </c>
      <c r="C328" s="110">
        <v>0.7034722222222223</v>
      </c>
      <c r="D328" s="103" t="s">
        <v>1275</v>
      </c>
      <c r="E328" s="111">
        <v>1.0</v>
      </c>
      <c r="F328" s="112">
        <v>1000.0</v>
      </c>
      <c r="G328" s="103">
        <v>1000.0</v>
      </c>
      <c r="H328" s="112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  <c r="AA328" s="96"/>
    </row>
    <row r="329" ht="15.75" customHeight="1">
      <c r="A329" s="111"/>
      <c r="B329" s="113">
        <v>46081.70393131945</v>
      </c>
      <c r="C329" s="114">
        <v>0.7034722222222223</v>
      </c>
      <c r="D329" s="103" t="s">
        <v>1571</v>
      </c>
      <c r="E329" s="111">
        <v>1.0</v>
      </c>
      <c r="F329" s="103" t="s">
        <v>1297</v>
      </c>
      <c r="G329" s="103" t="s">
        <v>1406</v>
      </c>
      <c r="H329" s="112">
        <v>1000.0</v>
      </c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  <c r="AA329" s="96"/>
    </row>
    <row r="330" ht="15.75" customHeight="1">
      <c r="A330" s="97" t="s">
        <v>1572</v>
      </c>
      <c r="B330" s="109">
        <v>46081.7295396875</v>
      </c>
      <c r="C330" s="110">
        <v>0.7291666666666666</v>
      </c>
      <c r="D330" s="103" t="s">
        <v>705</v>
      </c>
      <c r="E330" s="111">
        <v>1.0</v>
      </c>
      <c r="F330" s="112">
        <v>2500.0</v>
      </c>
      <c r="G330" s="103">
        <v>2500.0</v>
      </c>
      <c r="H330" s="112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  <c r="AA330" s="96"/>
    </row>
    <row r="331" ht="15.75" customHeight="1">
      <c r="A331" s="97" t="s">
        <v>1572</v>
      </c>
      <c r="B331" s="109">
        <v>46081.7295396875</v>
      </c>
      <c r="C331" s="110">
        <v>0.7291666666666666</v>
      </c>
      <c r="D331" s="103" t="s">
        <v>127</v>
      </c>
      <c r="E331" s="111">
        <v>1.0</v>
      </c>
      <c r="F331" s="112">
        <v>3000.0</v>
      </c>
      <c r="G331" s="103">
        <v>3000.0</v>
      </c>
      <c r="H331" s="112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  <c r="AA331" s="96"/>
    </row>
    <row r="332" ht="15.75" customHeight="1">
      <c r="A332" s="97" t="s">
        <v>1572</v>
      </c>
      <c r="B332" s="109">
        <v>46081.7295396875</v>
      </c>
      <c r="C332" s="110">
        <v>0.7291666666666666</v>
      </c>
      <c r="D332" s="103" t="s">
        <v>594</v>
      </c>
      <c r="E332" s="111">
        <v>1.0</v>
      </c>
      <c r="F332" s="112">
        <v>2500.0</v>
      </c>
      <c r="G332" s="103">
        <v>2500.0</v>
      </c>
      <c r="H332" s="112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  <c r="AA332" s="96"/>
    </row>
    <row r="333" ht="15.75" customHeight="1">
      <c r="A333" s="97" t="s">
        <v>1572</v>
      </c>
      <c r="B333" s="109">
        <v>46081.7295396875</v>
      </c>
      <c r="C333" s="110">
        <v>0.7291666666666666</v>
      </c>
      <c r="D333" s="103" t="s">
        <v>747</v>
      </c>
      <c r="E333" s="111">
        <v>1.0</v>
      </c>
      <c r="F333" s="112">
        <v>6000.0</v>
      </c>
      <c r="G333" s="103">
        <v>6000.0</v>
      </c>
      <c r="H333" s="112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  <c r="AA333" s="96"/>
    </row>
    <row r="334" ht="15.75" customHeight="1">
      <c r="A334" s="97" t="s">
        <v>1572</v>
      </c>
      <c r="B334" s="109">
        <v>46081.7295396875</v>
      </c>
      <c r="C334" s="110">
        <v>0.7291666666666666</v>
      </c>
      <c r="D334" s="103" t="s">
        <v>596</v>
      </c>
      <c r="E334" s="111">
        <v>1.0</v>
      </c>
      <c r="F334" s="112">
        <v>4500.0</v>
      </c>
      <c r="G334" s="103">
        <v>4500.0</v>
      </c>
      <c r="H334" s="112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  <c r="AA334" s="96"/>
    </row>
    <row r="335" ht="15.75" customHeight="1">
      <c r="A335" s="97" t="s">
        <v>1572</v>
      </c>
      <c r="B335" s="109">
        <v>46081.7295396875</v>
      </c>
      <c r="C335" s="110">
        <v>0.7291666666666666</v>
      </c>
      <c r="D335" s="103" t="s">
        <v>743</v>
      </c>
      <c r="E335" s="111">
        <v>1.0</v>
      </c>
      <c r="F335" s="112">
        <v>3000.0</v>
      </c>
      <c r="G335" s="103">
        <v>3000.0</v>
      </c>
      <c r="H335" s="112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  <c r="AA335" s="96"/>
    </row>
    <row r="336" ht="15.75" customHeight="1">
      <c r="A336" s="111"/>
      <c r="B336" s="113">
        <v>46081.7295396875</v>
      </c>
      <c r="C336" s="114">
        <v>0.7291666666666666</v>
      </c>
      <c r="D336" s="103" t="s">
        <v>1573</v>
      </c>
      <c r="E336" s="111">
        <v>6.0</v>
      </c>
      <c r="F336" s="103" t="s">
        <v>1383</v>
      </c>
      <c r="G336" s="103" t="s">
        <v>1406</v>
      </c>
      <c r="H336" s="112">
        <v>21500.0</v>
      </c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  <c r="AA336" s="96"/>
    </row>
    <row r="337" ht="15.75" customHeight="1">
      <c r="A337" s="97" t="s">
        <v>1574</v>
      </c>
      <c r="B337" s="109">
        <v>46081.77785684028</v>
      </c>
      <c r="C337" s="110">
        <v>0.7777777777777778</v>
      </c>
      <c r="D337" s="103" t="s">
        <v>1277</v>
      </c>
      <c r="E337" s="111">
        <v>2.0</v>
      </c>
      <c r="F337" s="112">
        <v>4300.0</v>
      </c>
      <c r="G337" s="103">
        <v>8600.0</v>
      </c>
      <c r="H337" s="112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  <c r="AA337" s="96"/>
    </row>
    <row r="338" ht="15.75" customHeight="1">
      <c r="A338" s="97" t="s">
        <v>1574</v>
      </c>
      <c r="B338" s="109">
        <v>46081.77785684028</v>
      </c>
      <c r="C338" s="110">
        <v>0.7777777777777778</v>
      </c>
      <c r="D338" s="103" t="s">
        <v>360</v>
      </c>
      <c r="E338" s="111">
        <v>2.0</v>
      </c>
      <c r="F338" s="112">
        <v>2000.0</v>
      </c>
      <c r="G338" s="103">
        <v>4000.0</v>
      </c>
      <c r="H338" s="112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  <c r="AA338" s="96"/>
    </row>
    <row r="339" ht="15.75" customHeight="1">
      <c r="A339" s="97" t="s">
        <v>1574</v>
      </c>
      <c r="B339" s="109">
        <v>46081.77785684028</v>
      </c>
      <c r="C339" s="110">
        <v>0.7777777777777778</v>
      </c>
      <c r="D339" s="103" t="s">
        <v>1575</v>
      </c>
      <c r="E339" s="115">
        <v>0.54</v>
      </c>
      <c r="F339" s="112">
        <v>2160.0</v>
      </c>
      <c r="G339" s="103">
        <v>2160.0</v>
      </c>
      <c r="H339" s="112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  <c r="AA339" s="96"/>
    </row>
    <row r="340" ht="15.75" customHeight="1">
      <c r="A340" s="97" t="s">
        <v>1574</v>
      </c>
      <c r="B340" s="109">
        <v>46081.77785684028</v>
      </c>
      <c r="C340" s="110">
        <v>0.7777777777777778</v>
      </c>
      <c r="D340" s="103" t="s">
        <v>629</v>
      </c>
      <c r="E340" s="111">
        <v>1.0</v>
      </c>
      <c r="F340" s="112">
        <v>2000.0</v>
      </c>
      <c r="G340" s="103">
        <v>2000.0</v>
      </c>
      <c r="H340" s="112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  <c r="AA340" s="96"/>
    </row>
    <row r="341" ht="15.75" customHeight="1">
      <c r="A341" s="111"/>
      <c r="B341" s="113">
        <v>46081.77785684028</v>
      </c>
      <c r="C341" s="114">
        <v>0.7777777777777778</v>
      </c>
      <c r="D341" s="103" t="s">
        <v>1576</v>
      </c>
      <c r="E341" s="111">
        <v>6.0</v>
      </c>
      <c r="F341" s="103" t="s">
        <v>1297</v>
      </c>
      <c r="G341" s="103" t="s">
        <v>1406</v>
      </c>
      <c r="H341" s="112">
        <v>16760.0</v>
      </c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  <c r="AA341" s="96"/>
    </row>
    <row r="342" ht="15.75" customHeight="1">
      <c r="A342" s="97" t="s">
        <v>1577</v>
      </c>
      <c r="B342" s="109">
        <v>46081.77897185185</v>
      </c>
      <c r="C342" s="110">
        <v>0.7784722222222222</v>
      </c>
      <c r="D342" s="103" t="s">
        <v>72</v>
      </c>
      <c r="E342" s="111">
        <v>1.0</v>
      </c>
      <c r="F342" s="112">
        <v>2000.0</v>
      </c>
      <c r="G342" s="103">
        <v>2000.0</v>
      </c>
      <c r="H342" s="112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  <c r="AA342" s="96"/>
    </row>
    <row r="343" ht="15.75" customHeight="1">
      <c r="A343" s="111"/>
      <c r="B343" s="113">
        <v>46081.77897185185</v>
      </c>
      <c r="C343" s="114">
        <v>0.7784722222222222</v>
      </c>
      <c r="D343" s="103" t="s">
        <v>1578</v>
      </c>
      <c r="E343" s="111">
        <v>1.0</v>
      </c>
      <c r="F343" s="103" t="s">
        <v>1297</v>
      </c>
      <c r="G343" s="103" t="s">
        <v>1406</v>
      </c>
      <c r="H343" s="112">
        <v>2000.0</v>
      </c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  <c r="AA343" s="96"/>
    </row>
    <row r="344" ht="15.75" customHeight="1">
      <c r="A344" s="97" t="s">
        <v>1579</v>
      </c>
      <c r="B344" s="109">
        <v>46081.81928445602</v>
      </c>
      <c r="C344" s="110">
        <v>0.81875</v>
      </c>
      <c r="D344" s="103" t="s">
        <v>594</v>
      </c>
      <c r="E344" s="111">
        <v>1.0</v>
      </c>
      <c r="F344" s="112">
        <v>2500.0</v>
      </c>
      <c r="G344" s="103">
        <v>2500.0</v>
      </c>
      <c r="H344" s="112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  <c r="AA344" s="96"/>
    </row>
    <row r="345" ht="15.75" customHeight="1">
      <c r="A345" s="111"/>
      <c r="B345" s="113">
        <v>46081.81928445602</v>
      </c>
      <c r="C345" s="114">
        <v>0.81875</v>
      </c>
      <c r="D345" s="103" t="s">
        <v>1580</v>
      </c>
      <c r="E345" s="111">
        <v>1.0</v>
      </c>
      <c r="F345" s="103" t="s">
        <v>1297</v>
      </c>
      <c r="G345" s="103" t="s">
        <v>1406</v>
      </c>
      <c r="H345" s="112">
        <v>2500.0</v>
      </c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  <c r="AA345" s="96"/>
    </row>
    <row r="346" ht="15.75" customHeight="1">
      <c r="A346" s="97" t="s">
        <v>1581</v>
      </c>
      <c r="B346" s="109">
        <v>46081.82633762732</v>
      </c>
      <c r="C346" s="110">
        <v>0.8256944444444444</v>
      </c>
      <c r="D346" s="103" t="s">
        <v>187</v>
      </c>
      <c r="E346" s="111">
        <v>1.0</v>
      </c>
      <c r="F346" s="112">
        <v>900.0</v>
      </c>
      <c r="G346" s="103">
        <v>900.0</v>
      </c>
      <c r="H346" s="112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  <c r="AA346" s="96"/>
    </row>
    <row r="347" ht="15.75" customHeight="1">
      <c r="A347" s="97" t="s">
        <v>1581</v>
      </c>
      <c r="B347" s="109">
        <v>46081.82633762732</v>
      </c>
      <c r="C347" s="110">
        <v>0.8256944444444444</v>
      </c>
      <c r="D347" s="103" t="s">
        <v>101</v>
      </c>
      <c r="E347" s="111">
        <v>1.0</v>
      </c>
      <c r="F347" s="112">
        <v>2900.0</v>
      </c>
      <c r="G347" s="103">
        <v>2900.0</v>
      </c>
      <c r="H347" s="112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  <c r="AA347" s="96"/>
    </row>
    <row r="348" ht="15.75" customHeight="1">
      <c r="A348" s="97" t="s">
        <v>1581</v>
      </c>
      <c r="B348" s="109">
        <v>46081.82633762732</v>
      </c>
      <c r="C348" s="110">
        <v>0.8256944444444444</v>
      </c>
      <c r="D348" s="103" t="s">
        <v>262</v>
      </c>
      <c r="E348" s="111">
        <v>1.0</v>
      </c>
      <c r="F348" s="112">
        <v>3500.0</v>
      </c>
      <c r="G348" s="103">
        <v>3500.0</v>
      </c>
      <c r="H348" s="112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  <c r="AA348" s="96"/>
    </row>
    <row r="349" ht="15.75" customHeight="1">
      <c r="A349" s="111"/>
      <c r="B349" s="113">
        <v>46081.82633762732</v>
      </c>
      <c r="C349" s="114">
        <v>0.8256944444444444</v>
      </c>
      <c r="D349" s="103" t="s">
        <v>1582</v>
      </c>
      <c r="E349" s="111">
        <v>3.0</v>
      </c>
      <c r="F349" s="103" t="s">
        <v>1297</v>
      </c>
      <c r="G349" s="103" t="s">
        <v>1406</v>
      </c>
      <c r="H349" s="112">
        <v>7300.0</v>
      </c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  <c r="AA349" s="96"/>
    </row>
    <row r="350" ht="15.75" customHeight="1">
      <c r="A350" s="97" t="s">
        <v>1583</v>
      </c>
      <c r="B350" s="109">
        <v>46081.86258128472</v>
      </c>
      <c r="C350" s="110">
        <v>0.8625</v>
      </c>
      <c r="D350" s="103" t="s">
        <v>360</v>
      </c>
      <c r="E350" s="111">
        <v>2.0</v>
      </c>
      <c r="F350" s="112">
        <v>2000.0</v>
      </c>
      <c r="G350" s="103">
        <v>4000.0</v>
      </c>
      <c r="H350" s="112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  <c r="AA350" s="96"/>
    </row>
    <row r="351" ht="15.75" customHeight="1">
      <c r="A351" s="97" t="s">
        <v>1583</v>
      </c>
      <c r="B351" s="109">
        <v>46081.86258128472</v>
      </c>
      <c r="C351" s="110">
        <v>0.8625</v>
      </c>
      <c r="D351" s="103" t="s">
        <v>1279</v>
      </c>
      <c r="E351" s="111">
        <v>1.0</v>
      </c>
      <c r="F351" s="112">
        <v>3500.0</v>
      </c>
      <c r="G351" s="103">
        <v>3500.0</v>
      </c>
      <c r="H351" s="112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  <c r="AA351" s="96"/>
    </row>
    <row r="352" ht="15.75" customHeight="1">
      <c r="A352" s="97" t="s">
        <v>1583</v>
      </c>
      <c r="B352" s="109">
        <v>46081.86258128472</v>
      </c>
      <c r="C352" s="110">
        <v>0.8625</v>
      </c>
      <c r="D352" s="103" t="s">
        <v>72</v>
      </c>
      <c r="E352" s="111">
        <v>1.0</v>
      </c>
      <c r="F352" s="112">
        <v>2000.0</v>
      </c>
      <c r="G352" s="103">
        <v>2000.0</v>
      </c>
      <c r="H352" s="112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  <c r="AA352" s="96"/>
    </row>
    <row r="353" ht="15.75" customHeight="1">
      <c r="A353" s="111"/>
      <c r="B353" s="113">
        <v>46081.86258128472</v>
      </c>
      <c r="C353" s="114">
        <v>0.8625</v>
      </c>
      <c r="D353" s="103" t="s">
        <v>1584</v>
      </c>
      <c r="E353" s="111">
        <v>4.0</v>
      </c>
      <c r="F353" s="103" t="s">
        <v>1383</v>
      </c>
      <c r="G353" s="103" t="s">
        <v>1406</v>
      </c>
      <c r="H353" s="112">
        <v>9500.0</v>
      </c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  <c r="AA353" s="96"/>
    </row>
    <row r="354" ht="15.75" customHeight="1">
      <c r="A354" s="97" t="s">
        <v>1585</v>
      </c>
      <c r="B354" s="109">
        <v>46081.86363208333</v>
      </c>
      <c r="C354" s="110">
        <v>0.8631944444444445</v>
      </c>
      <c r="D354" s="103" t="s">
        <v>1586</v>
      </c>
      <c r="E354" s="111">
        <v>1.0</v>
      </c>
      <c r="F354" s="112">
        <v>7000.0</v>
      </c>
      <c r="G354" s="103">
        <v>7000.0</v>
      </c>
      <c r="H354" s="112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  <c r="AA354" s="96"/>
    </row>
    <row r="355" ht="15.75" customHeight="1">
      <c r="A355" s="111"/>
      <c r="B355" s="113">
        <v>46081.86363208333</v>
      </c>
      <c r="C355" s="114">
        <v>0.8631944444444445</v>
      </c>
      <c r="D355" s="103" t="s">
        <v>1587</v>
      </c>
      <c r="E355" s="111">
        <v>1.0</v>
      </c>
      <c r="F355" s="103" t="s">
        <v>1383</v>
      </c>
      <c r="G355" s="103" t="s">
        <v>1406</v>
      </c>
      <c r="H355" s="112">
        <v>7000.0</v>
      </c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  <c r="AA355" s="96"/>
    </row>
    <row r="356" ht="15.75" customHeight="1">
      <c r="A356" s="97" t="s">
        <v>1588</v>
      </c>
      <c r="B356" s="109">
        <v>46081.86757109954</v>
      </c>
      <c r="C356" s="110">
        <v>0.8673611111111111</v>
      </c>
      <c r="D356" s="103" t="s">
        <v>1042</v>
      </c>
      <c r="E356" s="111">
        <v>2.0</v>
      </c>
      <c r="F356" s="112">
        <v>3000.0</v>
      </c>
      <c r="G356" s="103">
        <v>6000.0</v>
      </c>
      <c r="H356" s="112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  <c r="AA356" s="96"/>
    </row>
    <row r="357" ht="15.75" customHeight="1">
      <c r="A357" s="97" t="s">
        <v>1588</v>
      </c>
      <c r="B357" s="109">
        <v>46081.86757109954</v>
      </c>
      <c r="C357" s="110">
        <v>0.8673611111111111</v>
      </c>
      <c r="D357" s="103" t="s">
        <v>933</v>
      </c>
      <c r="E357" s="111">
        <v>1.0</v>
      </c>
      <c r="F357" s="112">
        <v>4000.0</v>
      </c>
      <c r="G357" s="103">
        <v>4000.0</v>
      </c>
      <c r="H357" s="112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  <c r="AA357" s="96"/>
    </row>
    <row r="358" ht="15.75" customHeight="1">
      <c r="A358" s="97" t="s">
        <v>1588</v>
      </c>
      <c r="B358" s="109">
        <v>46081.86757109954</v>
      </c>
      <c r="C358" s="110">
        <v>0.8673611111111111</v>
      </c>
      <c r="D358" s="103" t="s">
        <v>642</v>
      </c>
      <c r="E358" s="111">
        <v>1.0</v>
      </c>
      <c r="F358" s="112">
        <v>4000.0</v>
      </c>
      <c r="G358" s="103">
        <v>4000.0</v>
      </c>
      <c r="H358" s="112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  <c r="AA358" s="96"/>
    </row>
    <row r="359" ht="15.75" customHeight="1">
      <c r="A359" s="97" t="s">
        <v>1588</v>
      </c>
      <c r="B359" s="109">
        <v>46081.86757109954</v>
      </c>
      <c r="C359" s="110">
        <v>0.8673611111111111</v>
      </c>
      <c r="D359" s="103" t="s">
        <v>737</v>
      </c>
      <c r="E359" s="111">
        <v>1.0</v>
      </c>
      <c r="F359" s="112">
        <v>3200.0</v>
      </c>
      <c r="G359" s="103">
        <v>3200.0</v>
      </c>
      <c r="H359" s="112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  <c r="AA359" s="96"/>
    </row>
    <row r="360" ht="15.75" customHeight="1">
      <c r="A360" s="97" t="s">
        <v>1588</v>
      </c>
      <c r="B360" s="109">
        <v>46081.86757109954</v>
      </c>
      <c r="C360" s="110">
        <v>0.8673611111111111</v>
      </c>
      <c r="D360" s="103" t="s">
        <v>1548</v>
      </c>
      <c r="E360" s="115">
        <v>0.325</v>
      </c>
      <c r="F360" s="112">
        <v>1625.0</v>
      </c>
      <c r="G360" s="103">
        <v>1625.0</v>
      </c>
      <c r="H360" s="112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  <c r="AA360" s="96"/>
    </row>
    <row r="361" ht="15.75" customHeight="1">
      <c r="A361" s="97" t="s">
        <v>1588</v>
      </c>
      <c r="B361" s="109">
        <v>46081.86757109954</v>
      </c>
      <c r="C361" s="110">
        <v>0.8673611111111111</v>
      </c>
      <c r="D361" s="103" t="s">
        <v>195</v>
      </c>
      <c r="E361" s="111">
        <v>1.0</v>
      </c>
      <c r="F361" s="112">
        <v>2200.0</v>
      </c>
      <c r="G361" s="103">
        <v>2200.0</v>
      </c>
      <c r="H361" s="112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  <c r="AA361" s="96"/>
    </row>
    <row r="362" ht="15.75" customHeight="1">
      <c r="A362" s="111"/>
      <c r="B362" s="113">
        <v>46081.86757109954</v>
      </c>
      <c r="C362" s="114">
        <v>0.8673611111111111</v>
      </c>
      <c r="D362" s="103" t="s">
        <v>1589</v>
      </c>
      <c r="E362" s="111">
        <v>7.0</v>
      </c>
      <c r="F362" s="103" t="s">
        <v>1297</v>
      </c>
      <c r="G362" s="103" t="s">
        <v>1406</v>
      </c>
      <c r="H362" s="112">
        <v>21025.0</v>
      </c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  <c r="AA362" s="96"/>
    </row>
    <row r="363" ht="15.75" customHeight="1">
      <c r="A363" s="97" t="s">
        <v>1590</v>
      </c>
      <c r="B363" s="109">
        <v>46081.86911028935</v>
      </c>
      <c r="C363" s="110">
        <v>0.86875</v>
      </c>
      <c r="D363" s="103" t="s">
        <v>187</v>
      </c>
      <c r="E363" s="111">
        <v>1.0</v>
      </c>
      <c r="F363" s="112">
        <v>900.0</v>
      </c>
      <c r="G363" s="103">
        <v>900.0</v>
      </c>
      <c r="H363" s="112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  <c r="AA363" s="96"/>
    </row>
    <row r="364" ht="15.75" customHeight="1">
      <c r="A364" s="97" t="s">
        <v>1590</v>
      </c>
      <c r="B364" s="109">
        <v>46081.86911028935</v>
      </c>
      <c r="C364" s="110">
        <v>0.86875</v>
      </c>
      <c r="D364" s="103" t="s">
        <v>148</v>
      </c>
      <c r="E364" s="111">
        <v>1.0</v>
      </c>
      <c r="F364" s="112">
        <v>1600.0</v>
      </c>
      <c r="G364" s="103">
        <v>1600.0</v>
      </c>
      <c r="H364" s="112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  <c r="AA364" s="96"/>
    </row>
    <row r="365" ht="15.75" customHeight="1">
      <c r="A365" s="97" t="s">
        <v>1590</v>
      </c>
      <c r="B365" s="109">
        <v>46081.86911028935</v>
      </c>
      <c r="C365" s="110">
        <v>0.86875</v>
      </c>
      <c r="D365" s="103" t="s">
        <v>236</v>
      </c>
      <c r="E365" s="111">
        <v>1.0</v>
      </c>
      <c r="F365" s="112">
        <v>1500.0</v>
      </c>
      <c r="G365" s="103">
        <v>1500.0</v>
      </c>
      <c r="H365" s="112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  <c r="AA365" s="96"/>
    </row>
    <row r="366" ht="15.75" customHeight="1">
      <c r="A366" s="97" t="s">
        <v>1590</v>
      </c>
      <c r="B366" s="109">
        <v>46081.86911028935</v>
      </c>
      <c r="C366" s="110">
        <v>0.86875</v>
      </c>
      <c r="D366" s="103" t="s">
        <v>967</v>
      </c>
      <c r="E366" s="111">
        <v>1.0</v>
      </c>
      <c r="F366" s="112">
        <v>1500.0</v>
      </c>
      <c r="G366" s="103">
        <v>1500.0</v>
      </c>
      <c r="H366" s="112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  <c r="AA366" s="96"/>
    </row>
    <row r="367" ht="15.75" customHeight="1">
      <c r="A367" s="97" t="s">
        <v>1590</v>
      </c>
      <c r="B367" s="109">
        <v>46081.86911028935</v>
      </c>
      <c r="C367" s="110">
        <v>0.86875</v>
      </c>
      <c r="D367" s="103" t="s">
        <v>54</v>
      </c>
      <c r="E367" s="111">
        <v>1.0</v>
      </c>
      <c r="F367" s="112">
        <v>1000.0</v>
      </c>
      <c r="G367" s="103">
        <v>1000.0</v>
      </c>
      <c r="H367" s="112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  <c r="AA367" s="96"/>
    </row>
    <row r="368" ht="15.75" customHeight="1">
      <c r="A368" s="97" t="s">
        <v>1590</v>
      </c>
      <c r="B368" s="109">
        <v>46081.86911028935</v>
      </c>
      <c r="C368" s="110">
        <v>0.86875</v>
      </c>
      <c r="D368" s="103" t="s">
        <v>58</v>
      </c>
      <c r="E368" s="111">
        <v>1.0</v>
      </c>
      <c r="F368" s="112">
        <v>1000.0</v>
      </c>
      <c r="G368" s="103">
        <v>1000.0</v>
      </c>
      <c r="H368" s="112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  <c r="AA368" s="96"/>
    </row>
    <row r="369" ht="15.75" customHeight="1">
      <c r="A369" s="111"/>
      <c r="B369" s="113">
        <v>46081.86911028935</v>
      </c>
      <c r="C369" s="114">
        <v>0.86875</v>
      </c>
      <c r="D369" s="103" t="s">
        <v>1591</v>
      </c>
      <c r="E369" s="111">
        <v>6.0</v>
      </c>
      <c r="F369" s="103" t="s">
        <v>1297</v>
      </c>
      <c r="G369" s="103" t="s">
        <v>1406</v>
      </c>
      <c r="H369" s="112">
        <v>7500.0</v>
      </c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  <c r="AA369" s="96"/>
    </row>
    <row r="370" ht="15.75" customHeight="1">
      <c r="A370" s="97" t="s">
        <v>1592</v>
      </c>
      <c r="B370" s="109">
        <v>46081.89174582176</v>
      </c>
      <c r="C370" s="110">
        <v>0.8916666666666667</v>
      </c>
      <c r="D370" s="103" t="s">
        <v>236</v>
      </c>
      <c r="E370" s="111">
        <v>1.0</v>
      </c>
      <c r="F370" s="112">
        <v>1500.0</v>
      </c>
      <c r="G370" s="103">
        <v>1500.0</v>
      </c>
      <c r="H370" s="112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  <c r="AA370" s="96"/>
    </row>
    <row r="371" ht="15.75" customHeight="1">
      <c r="A371" s="97" t="s">
        <v>1592</v>
      </c>
      <c r="B371" s="109">
        <v>46081.89174582176</v>
      </c>
      <c r="C371" s="110">
        <v>0.8916666666666667</v>
      </c>
      <c r="D371" s="103" t="s">
        <v>158</v>
      </c>
      <c r="E371" s="111">
        <v>3.0</v>
      </c>
      <c r="F371" s="112">
        <v>500.0</v>
      </c>
      <c r="G371" s="103">
        <v>1500.0</v>
      </c>
      <c r="H371" s="112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  <c r="AA371" s="96"/>
    </row>
    <row r="372" ht="15.75" customHeight="1">
      <c r="A372" s="97" t="s">
        <v>1592</v>
      </c>
      <c r="B372" s="109">
        <v>46081.89174582176</v>
      </c>
      <c r="C372" s="110">
        <v>0.8916666666666667</v>
      </c>
      <c r="D372" s="103" t="s">
        <v>1593</v>
      </c>
      <c r="E372" s="115">
        <v>0.17</v>
      </c>
      <c r="F372" s="112">
        <v>850.0</v>
      </c>
      <c r="G372" s="103">
        <v>850.0</v>
      </c>
      <c r="H372" s="112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  <c r="AA372" s="96"/>
    </row>
    <row r="373" ht="15.75" customHeight="1">
      <c r="A373" s="97" t="s">
        <v>1592</v>
      </c>
      <c r="B373" s="109">
        <v>46081.89174582176</v>
      </c>
      <c r="C373" s="110">
        <v>0.8916666666666667</v>
      </c>
      <c r="D373" s="103" t="s">
        <v>468</v>
      </c>
      <c r="E373" s="111">
        <v>1.0</v>
      </c>
      <c r="F373" s="112">
        <v>2300.0</v>
      </c>
      <c r="G373" s="103">
        <v>2300.0</v>
      </c>
      <c r="H373" s="112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  <c r="AA373" s="96"/>
    </row>
    <row r="374" ht="15.75" customHeight="1">
      <c r="A374" s="111"/>
      <c r="B374" s="113">
        <v>46081.89174582176</v>
      </c>
      <c r="C374" s="114">
        <v>0.8916666666666667</v>
      </c>
      <c r="D374" s="103" t="s">
        <v>1594</v>
      </c>
      <c r="E374" s="111">
        <v>6.0</v>
      </c>
      <c r="F374" s="103" t="s">
        <v>1297</v>
      </c>
      <c r="G374" s="103" t="s">
        <v>1406</v>
      </c>
      <c r="H374" s="112">
        <v>6150.0</v>
      </c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  <c r="AA374" s="96"/>
    </row>
    <row r="375" ht="15.75" customHeight="1">
      <c r="A375" s="97" t="s">
        <v>1595</v>
      </c>
      <c r="B375" s="109">
        <v>46081.89915271991</v>
      </c>
      <c r="C375" s="110">
        <v>0.8986111111111111</v>
      </c>
      <c r="D375" s="103" t="s">
        <v>1596</v>
      </c>
      <c r="E375" s="111">
        <v>1.0</v>
      </c>
      <c r="F375" s="112">
        <v>4000.0</v>
      </c>
      <c r="G375" s="103">
        <v>4000.0</v>
      </c>
      <c r="H375" s="112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  <c r="AA375" s="96"/>
    </row>
    <row r="376" ht="15.75" customHeight="1">
      <c r="A376" s="97" t="s">
        <v>1595</v>
      </c>
      <c r="B376" s="109">
        <v>46081.89915271991</v>
      </c>
      <c r="C376" s="110">
        <v>0.8986111111111111</v>
      </c>
      <c r="D376" s="103" t="s">
        <v>629</v>
      </c>
      <c r="E376" s="111">
        <v>1.0</v>
      </c>
      <c r="F376" s="112">
        <v>2000.0</v>
      </c>
      <c r="G376" s="103">
        <v>2000.0</v>
      </c>
      <c r="H376" s="112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  <c r="AA376" s="96"/>
    </row>
    <row r="377" ht="15.75" customHeight="1">
      <c r="A377" s="111"/>
      <c r="B377" s="113">
        <v>46081.89915271991</v>
      </c>
      <c r="C377" s="114">
        <v>0.8986111111111111</v>
      </c>
      <c r="D377" s="103" t="s">
        <v>1597</v>
      </c>
      <c r="E377" s="111">
        <v>2.0</v>
      </c>
      <c r="F377" s="103" t="s">
        <v>1383</v>
      </c>
      <c r="G377" s="103" t="s">
        <v>1406</v>
      </c>
      <c r="H377" s="112">
        <v>6500.0</v>
      </c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  <c r="AA377" s="96"/>
    </row>
    <row r="378" ht="15.75" customHeight="1">
      <c r="A378" s="97" t="s">
        <v>1598</v>
      </c>
      <c r="B378" s="109">
        <v>46082.53890768519</v>
      </c>
      <c r="C378" s="110">
        <v>0.5388888888888889</v>
      </c>
      <c r="D378" s="103" t="s">
        <v>1599</v>
      </c>
      <c r="E378" s="115">
        <v>0.485</v>
      </c>
      <c r="F378" s="112">
        <v>1940.0</v>
      </c>
      <c r="G378" s="103">
        <v>1940.0</v>
      </c>
      <c r="H378" s="112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  <c r="AA378" s="96"/>
    </row>
    <row r="379" ht="15.75" customHeight="1">
      <c r="A379" s="111"/>
      <c r="B379" s="113">
        <v>46082.53890768519</v>
      </c>
      <c r="C379" s="114">
        <v>0.5388888888888889</v>
      </c>
      <c r="D379" s="103" t="s">
        <v>1600</v>
      </c>
      <c r="E379" s="111">
        <v>1.0</v>
      </c>
      <c r="F379" s="103" t="s">
        <v>1383</v>
      </c>
      <c r="G379" s="103" t="s">
        <v>1406</v>
      </c>
      <c r="H379" s="112">
        <v>1940.0</v>
      </c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  <c r="AA379" s="96"/>
    </row>
    <row r="380" ht="15.75" customHeight="1">
      <c r="A380" s="97" t="s">
        <v>1601</v>
      </c>
      <c r="B380" s="109">
        <v>46082.54753692129</v>
      </c>
      <c r="C380" s="110">
        <v>0.5472222222222223</v>
      </c>
      <c r="D380" s="103" t="s">
        <v>525</v>
      </c>
      <c r="E380" s="111">
        <v>2.0</v>
      </c>
      <c r="F380" s="112">
        <v>900.0</v>
      </c>
      <c r="G380" s="103">
        <v>1800.0</v>
      </c>
      <c r="H380" s="112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  <c r="AA380" s="96"/>
    </row>
    <row r="381" ht="15.75" customHeight="1">
      <c r="A381" s="97" t="s">
        <v>1601</v>
      </c>
      <c r="B381" s="109">
        <v>46082.54753692129</v>
      </c>
      <c r="C381" s="110">
        <v>0.5472222222222223</v>
      </c>
      <c r="D381" s="103" t="s">
        <v>1602</v>
      </c>
      <c r="E381" s="115">
        <v>1.5</v>
      </c>
      <c r="F381" s="112">
        <v>3750.0</v>
      </c>
      <c r="G381" s="103">
        <v>3750.0</v>
      </c>
      <c r="H381" s="112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  <c r="AA381" s="96"/>
    </row>
    <row r="382" ht="15.75" customHeight="1">
      <c r="A382" s="111"/>
      <c r="B382" s="113">
        <v>46082.54753692129</v>
      </c>
      <c r="C382" s="114">
        <v>0.5472222222222223</v>
      </c>
      <c r="D382" s="103" t="s">
        <v>1603</v>
      </c>
      <c r="E382" s="111">
        <v>3.0</v>
      </c>
      <c r="F382" s="103" t="s">
        <v>1297</v>
      </c>
      <c r="G382" s="103" t="s">
        <v>1406</v>
      </c>
      <c r="H382" s="112">
        <v>5550.0</v>
      </c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  <c r="AA382" s="96"/>
    </row>
    <row r="383" ht="15.75" customHeight="1">
      <c r="A383" s="97" t="s">
        <v>1604</v>
      </c>
      <c r="B383" s="109">
        <v>46082.55873873843</v>
      </c>
      <c r="C383" s="110">
        <v>0.5583333333333333</v>
      </c>
      <c r="D383" s="103" t="s">
        <v>631</v>
      </c>
      <c r="E383" s="111">
        <v>3.0</v>
      </c>
      <c r="F383" s="112">
        <v>2500.0</v>
      </c>
      <c r="G383" s="103">
        <v>7500.0</v>
      </c>
      <c r="H383" s="112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  <c r="AA383" s="96"/>
    </row>
    <row r="384" ht="15.75" customHeight="1">
      <c r="A384" s="97" t="s">
        <v>1604</v>
      </c>
      <c r="B384" s="109">
        <v>46082.55873873843</v>
      </c>
      <c r="C384" s="110">
        <v>0.5583333333333333</v>
      </c>
      <c r="D384" s="103" t="s">
        <v>627</v>
      </c>
      <c r="E384" s="111">
        <v>1.0</v>
      </c>
      <c r="F384" s="112">
        <v>1800.0</v>
      </c>
      <c r="G384" s="103">
        <v>1800.0</v>
      </c>
      <c r="H384" s="112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  <c r="AA384" s="96"/>
    </row>
    <row r="385" ht="15.75" customHeight="1">
      <c r="A385" s="97" t="s">
        <v>1604</v>
      </c>
      <c r="B385" s="109">
        <v>46082.55873873843</v>
      </c>
      <c r="C385" s="110">
        <v>0.5583333333333333</v>
      </c>
      <c r="D385" s="103" t="s">
        <v>1275</v>
      </c>
      <c r="E385" s="111">
        <v>1.0</v>
      </c>
      <c r="F385" s="112">
        <v>1000.0</v>
      </c>
      <c r="G385" s="103">
        <v>1000.0</v>
      </c>
      <c r="H385" s="112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  <c r="AA385" s="96"/>
    </row>
    <row r="386" ht="15.75" customHeight="1">
      <c r="A386" s="111"/>
      <c r="B386" s="113">
        <v>46082.55873873843</v>
      </c>
      <c r="C386" s="114">
        <v>0.5583333333333333</v>
      </c>
      <c r="D386" s="103" t="s">
        <v>1605</v>
      </c>
      <c r="E386" s="111">
        <v>5.0</v>
      </c>
      <c r="F386" s="103" t="s">
        <v>1383</v>
      </c>
      <c r="G386" s="103" t="s">
        <v>1406</v>
      </c>
      <c r="H386" s="112">
        <v>10300.0</v>
      </c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  <c r="AA386" s="96"/>
    </row>
    <row r="387" ht="15.75" customHeight="1">
      <c r="A387" s="97" t="s">
        <v>1606</v>
      </c>
      <c r="B387" s="109">
        <v>46082.64633686343</v>
      </c>
      <c r="C387" s="110">
        <v>0.6458333333333334</v>
      </c>
      <c r="D387" s="103" t="s">
        <v>431</v>
      </c>
      <c r="E387" s="111">
        <v>1.0</v>
      </c>
      <c r="F387" s="112">
        <v>2000.0</v>
      </c>
      <c r="G387" s="103">
        <v>2000.0</v>
      </c>
      <c r="H387" s="112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  <c r="AA387" s="96"/>
    </row>
    <row r="388" ht="15.75" customHeight="1">
      <c r="A388" s="97" t="s">
        <v>1606</v>
      </c>
      <c r="B388" s="113">
        <v>46082.64633686343</v>
      </c>
      <c r="C388" s="114">
        <v>0.6458333333333334</v>
      </c>
      <c r="D388" s="103" t="s">
        <v>68</v>
      </c>
      <c r="E388" s="111">
        <v>1.0</v>
      </c>
      <c r="F388" s="103">
        <v>2500.0</v>
      </c>
      <c r="G388" s="103">
        <v>2500.0</v>
      </c>
      <c r="H388" s="112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  <c r="AA388" s="96"/>
    </row>
    <row r="389" ht="15.75" customHeight="1">
      <c r="A389" s="97" t="s">
        <v>1606</v>
      </c>
      <c r="B389" s="109">
        <v>46082.64633686343</v>
      </c>
      <c r="C389" s="110">
        <v>0.6458333333333334</v>
      </c>
      <c r="D389" s="103" t="s">
        <v>453</v>
      </c>
      <c r="E389" s="111">
        <v>1.0</v>
      </c>
      <c r="F389" s="112">
        <v>1600.0</v>
      </c>
      <c r="G389" s="103">
        <v>1600.0</v>
      </c>
      <c r="H389" s="112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  <c r="AA389" s="96"/>
    </row>
    <row r="390" ht="15.75" customHeight="1">
      <c r="A390" s="97"/>
      <c r="B390" s="113">
        <v>46082.64633686343</v>
      </c>
      <c r="C390" s="114">
        <v>0.6458333333333334</v>
      </c>
      <c r="D390" s="103" t="s">
        <v>1607</v>
      </c>
      <c r="E390" s="111">
        <v>3.0</v>
      </c>
      <c r="F390" s="103" t="s">
        <v>1297</v>
      </c>
      <c r="G390" s="103" t="s">
        <v>1406</v>
      </c>
      <c r="H390" s="112">
        <v>6100.0</v>
      </c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  <c r="AA390" s="96"/>
    </row>
    <row r="391" ht="15.75" customHeight="1">
      <c r="A391" s="97" t="s">
        <v>1608</v>
      </c>
      <c r="B391" s="109">
        <v>46082.66038643519</v>
      </c>
      <c r="C391" s="110">
        <v>0.6597222222222222</v>
      </c>
      <c r="D391" s="103" t="s">
        <v>148</v>
      </c>
      <c r="E391" s="111">
        <v>1.0</v>
      </c>
      <c r="F391" s="112">
        <v>1600.0</v>
      </c>
      <c r="G391" s="103">
        <v>1600.0</v>
      </c>
      <c r="H391" s="112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  <c r="AA391" s="96"/>
    </row>
    <row r="392" ht="15.75" customHeight="1">
      <c r="A392" s="97" t="s">
        <v>1608</v>
      </c>
      <c r="B392" s="113">
        <v>46082.66038643519</v>
      </c>
      <c r="C392" s="114">
        <v>0.6597222222222222</v>
      </c>
      <c r="D392" s="103" t="s">
        <v>187</v>
      </c>
      <c r="E392" s="111">
        <v>1.0</v>
      </c>
      <c r="F392" s="103">
        <v>900.0</v>
      </c>
      <c r="G392" s="103">
        <v>900.0</v>
      </c>
      <c r="H392" s="112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  <c r="AA392" s="96"/>
    </row>
    <row r="393" ht="15.75" customHeight="1">
      <c r="A393" s="97" t="s">
        <v>1608</v>
      </c>
      <c r="B393" s="109">
        <v>46082.66038643519</v>
      </c>
      <c r="C393" s="110">
        <v>0.6597222222222222</v>
      </c>
      <c r="D393" s="103" t="s">
        <v>574</v>
      </c>
      <c r="E393" s="111">
        <v>2.0</v>
      </c>
      <c r="F393" s="112">
        <v>3000.0</v>
      </c>
      <c r="G393" s="103">
        <v>6000.0</v>
      </c>
      <c r="H393" s="112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  <c r="AA393" s="96"/>
    </row>
    <row r="394" ht="15.75" customHeight="1">
      <c r="A394" s="97" t="s">
        <v>1608</v>
      </c>
      <c r="B394" s="109">
        <v>46082.66038643519</v>
      </c>
      <c r="C394" s="110">
        <v>0.6597222222222222</v>
      </c>
      <c r="D394" s="103" t="s">
        <v>1609</v>
      </c>
      <c r="E394" s="115">
        <v>0.515</v>
      </c>
      <c r="F394" s="112">
        <v>2060.0</v>
      </c>
      <c r="G394" s="103">
        <v>2060.0</v>
      </c>
      <c r="H394" s="112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  <c r="AA394" s="96"/>
    </row>
    <row r="395" ht="15.75" customHeight="1">
      <c r="A395" s="97"/>
      <c r="B395" s="113">
        <v>46082.66038643519</v>
      </c>
      <c r="C395" s="114">
        <v>0.6597222222222222</v>
      </c>
      <c r="D395" s="103" t="s">
        <v>1610</v>
      </c>
      <c r="E395" s="111">
        <v>5.0</v>
      </c>
      <c r="F395" s="103" t="s">
        <v>1611</v>
      </c>
      <c r="G395" s="103" t="s">
        <v>1406</v>
      </c>
      <c r="H395" s="112">
        <v>10560.0</v>
      </c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  <c r="AA395" s="96"/>
    </row>
    <row r="396" ht="15.75" customHeight="1">
      <c r="A396" s="97" t="s">
        <v>1612</v>
      </c>
      <c r="B396" s="113">
        <v>46082.67643291667</v>
      </c>
      <c r="C396" s="114">
        <v>0.6763888888888889</v>
      </c>
      <c r="D396" s="103" t="s">
        <v>1277</v>
      </c>
      <c r="E396" s="111">
        <v>3.0</v>
      </c>
      <c r="F396" s="103">
        <v>4300.0</v>
      </c>
      <c r="G396" s="103">
        <v>12900.0</v>
      </c>
      <c r="H396" s="112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  <c r="AA396" s="96"/>
    </row>
    <row r="397" ht="15.75" customHeight="1">
      <c r="A397" s="97"/>
      <c r="B397" s="113">
        <v>46082.67643291667</v>
      </c>
      <c r="C397" s="114">
        <v>0.6763888888888889</v>
      </c>
      <c r="D397" s="103" t="s">
        <v>1613</v>
      </c>
      <c r="E397" s="111">
        <v>3.0</v>
      </c>
      <c r="F397" s="103" t="s">
        <v>1297</v>
      </c>
      <c r="G397" s="103" t="s">
        <v>1406</v>
      </c>
      <c r="H397" s="112">
        <v>12900.0</v>
      </c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  <c r="AA397" s="96"/>
    </row>
    <row r="398" ht="15.75" customHeight="1">
      <c r="A398" s="97" t="s">
        <v>1614</v>
      </c>
      <c r="B398" s="109">
        <v>46082.69938056713</v>
      </c>
      <c r="C398" s="110">
        <v>0.6993055555555555</v>
      </c>
      <c r="D398" s="103" t="s">
        <v>131</v>
      </c>
      <c r="E398" s="111">
        <v>1.0</v>
      </c>
      <c r="F398" s="112">
        <v>4000.0</v>
      </c>
      <c r="G398" s="103">
        <v>4000.0</v>
      </c>
      <c r="H398" s="112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  <c r="AA398" s="96"/>
    </row>
    <row r="399" ht="15.75" customHeight="1">
      <c r="A399" s="97" t="s">
        <v>1614</v>
      </c>
      <c r="B399" s="109">
        <v>46082.69938056713</v>
      </c>
      <c r="C399" s="110">
        <v>0.6993055555555555</v>
      </c>
      <c r="D399" s="103" t="s">
        <v>125</v>
      </c>
      <c r="E399" s="111">
        <v>1.0</v>
      </c>
      <c r="F399" s="112">
        <v>2500.0</v>
      </c>
      <c r="G399" s="103">
        <v>2500.0</v>
      </c>
      <c r="H399" s="112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  <c r="AA399" s="96"/>
    </row>
    <row r="400" ht="15.75" customHeight="1">
      <c r="A400" s="111"/>
      <c r="B400" s="113">
        <v>46082.69938056713</v>
      </c>
      <c r="C400" s="114">
        <v>0.6993055555555555</v>
      </c>
      <c r="D400" s="103" t="s">
        <v>1615</v>
      </c>
      <c r="E400" s="111">
        <v>2.0</v>
      </c>
      <c r="F400" s="103" t="s">
        <v>1297</v>
      </c>
      <c r="G400" s="103" t="s">
        <v>1406</v>
      </c>
      <c r="H400" s="112">
        <v>6500.0</v>
      </c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  <c r="AA400" s="96"/>
    </row>
    <row r="401" ht="15.75" customHeight="1">
      <c r="A401" s="97" t="s">
        <v>1616</v>
      </c>
      <c r="B401" s="109">
        <v>46082.70089989583</v>
      </c>
      <c r="C401" s="110">
        <v>0.7006944444444444</v>
      </c>
      <c r="D401" s="103" t="s">
        <v>1174</v>
      </c>
      <c r="E401" s="111">
        <v>1.0</v>
      </c>
      <c r="F401" s="112">
        <v>3500.0</v>
      </c>
      <c r="G401" s="103">
        <v>3500.0</v>
      </c>
      <c r="H401" s="112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  <c r="AA401" s="96"/>
    </row>
    <row r="402" ht="15.75" customHeight="1">
      <c r="A402" s="97" t="s">
        <v>1616</v>
      </c>
      <c r="B402" s="109">
        <v>46082.70089989583</v>
      </c>
      <c r="C402" s="110">
        <v>0.7006944444444444</v>
      </c>
      <c r="D402" s="103" t="s">
        <v>1617</v>
      </c>
      <c r="E402" s="115">
        <v>0.325</v>
      </c>
      <c r="F402" s="112">
        <v>975.0</v>
      </c>
      <c r="G402" s="103">
        <v>975.0</v>
      </c>
      <c r="H402" s="112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  <c r="AA402" s="96"/>
    </row>
    <row r="403" ht="15.75" customHeight="1">
      <c r="A403" s="97"/>
      <c r="B403" s="113">
        <v>46082.70089989583</v>
      </c>
      <c r="C403" s="114">
        <v>0.7006944444444444</v>
      </c>
      <c r="D403" s="103" t="s">
        <v>1618</v>
      </c>
      <c r="E403" s="111">
        <v>2.0</v>
      </c>
      <c r="F403" s="103" t="s">
        <v>1611</v>
      </c>
      <c r="G403" s="103" t="s">
        <v>1406</v>
      </c>
      <c r="H403" s="112">
        <v>4475.0</v>
      </c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  <c r="AA403" s="96"/>
    </row>
    <row r="404" ht="15.75" customHeight="1">
      <c r="A404" s="97" t="s">
        <v>1619</v>
      </c>
      <c r="B404" s="113">
        <v>46082.72329373843</v>
      </c>
      <c r="C404" s="114">
        <v>0.7229166666666667</v>
      </c>
      <c r="D404" s="103" t="s">
        <v>213</v>
      </c>
      <c r="E404" s="111">
        <v>1.0</v>
      </c>
      <c r="F404" s="103">
        <v>3300.0</v>
      </c>
      <c r="G404" s="103">
        <v>3300.0</v>
      </c>
      <c r="H404" s="112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  <c r="AA404" s="96"/>
    </row>
    <row r="405" ht="15.75" customHeight="1">
      <c r="A405" s="97" t="s">
        <v>1619</v>
      </c>
      <c r="B405" s="109">
        <v>46082.72329373843</v>
      </c>
      <c r="C405" s="110">
        <v>0.7229166666666667</v>
      </c>
      <c r="D405" s="103" t="s">
        <v>445</v>
      </c>
      <c r="E405" s="111">
        <v>1.0</v>
      </c>
      <c r="F405" s="112">
        <v>4500.0</v>
      </c>
      <c r="G405" s="103">
        <v>4500.0</v>
      </c>
      <c r="H405" s="112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  <c r="AA405" s="96"/>
    </row>
    <row r="406" ht="15.75" customHeight="1">
      <c r="A406" s="97" t="s">
        <v>1619</v>
      </c>
      <c r="B406" s="109">
        <v>46082.72329373843</v>
      </c>
      <c r="C406" s="110">
        <v>0.7229166666666667</v>
      </c>
      <c r="D406" s="103" t="s">
        <v>34</v>
      </c>
      <c r="E406" s="111">
        <v>2.0</v>
      </c>
      <c r="F406" s="112">
        <v>2600.0</v>
      </c>
      <c r="G406" s="103">
        <v>5200.0</v>
      </c>
      <c r="H406" s="112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  <c r="AA406" s="96"/>
    </row>
    <row r="407" ht="15.75" customHeight="1">
      <c r="A407" s="97"/>
      <c r="B407" s="113">
        <v>46082.72329373843</v>
      </c>
      <c r="C407" s="114">
        <v>0.7229166666666667</v>
      </c>
      <c r="D407" s="103" t="s">
        <v>1620</v>
      </c>
      <c r="E407" s="111">
        <v>4.0</v>
      </c>
      <c r="F407" s="103" t="s">
        <v>1611</v>
      </c>
      <c r="G407" s="103" t="s">
        <v>1406</v>
      </c>
      <c r="H407" s="112">
        <v>13000.0</v>
      </c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  <c r="AA407" s="96"/>
    </row>
    <row r="408" ht="15.75" customHeight="1">
      <c r="A408" s="97" t="s">
        <v>1621</v>
      </c>
      <c r="B408" s="113">
        <v>46082.72602791667</v>
      </c>
      <c r="C408" s="114">
        <v>0.7256944444444444</v>
      </c>
      <c r="D408" s="103" t="s">
        <v>1622</v>
      </c>
      <c r="E408" s="115">
        <v>0.6</v>
      </c>
      <c r="F408" s="103">
        <v>2400.0</v>
      </c>
      <c r="G408" s="103">
        <v>2400.0</v>
      </c>
      <c r="H408" s="112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  <c r="AA408" s="96"/>
    </row>
    <row r="409" ht="15.75" customHeight="1">
      <c r="A409" s="97" t="s">
        <v>1621</v>
      </c>
      <c r="B409" s="109">
        <v>46082.72602791667</v>
      </c>
      <c r="C409" s="110">
        <v>0.7256944444444444</v>
      </c>
      <c r="D409" s="103" t="s">
        <v>1623</v>
      </c>
      <c r="E409" s="111">
        <v>1.0</v>
      </c>
      <c r="F409" s="112">
        <v>2100.0</v>
      </c>
      <c r="G409" s="103">
        <v>2100.0</v>
      </c>
      <c r="H409" s="112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  <c r="AA409" s="96"/>
    </row>
    <row r="410" ht="15.75" customHeight="1">
      <c r="A410" s="97" t="s">
        <v>1621</v>
      </c>
      <c r="B410" s="109">
        <v>46082.72602791667</v>
      </c>
      <c r="C410" s="110">
        <v>0.7256944444444444</v>
      </c>
      <c r="D410" s="103" t="s">
        <v>195</v>
      </c>
      <c r="E410" s="111">
        <v>1.0</v>
      </c>
      <c r="F410" s="112">
        <v>2200.0</v>
      </c>
      <c r="G410" s="103">
        <v>2200.0</v>
      </c>
      <c r="H410" s="112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  <c r="AA410" s="96"/>
    </row>
    <row r="411" ht="15.75" customHeight="1">
      <c r="A411" s="97"/>
      <c r="B411" s="113">
        <v>46082.72602791667</v>
      </c>
      <c r="C411" s="114">
        <v>0.7256944444444444</v>
      </c>
      <c r="D411" s="103" t="s">
        <v>1624</v>
      </c>
      <c r="E411" s="111">
        <v>3.0</v>
      </c>
      <c r="F411" s="103" t="s">
        <v>1611</v>
      </c>
      <c r="G411" s="103" t="s">
        <v>1406</v>
      </c>
      <c r="H411" s="112">
        <v>7800.0</v>
      </c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  <c r="AA411" s="96"/>
    </row>
    <row r="412" ht="15.75" customHeight="1">
      <c r="A412" s="97" t="s">
        <v>1625</v>
      </c>
      <c r="B412" s="113">
        <v>46082.74499481481</v>
      </c>
      <c r="C412" s="114">
        <v>0.7444444444444445</v>
      </c>
      <c r="D412" s="103" t="s">
        <v>713</v>
      </c>
      <c r="E412" s="111">
        <v>1.0</v>
      </c>
      <c r="F412" s="103">
        <v>3000.0</v>
      </c>
      <c r="G412" s="103">
        <v>3000.0</v>
      </c>
      <c r="H412" s="112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  <c r="AA412" s="96"/>
    </row>
    <row r="413" ht="15.75" customHeight="1">
      <c r="A413" s="97" t="s">
        <v>1625</v>
      </c>
      <c r="B413" s="109">
        <v>46082.74499481481</v>
      </c>
      <c r="C413" s="110">
        <v>0.7444444444444445</v>
      </c>
      <c r="D413" s="103" t="s">
        <v>148</v>
      </c>
      <c r="E413" s="111">
        <v>1.0</v>
      </c>
      <c r="F413" s="112">
        <v>1600.0</v>
      </c>
      <c r="G413" s="103">
        <v>1600.0</v>
      </c>
      <c r="H413" s="112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  <c r="AA413" s="96"/>
    </row>
    <row r="414" ht="15.75" customHeight="1">
      <c r="A414" s="97" t="s">
        <v>1625</v>
      </c>
      <c r="B414" s="109">
        <v>46082.74499481481</v>
      </c>
      <c r="C414" s="110">
        <v>0.7444444444444445</v>
      </c>
      <c r="D414" s="103" t="s">
        <v>61</v>
      </c>
      <c r="E414" s="111">
        <v>4.0</v>
      </c>
      <c r="F414" s="112">
        <v>600.0</v>
      </c>
      <c r="G414" s="103">
        <v>2400.0</v>
      </c>
      <c r="H414" s="112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  <c r="AA414" s="96"/>
    </row>
    <row r="415" ht="15.75" customHeight="1">
      <c r="A415" s="111"/>
      <c r="B415" s="113">
        <v>46082.74499481481</v>
      </c>
      <c r="C415" s="114">
        <v>0.7444444444444445</v>
      </c>
      <c r="D415" s="103" t="s">
        <v>1626</v>
      </c>
      <c r="E415" s="111">
        <v>6.0</v>
      </c>
      <c r="F415" s="103" t="s">
        <v>1297</v>
      </c>
      <c r="G415" s="103" t="s">
        <v>1406</v>
      </c>
      <c r="H415" s="112">
        <v>7000.0</v>
      </c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  <c r="AA415" s="96"/>
    </row>
    <row r="416" ht="15.75" customHeight="1">
      <c r="A416" s="97" t="s">
        <v>1627</v>
      </c>
      <c r="B416" s="109">
        <v>46082.749029375</v>
      </c>
      <c r="C416" s="110">
        <v>0.7486111111111111</v>
      </c>
      <c r="D416" s="103" t="s">
        <v>158</v>
      </c>
      <c r="E416" s="111">
        <v>5.0</v>
      </c>
      <c r="F416" s="112">
        <v>500.0</v>
      </c>
      <c r="G416" s="103">
        <v>2500.0</v>
      </c>
      <c r="H416" s="112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  <c r="AA416" s="96"/>
    </row>
    <row r="417" ht="15.75" customHeight="1">
      <c r="A417" s="97" t="s">
        <v>1627</v>
      </c>
      <c r="B417" s="109">
        <v>46082.749029375</v>
      </c>
      <c r="C417" s="110">
        <v>0.7486111111111111</v>
      </c>
      <c r="D417" s="103" t="s">
        <v>1628</v>
      </c>
      <c r="E417" s="115">
        <v>0.2</v>
      </c>
      <c r="F417" s="112">
        <v>440.0</v>
      </c>
      <c r="G417" s="103">
        <v>440.0</v>
      </c>
      <c r="H417" s="112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  <c r="AA417" s="96"/>
    </row>
    <row r="418" ht="15.75" customHeight="1">
      <c r="A418" s="97" t="s">
        <v>1627</v>
      </c>
      <c r="B418" s="109">
        <v>46082.749029375</v>
      </c>
      <c r="C418" s="110">
        <v>0.7486111111111111</v>
      </c>
      <c r="D418" s="103" t="s">
        <v>1629</v>
      </c>
      <c r="E418" s="115">
        <v>0.1</v>
      </c>
      <c r="F418" s="112">
        <v>500.0</v>
      </c>
      <c r="G418" s="103">
        <v>500.0</v>
      </c>
      <c r="H418" s="112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  <c r="AA418" s="96"/>
    </row>
    <row r="419" ht="15.75" customHeight="1">
      <c r="A419" s="97" t="s">
        <v>1627</v>
      </c>
      <c r="B419" s="109">
        <v>46082.749029375</v>
      </c>
      <c r="C419" s="110">
        <v>0.7486111111111111</v>
      </c>
      <c r="D419" s="103" t="s">
        <v>333</v>
      </c>
      <c r="E419" s="111">
        <v>1.0</v>
      </c>
      <c r="F419" s="112">
        <v>3000.0</v>
      </c>
      <c r="G419" s="103">
        <v>3000.0</v>
      </c>
      <c r="H419" s="112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  <c r="AA419" s="96"/>
    </row>
    <row r="420" ht="15.75" customHeight="1">
      <c r="A420" s="111"/>
      <c r="B420" s="113">
        <v>46082.749029375</v>
      </c>
      <c r="C420" s="114">
        <v>0.7486111111111111</v>
      </c>
      <c r="D420" s="103" t="s">
        <v>1630</v>
      </c>
      <c r="E420" s="111">
        <v>8.0</v>
      </c>
      <c r="F420" s="103" t="s">
        <v>1297</v>
      </c>
      <c r="G420" s="103" t="s">
        <v>1406</v>
      </c>
      <c r="H420" s="112">
        <v>6440.0</v>
      </c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  <c r="AA420" s="96"/>
    </row>
    <row r="421" ht="15.75" customHeight="1">
      <c r="A421" s="97" t="s">
        <v>1631</v>
      </c>
      <c r="B421" s="109">
        <v>46082.74943969907</v>
      </c>
      <c r="C421" s="110">
        <v>0.7493055555555556</v>
      </c>
      <c r="D421" s="103" t="s">
        <v>1632</v>
      </c>
      <c r="E421" s="115">
        <v>0.2</v>
      </c>
      <c r="F421" s="112">
        <v>600.0</v>
      </c>
      <c r="G421" s="103">
        <v>600.0</v>
      </c>
      <c r="H421" s="112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  <c r="AA421" s="96"/>
    </row>
    <row r="422" ht="15.75" customHeight="1">
      <c r="A422" s="111"/>
      <c r="B422" s="113">
        <v>46082.74943969907</v>
      </c>
      <c r="C422" s="114">
        <v>0.7493055555555556</v>
      </c>
      <c r="D422" s="103" t="s">
        <v>1633</v>
      </c>
      <c r="E422" s="111">
        <v>1.0</v>
      </c>
      <c r="F422" s="103" t="s">
        <v>1297</v>
      </c>
      <c r="G422" s="103" t="s">
        <v>1406</v>
      </c>
      <c r="H422" s="112">
        <v>600.0</v>
      </c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  <c r="AA422" s="96"/>
    </row>
    <row r="423" ht="15.75" customHeight="1">
      <c r="A423" s="97" t="s">
        <v>1634</v>
      </c>
      <c r="B423" s="109">
        <v>46082.768396875</v>
      </c>
      <c r="C423" s="110">
        <v>0.7680555555555556</v>
      </c>
      <c r="D423" s="103" t="s">
        <v>1269</v>
      </c>
      <c r="E423" s="111">
        <v>1.0</v>
      </c>
      <c r="F423" s="112">
        <v>4500.0</v>
      </c>
      <c r="G423" s="103">
        <v>4500.0</v>
      </c>
      <c r="H423" s="112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  <c r="AA423" s="96"/>
    </row>
    <row r="424" ht="15.75" customHeight="1">
      <c r="A424" s="111"/>
      <c r="B424" s="113">
        <v>46082.768396875</v>
      </c>
      <c r="C424" s="114">
        <v>0.7680555555555556</v>
      </c>
      <c r="D424" s="103" t="s">
        <v>1635</v>
      </c>
      <c r="E424" s="111">
        <v>1.0</v>
      </c>
      <c r="F424" s="103" t="s">
        <v>1611</v>
      </c>
      <c r="G424" s="103" t="s">
        <v>1406</v>
      </c>
      <c r="H424" s="112">
        <v>4500.0</v>
      </c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  <c r="AA424" s="96"/>
    </row>
    <row r="425" ht="15.75" customHeight="1">
      <c r="A425" s="97" t="s">
        <v>1636</v>
      </c>
      <c r="B425" s="109">
        <v>46082.7844900463</v>
      </c>
      <c r="C425" s="110">
        <v>0.7840277777777778</v>
      </c>
      <c r="D425" s="103" t="s">
        <v>501</v>
      </c>
      <c r="E425" s="111">
        <v>1.0</v>
      </c>
      <c r="F425" s="112">
        <v>1000.0</v>
      </c>
      <c r="G425" s="103">
        <v>1000.0</v>
      </c>
      <c r="H425" s="112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  <c r="AA425" s="96"/>
    </row>
    <row r="426" ht="15.75" customHeight="1">
      <c r="A426" s="111"/>
      <c r="B426" s="113">
        <v>46082.7844900463</v>
      </c>
      <c r="C426" s="114">
        <v>0.7840277777777778</v>
      </c>
      <c r="D426" s="103" t="s">
        <v>1637</v>
      </c>
      <c r="E426" s="111">
        <v>1.0</v>
      </c>
      <c r="F426" s="103" t="s">
        <v>1297</v>
      </c>
      <c r="G426" s="103" t="s">
        <v>1406</v>
      </c>
      <c r="H426" s="112">
        <v>1000.0</v>
      </c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  <c r="AA426" s="96"/>
    </row>
    <row r="427" ht="15.75" customHeight="1">
      <c r="A427" s="97" t="s">
        <v>1638</v>
      </c>
      <c r="B427" s="109">
        <v>46082.79747350694</v>
      </c>
      <c r="C427" s="110">
        <v>0.7972222222222223</v>
      </c>
      <c r="D427" s="103" t="s">
        <v>1639</v>
      </c>
      <c r="E427" s="115">
        <v>1.4</v>
      </c>
      <c r="F427" s="112">
        <v>3500.0</v>
      </c>
      <c r="G427" s="103">
        <v>3500.0</v>
      </c>
      <c r="H427" s="112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  <c r="AA427" s="96"/>
    </row>
    <row r="428" ht="15.75" customHeight="1">
      <c r="A428" s="97" t="s">
        <v>1638</v>
      </c>
      <c r="B428" s="109">
        <v>46082.79747350694</v>
      </c>
      <c r="C428" s="110">
        <v>0.7972222222222223</v>
      </c>
      <c r="D428" s="103" t="s">
        <v>86</v>
      </c>
      <c r="E428" s="111">
        <v>1.0</v>
      </c>
      <c r="F428" s="112">
        <v>5000.0</v>
      </c>
      <c r="G428" s="103">
        <v>5000.0</v>
      </c>
      <c r="H428" s="112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  <c r="AA428" s="96"/>
    </row>
    <row r="429" ht="15.75" customHeight="1">
      <c r="A429" s="97" t="s">
        <v>1638</v>
      </c>
      <c r="B429" s="109">
        <v>46082.79747350694</v>
      </c>
      <c r="C429" s="110">
        <v>0.7972222222222223</v>
      </c>
      <c r="D429" s="103" t="s">
        <v>544</v>
      </c>
      <c r="E429" s="111">
        <v>2.0</v>
      </c>
      <c r="F429" s="112">
        <v>7200.0</v>
      </c>
      <c r="G429" s="103">
        <v>14400.0</v>
      </c>
      <c r="H429" s="112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  <c r="AA429" s="96"/>
    </row>
    <row r="430" ht="15.75" customHeight="1">
      <c r="A430" s="97" t="s">
        <v>1638</v>
      </c>
      <c r="B430" s="109">
        <v>46082.79747350694</v>
      </c>
      <c r="C430" s="110">
        <v>0.7972222222222223</v>
      </c>
      <c r="D430" s="103" t="s">
        <v>642</v>
      </c>
      <c r="E430" s="111">
        <v>2.0</v>
      </c>
      <c r="F430" s="112">
        <v>4000.0</v>
      </c>
      <c r="G430" s="103">
        <v>8000.0</v>
      </c>
      <c r="H430" s="112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  <c r="AA430" s="96"/>
    </row>
    <row r="431" ht="15.75" customHeight="1">
      <c r="A431" s="97" t="s">
        <v>1638</v>
      </c>
      <c r="B431" s="109">
        <v>46082.79747350694</v>
      </c>
      <c r="C431" s="110">
        <v>0.7972222222222223</v>
      </c>
      <c r="D431" s="103" t="s">
        <v>472</v>
      </c>
      <c r="E431" s="111">
        <v>1.0</v>
      </c>
      <c r="F431" s="112">
        <v>4500.0</v>
      </c>
      <c r="G431" s="103">
        <v>4500.0</v>
      </c>
      <c r="H431" s="112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  <c r="AA431" s="96"/>
    </row>
    <row r="432" ht="15.75" customHeight="1">
      <c r="A432" s="111"/>
      <c r="B432" s="113">
        <v>46082.79747350694</v>
      </c>
      <c r="C432" s="114">
        <v>0.7972222222222223</v>
      </c>
      <c r="D432" s="103" t="s">
        <v>1640</v>
      </c>
      <c r="E432" s="111">
        <v>7.0</v>
      </c>
      <c r="F432" s="103" t="s">
        <v>1297</v>
      </c>
      <c r="G432" s="103" t="s">
        <v>1406</v>
      </c>
      <c r="H432" s="112">
        <v>35400.0</v>
      </c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  <c r="AA432" s="96"/>
    </row>
    <row r="433" ht="15.75" customHeight="1">
      <c r="A433" s="97" t="s">
        <v>1641</v>
      </c>
      <c r="B433" s="109">
        <v>46082.8002784838</v>
      </c>
      <c r="C433" s="110">
        <v>0.8</v>
      </c>
      <c r="D433" s="103" t="s">
        <v>501</v>
      </c>
      <c r="E433" s="111">
        <v>1.0</v>
      </c>
      <c r="F433" s="112">
        <v>1000.0</v>
      </c>
      <c r="G433" s="103">
        <v>1000.0</v>
      </c>
      <c r="H433" s="112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  <c r="AA433" s="96"/>
    </row>
    <row r="434" ht="15.75" customHeight="1">
      <c r="A434" s="111"/>
      <c r="B434" s="113">
        <v>46082.8002784838</v>
      </c>
      <c r="C434" s="114">
        <v>0.8</v>
      </c>
      <c r="D434" s="103" t="s">
        <v>1642</v>
      </c>
      <c r="E434" s="111">
        <v>1.0</v>
      </c>
      <c r="F434" s="103" t="s">
        <v>1297</v>
      </c>
      <c r="G434" s="103" t="s">
        <v>1406</v>
      </c>
      <c r="H434" s="112">
        <v>1000.0</v>
      </c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  <c r="AA434" s="96"/>
    </row>
    <row r="435" ht="15.75" customHeight="1">
      <c r="A435" s="97" t="s">
        <v>1643</v>
      </c>
      <c r="B435" s="109">
        <v>46082.80078528935</v>
      </c>
      <c r="C435" s="110">
        <v>0.8006944444444445</v>
      </c>
      <c r="D435" s="103" t="s">
        <v>501</v>
      </c>
      <c r="E435" s="111">
        <v>1.0</v>
      </c>
      <c r="F435" s="112">
        <v>1000.0</v>
      </c>
      <c r="G435" s="103">
        <v>1000.0</v>
      </c>
      <c r="H435" s="112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  <c r="AA435" s="96"/>
    </row>
    <row r="436" ht="15.75" customHeight="1">
      <c r="A436" s="111"/>
      <c r="B436" s="113">
        <v>46082.80078528935</v>
      </c>
      <c r="C436" s="114">
        <v>0.8006944444444445</v>
      </c>
      <c r="D436" s="103" t="s">
        <v>1644</v>
      </c>
      <c r="E436" s="111">
        <v>1.0</v>
      </c>
      <c r="F436" s="103" t="s">
        <v>1297</v>
      </c>
      <c r="G436" s="103" t="s">
        <v>1406</v>
      </c>
      <c r="H436" s="112">
        <v>1000.0</v>
      </c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  <c r="AA436" s="96"/>
    </row>
    <row r="437" ht="15.75" customHeight="1">
      <c r="A437" s="97" t="s">
        <v>1645</v>
      </c>
      <c r="B437" s="109">
        <v>46082.82492165509</v>
      </c>
      <c r="C437" s="110">
        <v>0.8243055555555555</v>
      </c>
      <c r="D437" s="103" t="s">
        <v>1269</v>
      </c>
      <c r="E437" s="111">
        <v>1.0</v>
      </c>
      <c r="F437" s="112">
        <v>4500.0</v>
      </c>
      <c r="G437" s="103">
        <v>4500.0</v>
      </c>
      <c r="H437" s="112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  <c r="AA437" s="96"/>
    </row>
    <row r="438" ht="15.75" customHeight="1">
      <c r="A438" s="97" t="s">
        <v>1645</v>
      </c>
      <c r="B438" s="109">
        <v>46082.82492165509</v>
      </c>
      <c r="C438" s="110">
        <v>0.8243055555555555</v>
      </c>
      <c r="D438" s="103" t="s">
        <v>1271</v>
      </c>
      <c r="E438" s="111">
        <v>1.0</v>
      </c>
      <c r="F438" s="112">
        <v>5000.0</v>
      </c>
      <c r="G438" s="103">
        <v>5000.0</v>
      </c>
      <c r="H438" s="112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  <c r="AA438" s="96"/>
    </row>
    <row r="439" ht="15.75" customHeight="1">
      <c r="A439" s="111"/>
      <c r="B439" s="113">
        <v>46082.82492165509</v>
      </c>
      <c r="C439" s="114">
        <v>0.8243055555555555</v>
      </c>
      <c r="D439" s="103" t="s">
        <v>1646</v>
      </c>
      <c r="E439" s="111">
        <v>2.0</v>
      </c>
      <c r="F439" s="103" t="s">
        <v>1611</v>
      </c>
      <c r="G439" s="103" t="s">
        <v>1406</v>
      </c>
      <c r="H439" s="112">
        <v>9500.0</v>
      </c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  <c r="AA439" s="96"/>
    </row>
    <row r="440" ht="15.75" customHeight="1">
      <c r="A440" s="97" t="s">
        <v>1647</v>
      </c>
      <c r="B440" s="109">
        <v>46082.84286524305</v>
      </c>
      <c r="C440" s="110">
        <v>0.8423611111111111</v>
      </c>
      <c r="D440" s="103" t="s">
        <v>721</v>
      </c>
      <c r="E440" s="111">
        <v>1.0</v>
      </c>
      <c r="F440" s="112">
        <v>4500.0</v>
      </c>
      <c r="G440" s="103">
        <v>4500.0</v>
      </c>
      <c r="H440" s="112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  <c r="AA440" s="96"/>
    </row>
    <row r="441" ht="15.75" customHeight="1">
      <c r="A441" s="97" t="s">
        <v>1647</v>
      </c>
      <c r="B441" s="109">
        <v>46082.84286524305</v>
      </c>
      <c r="C441" s="110">
        <v>0.8423611111111111</v>
      </c>
      <c r="D441" s="103" t="s">
        <v>72</v>
      </c>
      <c r="E441" s="111">
        <v>1.0</v>
      </c>
      <c r="F441" s="112">
        <v>2000.0</v>
      </c>
      <c r="G441" s="103">
        <v>2000.0</v>
      </c>
      <c r="H441" s="112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  <c r="AA441" s="96"/>
    </row>
    <row r="442" ht="15.75" customHeight="1">
      <c r="A442" s="111"/>
      <c r="B442" s="113">
        <v>46082.84286524305</v>
      </c>
      <c r="C442" s="114">
        <v>0.8423611111111111</v>
      </c>
      <c r="D442" s="103" t="s">
        <v>1648</v>
      </c>
      <c r="E442" s="111">
        <v>2.0</v>
      </c>
      <c r="F442" s="103" t="s">
        <v>1297</v>
      </c>
      <c r="G442" s="103" t="s">
        <v>1406</v>
      </c>
      <c r="H442" s="112">
        <v>6500.0</v>
      </c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  <c r="AA442" s="96"/>
    </row>
    <row r="443" ht="15.75" customHeight="1">
      <c r="A443" s="97" t="s">
        <v>1649</v>
      </c>
      <c r="B443" s="109">
        <v>46082.85806115741</v>
      </c>
      <c r="C443" s="110">
        <v>0.8576388888888888</v>
      </c>
      <c r="D443" s="103" t="s">
        <v>1650</v>
      </c>
      <c r="E443" s="115">
        <v>0.17</v>
      </c>
      <c r="F443" s="112">
        <v>442.0</v>
      </c>
      <c r="G443" s="103">
        <v>442.0</v>
      </c>
      <c r="H443" s="112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  <c r="AA443" s="96"/>
    </row>
    <row r="444" ht="15.75" customHeight="1">
      <c r="A444" s="97" t="s">
        <v>1649</v>
      </c>
      <c r="B444" s="109">
        <v>46082.85806115741</v>
      </c>
      <c r="C444" s="110">
        <v>0.8576388888888888</v>
      </c>
      <c r="D444" s="103" t="s">
        <v>230</v>
      </c>
      <c r="E444" s="111">
        <v>1.0</v>
      </c>
      <c r="F444" s="112">
        <v>1800.0</v>
      </c>
      <c r="G444" s="103">
        <v>1800.0</v>
      </c>
      <c r="H444" s="112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  <c r="AA444" s="96"/>
    </row>
    <row r="445" ht="15.75" customHeight="1">
      <c r="A445" s="97" t="s">
        <v>1649</v>
      </c>
      <c r="B445" s="109">
        <v>46082.85806115741</v>
      </c>
      <c r="C445" s="110">
        <v>0.8576388888888888</v>
      </c>
      <c r="D445" s="103" t="s">
        <v>574</v>
      </c>
      <c r="E445" s="111">
        <v>1.0</v>
      </c>
      <c r="F445" s="112">
        <v>3000.0</v>
      </c>
      <c r="G445" s="103">
        <v>3000.0</v>
      </c>
      <c r="H445" s="112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  <c r="AA445" s="96"/>
    </row>
    <row r="446" ht="15.75" customHeight="1">
      <c r="A446" s="97" t="s">
        <v>1649</v>
      </c>
      <c r="B446" s="109">
        <v>46082.85806115741</v>
      </c>
      <c r="C446" s="110">
        <v>0.8576388888888888</v>
      </c>
      <c r="D446" s="103" t="s">
        <v>1651</v>
      </c>
      <c r="E446" s="111">
        <v>1.0</v>
      </c>
      <c r="F446" s="112">
        <v>4300.0</v>
      </c>
      <c r="G446" s="103">
        <v>4300.0</v>
      </c>
      <c r="H446" s="112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  <c r="AA446" s="96"/>
    </row>
    <row r="447" ht="15.75" customHeight="1">
      <c r="A447" s="111"/>
      <c r="B447" s="113">
        <v>46082.85806115741</v>
      </c>
      <c r="C447" s="114">
        <v>0.8576388888888888</v>
      </c>
      <c r="D447" s="103" t="s">
        <v>1652</v>
      </c>
      <c r="E447" s="111">
        <v>4.0</v>
      </c>
      <c r="F447" s="103" t="s">
        <v>1297</v>
      </c>
      <c r="G447" s="103" t="s">
        <v>1406</v>
      </c>
      <c r="H447" s="112">
        <v>9242.0</v>
      </c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  <c r="AA447" s="96"/>
    </row>
    <row r="448" ht="15.75" customHeight="1">
      <c r="A448" s="97" t="s">
        <v>1653</v>
      </c>
      <c r="B448" s="109">
        <v>46082.86130731482</v>
      </c>
      <c r="C448" s="110">
        <v>0.8611111111111112</v>
      </c>
      <c r="D448" s="103" t="s">
        <v>360</v>
      </c>
      <c r="E448" s="111">
        <v>1.0</v>
      </c>
      <c r="F448" s="112">
        <v>2000.0</v>
      </c>
      <c r="G448" s="103">
        <v>2000.0</v>
      </c>
      <c r="H448" s="112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  <c r="AA448" s="96"/>
    </row>
    <row r="449" ht="15.75" customHeight="1">
      <c r="A449" s="97" t="s">
        <v>1653</v>
      </c>
      <c r="B449" s="109">
        <v>46082.86130731482</v>
      </c>
      <c r="C449" s="110">
        <v>0.8611111111111112</v>
      </c>
      <c r="D449" s="103" t="s">
        <v>1279</v>
      </c>
      <c r="E449" s="111">
        <v>1.0</v>
      </c>
      <c r="F449" s="112">
        <v>3500.0</v>
      </c>
      <c r="G449" s="103">
        <v>3500.0</v>
      </c>
      <c r="H449" s="112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  <c r="AA449" s="96"/>
    </row>
    <row r="450" ht="15.75" customHeight="1">
      <c r="A450" s="97" t="s">
        <v>1653</v>
      </c>
      <c r="B450" s="109">
        <v>46082.86130731482</v>
      </c>
      <c r="C450" s="110">
        <v>0.8611111111111112</v>
      </c>
      <c r="D450" s="103" t="s">
        <v>1267</v>
      </c>
      <c r="E450" s="111">
        <v>1.0</v>
      </c>
      <c r="F450" s="112">
        <v>500.0</v>
      </c>
      <c r="G450" s="103">
        <v>500.0</v>
      </c>
      <c r="H450" s="112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  <c r="AA450" s="96"/>
    </row>
    <row r="451" ht="15.75" customHeight="1">
      <c r="A451" s="111"/>
      <c r="B451" s="113">
        <v>46082.86130731482</v>
      </c>
      <c r="C451" s="114">
        <v>0.8611111111111112</v>
      </c>
      <c r="D451" s="103" t="s">
        <v>1654</v>
      </c>
      <c r="E451" s="111">
        <v>3.0</v>
      </c>
      <c r="F451" s="103" t="s">
        <v>1297</v>
      </c>
      <c r="G451" s="103" t="s">
        <v>1406</v>
      </c>
      <c r="H451" s="112">
        <v>6000.0</v>
      </c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  <c r="AA451" s="96"/>
    </row>
    <row r="452" ht="15.75" customHeight="1">
      <c r="A452" s="97" t="s">
        <v>1655</v>
      </c>
      <c r="B452" s="109">
        <v>46082.87054337963</v>
      </c>
      <c r="C452" s="110">
        <v>0.8701388888888889</v>
      </c>
      <c r="D452" s="103" t="s">
        <v>719</v>
      </c>
      <c r="E452" s="111">
        <v>1.0</v>
      </c>
      <c r="F452" s="112">
        <v>5500.0</v>
      </c>
      <c r="G452" s="103">
        <v>5500.0</v>
      </c>
      <c r="H452" s="112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  <c r="AA452" s="96"/>
    </row>
    <row r="453" ht="15.75" customHeight="1">
      <c r="A453" s="111"/>
      <c r="B453" s="113">
        <v>46082.87054337963</v>
      </c>
      <c r="C453" s="114">
        <v>0.8701388888888889</v>
      </c>
      <c r="D453" s="103" t="s">
        <v>1656</v>
      </c>
      <c r="E453" s="111">
        <v>1.0</v>
      </c>
      <c r="F453" s="103" t="s">
        <v>1297</v>
      </c>
      <c r="G453" s="103" t="s">
        <v>1406</v>
      </c>
      <c r="H453" s="112">
        <v>5500.0</v>
      </c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  <c r="AA453" s="96"/>
    </row>
    <row r="454" ht="15.75" customHeight="1">
      <c r="A454" s="97" t="s">
        <v>1657</v>
      </c>
      <c r="B454" s="109">
        <v>46082.87835399306</v>
      </c>
      <c r="C454" s="110">
        <v>0.8777777777777778</v>
      </c>
      <c r="D454" s="103" t="s">
        <v>54</v>
      </c>
      <c r="E454" s="111">
        <v>1.0</v>
      </c>
      <c r="F454" s="112">
        <v>1000.0</v>
      </c>
      <c r="G454" s="103">
        <v>1000.0</v>
      </c>
      <c r="H454" s="112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  <c r="AA454" s="96"/>
    </row>
    <row r="455" ht="15.75" customHeight="1">
      <c r="A455" s="97" t="s">
        <v>1657</v>
      </c>
      <c r="B455" s="109">
        <v>46082.87835399306</v>
      </c>
      <c r="C455" s="110">
        <v>0.8777777777777778</v>
      </c>
      <c r="D455" s="103" t="s">
        <v>58</v>
      </c>
      <c r="E455" s="111">
        <v>2.0</v>
      </c>
      <c r="F455" s="112">
        <v>1000.0</v>
      </c>
      <c r="G455" s="103">
        <v>2000.0</v>
      </c>
      <c r="H455" s="112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  <c r="AA455" s="96"/>
    </row>
    <row r="456" ht="15.75" customHeight="1">
      <c r="A456" s="97" t="s">
        <v>1657</v>
      </c>
      <c r="B456" s="109">
        <v>46082.87835399306</v>
      </c>
      <c r="C456" s="110">
        <v>0.8777777777777778</v>
      </c>
      <c r="D456" s="103" t="s">
        <v>468</v>
      </c>
      <c r="E456" s="111">
        <v>2.0</v>
      </c>
      <c r="F456" s="112">
        <v>2300.0</v>
      </c>
      <c r="G456" s="103">
        <v>4600.0</v>
      </c>
      <c r="H456" s="112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  <c r="AA456" s="96"/>
    </row>
    <row r="457" ht="15.75" customHeight="1">
      <c r="A457" s="97" t="s">
        <v>1657</v>
      </c>
      <c r="B457" s="109">
        <v>46082.87835399306</v>
      </c>
      <c r="C457" s="110">
        <v>0.8777777777777778</v>
      </c>
      <c r="D457" s="103" t="s">
        <v>631</v>
      </c>
      <c r="E457" s="111">
        <v>1.0</v>
      </c>
      <c r="F457" s="112">
        <v>2500.0</v>
      </c>
      <c r="G457" s="103">
        <v>2500.0</v>
      </c>
      <c r="H457" s="112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  <c r="AA457" s="96"/>
    </row>
    <row r="458" ht="15.75" customHeight="1">
      <c r="A458" s="97" t="s">
        <v>1657</v>
      </c>
      <c r="B458" s="109">
        <v>46082.87835399306</v>
      </c>
      <c r="C458" s="110">
        <v>0.8777777777777778</v>
      </c>
      <c r="D458" s="103" t="s">
        <v>1277</v>
      </c>
      <c r="E458" s="111">
        <v>4.0</v>
      </c>
      <c r="F458" s="112">
        <v>4300.0</v>
      </c>
      <c r="G458" s="103">
        <v>17200.0</v>
      </c>
      <c r="H458" s="112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  <c r="AA458" s="96"/>
    </row>
    <row r="459" ht="15.75" customHeight="1">
      <c r="A459" s="111"/>
      <c r="B459" s="113">
        <v>46082.87835399306</v>
      </c>
      <c r="C459" s="114">
        <v>0.8777777777777778</v>
      </c>
      <c r="D459" s="103" t="s">
        <v>1658</v>
      </c>
      <c r="E459" s="111">
        <v>10.0</v>
      </c>
      <c r="F459" s="103" t="s">
        <v>1611</v>
      </c>
      <c r="G459" s="103" t="s">
        <v>1406</v>
      </c>
      <c r="H459" s="112">
        <v>27300.0</v>
      </c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  <c r="AA459" s="96"/>
    </row>
    <row r="460" ht="15.75" customHeight="1">
      <c r="A460" s="97" t="s">
        <v>1659</v>
      </c>
      <c r="B460" s="109">
        <v>46082.91614458333</v>
      </c>
      <c r="C460" s="110">
        <v>0.9159722222222222</v>
      </c>
      <c r="D460" s="103" t="s">
        <v>642</v>
      </c>
      <c r="E460" s="111">
        <v>1.0</v>
      </c>
      <c r="F460" s="112">
        <v>4000.0</v>
      </c>
      <c r="G460" s="103">
        <v>4000.0</v>
      </c>
      <c r="H460" s="112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  <c r="AA460" s="96"/>
    </row>
    <row r="461" ht="15.75" customHeight="1">
      <c r="A461" s="97" t="s">
        <v>1659</v>
      </c>
      <c r="B461" s="109">
        <v>46082.91614458333</v>
      </c>
      <c r="C461" s="110">
        <v>0.9159722222222222</v>
      </c>
      <c r="D461" s="103" t="s">
        <v>1660</v>
      </c>
      <c r="E461" s="111">
        <v>1.0</v>
      </c>
      <c r="F461" s="112">
        <v>800.0</v>
      </c>
      <c r="G461" s="103">
        <v>800.0</v>
      </c>
      <c r="H461" s="112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  <c r="AA461" s="96"/>
    </row>
    <row r="462" ht="15.75" customHeight="1">
      <c r="A462" s="97" t="s">
        <v>1659</v>
      </c>
      <c r="B462" s="109">
        <v>46082.91614458333</v>
      </c>
      <c r="C462" s="110">
        <v>0.9159722222222222</v>
      </c>
      <c r="D462" s="103" t="s">
        <v>195</v>
      </c>
      <c r="E462" s="111">
        <v>1.0</v>
      </c>
      <c r="F462" s="112">
        <v>2200.0</v>
      </c>
      <c r="G462" s="103">
        <v>2200.0</v>
      </c>
      <c r="H462" s="112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  <c r="AA462" s="96"/>
    </row>
    <row r="463" ht="15.75" customHeight="1">
      <c r="A463" s="111"/>
      <c r="B463" s="113">
        <v>46082.91614458333</v>
      </c>
      <c r="C463" s="114">
        <v>0.9159722222222222</v>
      </c>
      <c r="D463" s="103" t="s">
        <v>1661</v>
      </c>
      <c r="E463" s="111">
        <v>3.0</v>
      </c>
      <c r="F463" s="103" t="s">
        <v>1297</v>
      </c>
      <c r="G463" s="103" t="s">
        <v>1406</v>
      </c>
      <c r="H463" s="112">
        <v>7200.0</v>
      </c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  <c r="AA463" s="96"/>
    </row>
    <row r="464" ht="15.75" customHeight="1">
      <c r="A464" s="97" t="s">
        <v>1662</v>
      </c>
      <c r="B464" s="109">
        <v>46083.03139527778</v>
      </c>
      <c r="C464" s="110">
        <v>0.03125</v>
      </c>
      <c r="D464" s="103" t="s">
        <v>514</v>
      </c>
      <c r="E464" s="111">
        <v>1.0</v>
      </c>
      <c r="F464" s="112">
        <v>400.0</v>
      </c>
      <c r="G464" s="103">
        <v>400.0</v>
      </c>
      <c r="H464" s="112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  <c r="AA464" s="96"/>
    </row>
    <row r="465" ht="15.75" customHeight="1">
      <c r="A465" s="111"/>
      <c r="B465" s="113">
        <v>46083.03139527778</v>
      </c>
      <c r="C465" s="114">
        <v>0.03125</v>
      </c>
      <c r="D465" s="103" t="s">
        <v>1663</v>
      </c>
      <c r="E465" s="111">
        <v>1.0</v>
      </c>
      <c r="F465" s="103" t="s">
        <v>1297</v>
      </c>
      <c r="G465" s="103" t="s">
        <v>1406</v>
      </c>
      <c r="H465" s="112">
        <v>400.0</v>
      </c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  <c r="AA465" s="96"/>
    </row>
    <row r="466" ht="15.75" customHeight="1">
      <c r="A466" s="97" t="s">
        <v>1664</v>
      </c>
      <c r="B466" s="109">
        <v>46083.04126394676</v>
      </c>
      <c r="C466" s="110">
        <v>0.04097222222222222</v>
      </c>
      <c r="D466" s="103" t="s">
        <v>514</v>
      </c>
      <c r="E466" s="111">
        <v>2.0</v>
      </c>
      <c r="F466" s="112">
        <v>400.0</v>
      </c>
      <c r="G466" s="103">
        <v>800.0</v>
      </c>
      <c r="H466" s="112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  <c r="AA466" s="96"/>
    </row>
    <row r="467" ht="15.75" customHeight="1">
      <c r="A467" s="111"/>
      <c r="B467" s="113">
        <v>46083.04126394676</v>
      </c>
      <c r="C467" s="114">
        <v>0.04097222222222222</v>
      </c>
      <c r="D467" s="103" t="s">
        <v>1665</v>
      </c>
      <c r="E467" s="111">
        <v>2.0</v>
      </c>
      <c r="F467" s="103" t="s">
        <v>1297</v>
      </c>
      <c r="G467" s="103" t="s">
        <v>1406</v>
      </c>
      <c r="H467" s="112">
        <v>800.0</v>
      </c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  <c r="AA467" s="96"/>
    </row>
    <row r="468" ht="15.75" customHeight="1">
      <c r="A468" s="97" t="s">
        <v>1666</v>
      </c>
      <c r="B468" s="109">
        <v>46083.55796273148</v>
      </c>
      <c r="C468" s="110">
        <v>0.5576388888888889</v>
      </c>
      <c r="D468" s="103" t="s">
        <v>544</v>
      </c>
      <c r="E468" s="111">
        <v>1.0</v>
      </c>
      <c r="F468" s="112">
        <v>7200.0</v>
      </c>
      <c r="G468" s="103">
        <v>7200.0</v>
      </c>
      <c r="H468" s="112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  <c r="AA468" s="96"/>
    </row>
    <row r="469" ht="15.75" customHeight="1">
      <c r="A469" s="97" t="s">
        <v>1666</v>
      </c>
      <c r="B469" s="109">
        <v>46083.55796273148</v>
      </c>
      <c r="C469" s="110">
        <v>0.5576388888888889</v>
      </c>
      <c r="D469" s="103" t="s">
        <v>425</v>
      </c>
      <c r="E469" s="111">
        <v>1.0</v>
      </c>
      <c r="F469" s="112">
        <v>2000.0</v>
      </c>
      <c r="G469" s="103">
        <v>2000.0</v>
      </c>
      <c r="H469" s="112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  <c r="AA469" s="96"/>
    </row>
    <row r="470" ht="15.75" customHeight="1">
      <c r="A470" s="97" t="s">
        <v>1666</v>
      </c>
      <c r="B470" s="109">
        <v>46083.55796273148</v>
      </c>
      <c r="C470" s="110">
        <v>0.5576388888888889</v>
      </c>
      <c r="D470" s="103" t="s">
        <v>1364</v>
      </c>
      <c r="E470" s="111">
        <v>1.0</v>
      </c>
      <c r="F470" s="112">
        <v>3500.0</v>
      </c>
      <c r="G470" s="103">
        <v>3500.0</v>
      </c>
      <c r="H470" s="112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  <c r="AA470" s="96"/>
    </row>
    <row r="471" ht="15.75" customHeight="1">
      <c r="A471" s="97" t="s">
        <v>1666</v>
      </c>
      <c r="B471" s="109">
        <v>46083.55796273148</v>
      </c>
      <c r="C471" s="110">
        <v>0.5576388888888889</v>
      </c>
      <c r="D471" s="103" t="s">
        <v>1622</v>
      </c>
      <c r="E471" s="115">
        <v>0.6</v>
      </c>
      <c r="F471" s="112">
        <v>2400.0</v>
      </c>
      <c r="G471" s="103">
        <v>2400.0</v>
      </c>
      <c r="H471" s="112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  <c r="AA471" s="96"/>
    </row>
    <row r="472" ht="15.75" customHeight="1">
      <c r="A472" s="97" t="s">
        <v>1666</v>
      </c>
      <c r="B472" s="109">
        <v>46083.55796273148</v>
      </c>
      <c r="C472" s="110">
        <v>0.5576388888888889</v>
      </c>
      <c r="D472" s="103" t="s">
        <v>1667</v>
      </c>
      <c r="E472" s="115">
        <v>0.35</v>
      </c>
      <c r="F472" s="112">
        <v>1750.0</v>
      </c>
      <c r="G472" s="103">
        <v>1750.0</v>
      </c>
      <c r="H472" s="112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  <c r="AA472" s="96"/>
    </row>
    <row r="473" ht="15.75" customHeight="1">
      <c r="A473" s="111"/>
      <c r="B473" s="113">
        <v>46083.55796273148</v>
      </c>
      <c r="C473" s="114">
        <v>0.5576388888888889</v>
      </c>
      <c r="D473" s="103" t="s">
        <v>1668</v>
      </c>
      <c r="E473" s="111">
        <v>5.0</v>
      </c>
      <c r="F473" s="103" t="s">
        <v>1669</v>
      </c>
      <c r="G473" s="103" t="s">
        <v>1424</v>
      </c>
      <c r="H473" s="112">
        <v>16850.0</v>
      </c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  <c r="AA473" s="96"/>
    </row>
    <row r="474" ht="15.75" customHeight="1">
      <c r="A474" s="97" t="s">
        <v>1670</v>
      </c>
      <c r="B474" s="109">
        <v>46083.55834104167</v>
      </c>
      <c r="C474" s="110">
        <v>0.5583333333333333</v>
      </c>
      <c r="D474" s="103" t="s">
        <v>640</v>
      </c>
      <c r="E474" s="111">
        <v>1.0</v>
      </c>
      <c r="F474" s="112">
        <v>9000.0</v>
      </c>
      <c r="G474" s="103">
        <v>9000.0</v>
      </c>
      <c r="H474" s="112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  <c r="AA474" s="96"/>
    </row>
    <row r="475" ht="15.75" customHeight="1">
      <c r="A475" s="97" t="s">
        <v>1670</v>
      </c>
      <c r="B475" s="109">
        <v>46083.55834104167</v>
      </c>
      <c r="C475" s="110">
        <v>0.5583333333333333</v>
      </c>
      <c r="D475" s="103" t="s">
        <v>1048</v>
      </c>
      <c r="E475" s="111">
        <v>1.0</v>
      </c>
      <c r="F475" s="112">
        <v>2500.0</v>
      </c>
      <c r="G475" s="103">
        <v>2500.0</v>
      </c>
      <c r="H475" s="112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  <c r="AA475" s="96"/>
    </row>
    <row r="476" ht="15.75" customHeight="1">
      <c r="A476" s="111"/>
      <c r="B476" s="113">
        <v>46083.55834104167</v>
      </c>
      <c r="C476" s="114">
        <v>0.5583333333333333</v>
      </c>
      <c r="D476" s="103" t="s">
        <v>1671</v>
      </c>
      <c r="E476" s="111">
        <v>2.0</v>
      </c>
      <c r="F476" s="103" t="s">
        <v>1297</v>
      </c>
      <c r="G476" s="103" t="s">
        <v>1424</v>
      </c>
      <c r="H476" s="112">
        <v>11500.0</v>
      </c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  <c r="AA476" s="96"/>
    </row>
    <row r="477" ht="15.75" customHeight="1">
      <c r="A477" s="97" t="s">
        <v>1672</v>
      </c>
      <c r="B477" s="109">
        <v>46083.59848574074</v>
      </c>
      <c r="C477" s="110">
        <v>0.5979166666666667</v>
      </c>
      <c r="D477" s="103" t="s">
        <v>1673</v>
      </c>
      <c r="E477" s="115">
        <v>0.75</v>
      </c>
      <c r="F477" s="112">
        <v>3000.0</v>
      </c>
      <c r="G477" s="103">
        <v>3000.0</v>
      </c>
      <c r="H477" s="112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  <c r="AA477" s="96"/>
    </row>
    <row r="478" ht="15.75" customHeight="1">
      <c r="A478" s="111"/>
      <c r="B478" s="113">
        <v>46083.59848574074</v>
      </c>
      <c r="C478" s="114">
        <v>0.5979166666666667</v>
      </c>
      <c r="D478" s="103" t="s">
        <v>1674</v>
      </c>
      <c r="E478" s="111">
        <v>1.0</v>
      </c>
      <c r="F478" s="103" t="s">
        <v>1611</v>
      </c>
      <c r="G478" s="103" t="s">
        <v>1424</v>
      </c>
      <c r="H478" s="112">
        <v>3000.0</v>
      </c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  <c r="AA478" s="96"/>
    </row>
    <row r="479" ht="15.75" customHeight="1">
      <c r="A479" s="97" t="s">
        <v>1675</v>
      </c>
      <c r="B479" s="109">
        <v>46083.63538245371</v>
      </c>
      <c r="C479" s="110">
        <v>0.6347222222222222</v>
      </c>
      <c r="D479" s="103" t="s">
        <v>427</v>
      </c>
      <c r="E479" s="111">
        <v>1.0</v>
      </c>
      <c r="F479" s="112">
        <v>2000.0</v>
      </c>
      <c r="G479" s="103">
        <v>2000.0</v>
      </c>
      <c r="H479" s="112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  <c r="AA479" s="96"/>
    </row>
    <row r="480" ht="15.75" customHeight="1">
      <c r="A480" s="97" t="s">
        <v>1675</v>
      </c>
      <c r="B480" s="109">
        <v>46083.63538245371</v>
      </c>
      <c r="C480" s="110">
        <v>0.6347222222222222</v>
      </c>
      <c r="D480" s="103" t="s">
        <v>624</v>
      </c>
      <c r="E480" s="111">
        <v>1.0</v>
      </c>
      <c r="F480" s="112">
        <v>1800.0</v>
      </c>
      <c r="G480" s="103">
        <v>1800.0</v>
      </c>
      <c r="H480" s="112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  <c r="AA480" s="96"/>
    </row>
    <row r="481" ht="15.75" customHeight="1">
      <c r="A481" s="97" t="s">
        <v>1675</v>
      </c>
      <c r="B481" s="109">
        <v>46083.63538245371</v>
      </c>
      <c r="C481" s="110">
        <v>0.6347222222222222</v>
      </c>
      <c r="D481" s="103" t="s">
        <v>1267</v>
      </c>
      <c r="E481" s="111">
        <v>2.0</v>
      </c>
      <c r="F481" s="112">
        <v>500.0</v>
      </c>
      <c r="G481" s="103">
        <v>1000.0</v>
      </c>
      <c r="H481" s="112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  <c r="AA481" s="96"/>
    </row>
    <row r="482" ht="15.75" customHeight="1">
      <c r="A482" s="111"/>
      <c r="B482" s="113">
        <v>46083.63538245371</v>
      </c>
      <c r="C482" s="114">
        <v>0.6347222222222222</v>
      </c>
      <c r="D482" s="103" t="s">
        <v>1676</v>
      </c>
      <c r="E482" s="111">
        <v>4.0</v>
      </c>
      <c r="F482" s="103" t="s">
        <v>1611</v>
      </c>
      <c r="G482" s="103" t="s">
        <v>1424</v>
      </c>
      <c r="H482" s="112">
        <v>4800.0</v>
      </c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  <c r="AA482" s="96"/>
    </row>
    <row r="483" ht="15.75" customHeight="1">
      <c r="A483" s="97" t="s">
        <v>1677</v>
      </c>
      <c r="B483" s="109">
        <v>46083.63598773148</v>
      </c>
      <c r="C483" s="110">
        <v>0.6354166666666666</v>
      </c>
      <c r="D483" s="103" t="s">
        <v>435</v>
      </c>
      <c r="E483" s="111">
        <v>1.0</v>
      </c>
      <c r="F483" s="112">
        <v>2200.0</v>
      </c>
      <c r="G483" s="103">
        <v>2200.0</v>
      </c>
      <c r="H483" s="112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  <c r="AA483" s="96"/>
    </row>
    <row r="484" ht="15.75" customHeight="1">
      <c r="A484" s="111"/>
      <c r="B484" s="113">
        <v>46083.63598773148</v>
      </c>
      <c r="C484" s="114">
        <v>0.6354166666666666</v>
      </c>
      <c r="D484" s="103" t="s">
        <v>1678</v>
      </c>
      <c r="E484" s="111">
        <v>1.0</v>
      </c>
      <c r="F484" s="103" t="s">
        <v>1297</v>
      </c>
      <c r="G484" s="103" t="s">
        <v>1424</v>
      </c>
      <c r="H484" s="112">
        <v>2200.0</v>
      </c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  <c r="AA484" s="96"/>
    </row>
    <row r="485" ht="15.75" customHeight="1">
      <c r="A485" s="97" t="s">
        <v>1679</v>
      </c>
      <c r="B485" s="109">
        <v>46083.77669524305</v>
      </c>
      <c r="C485" s="110">
        <v>0.7763888888888889</v>
      </c>
      <c r="D485" s="103" t="s">
        <v>1680</v>
      </c>
      <c r="E485" s="115">
        <v>0.63</v>
      </c>
      <c r="F485" s="112">
        <v>3150.0</v>
      </c>
      <c r="G485" s="103">
        <v>3150.0</v>
      </c>
      <c r="H485" s="112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  <c r="AA485" s="96"/>
    </row>
    <row r="486" ht="15.75" customHeight="1">
      <c r="A486" s="97" t="s">
        <v>1679</v>
      </c>
      <c r="B486" s="109">
        <v>46083.77669524305</v>
      </c>
      <c r="C486" s="110">
        <v>0.7763888888888889</v>
      </c>
      <c r="D486" s="103" t="s">
        <v>1681</v>
      </c>
      <c r="E486" s="115">
        <v>1.1</v>
      </c>
      <c r="F486" s="112">
        <v>3850.0</v>
      </c>
      <c r="G486" s="103">
        <v>3850.0</v>
      </c>
      <c r="H486" s="112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  <c r="AA486" s="96"/>
    </row>
    <row r="487" ht="15.75" customHeight="1">
      <c r="A487" s="97" t="s">
        <v>1679</v>
      </c>
      <c r="B487" s="109">
        <v>46083.77669524305</v>
      </c>
      <c r="C487" s="110">
        <v>0.7763888888888889</v>
      </c>
      <c r="D487" s="103" t="s">
        <v>642</v>
      </c>
      <c r="E487" s="111">
        <v>2.0</v>
      </c>
      <c r="F487" s="112">
        <v>4000.0</v>
      </c>
      <c r="G487" s="103">
        <v>8000.0</v>
      </c>
      <c r="H487" s="112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  <c r="AA487" s="96"/>
    </row>
    <row r="488" ht="15.75" customHeight="1">
      <c r="A488" s="97" t="s">
        <v>1679</v>
      </c>
      <c r="B488" s="109">
        <v>46083.77669524305</v>
      </c>
      <c r="C488" s="110">
        <v>0.7763888888888889</v>
      </c>
      <c r="D488" s="103" t="s">
        <v>560</v>
      </c>
      <c r="E488" s="111">
        <v>1.0</v>
      </c>
      <c r="F488" s="112">
        <v>3000.0</v>
      </c>
      <c r="G488" s="103">
        <v>3000.0</v>
      </c>
      <c r="H488" s="112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  <c r="AA488" s="96"/>
    </row>
    <row r="489" ht="15.75" customHeight="1">
      <c r="A489" s="97" t="s">
        <v>1679</v>
      </c>
      <c r="B489" s="109">
        <v>46083.77669524305</v>
      </c>
      <c r="C489" s="110">
        <v>0.7763888888888889</v>
      </c>
      <c r="D489" s="103" t="s">
        <v>1682</v>
      </c>
      <c r="E489" s="111">
        <v>2.0</v>
      </c>
      <c r="F489" s="112">
        <v>4500.0</v>
      </c>
      <c r="G489" s="103">
        <v>9000.0</v>
      </c>
      <c r="H489" s="112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  <c r="AA489" s="96"/>
    </row>
    <row r="490" ht="15.75" customHeight="1">
      <c r="A490" s="97" t="s">
        <v>1679</v>
      </c>
      <c r="B490" s="109">
        <v>46083.77669524305</v>
      </c>
      <c r="C490" s="110">
        <v>0.7763888888888889</v>
      </c>
      <c r="D490" s="103" t="s">
        <v>199</v>
      </c>
      <c r="E490" s="111">
        <v>1.0</v>
      </c>
      <c r="F490" s="112">
        <v>2300.0</v>
      </c>
      <c r="G490" s="103">
        <v>2300.0</v>
      </c>
      <c r="H490" s="112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  <c r="AA490" s="96"/>
    </row>
    <row r="491" ht="15.75" customHeight="1">
      <c r="A491" s="111"/>
      <c r="B491" s="113">
        <v>46083.77669524305</v>
      </c>
      <c r="C491" s="114">
        <v>0.7763888888888889</v>
      </c>
      <c r="D491" s="103" t="s">
        <v>1683</v>
      </c>
      <c r="E491" s="111">
        <v>8.0</v>
      </c>
      <c r="F491" s="103" t="s">
        <v>1297</v>
      </c>
      <c r="G491" s="103" t="s">
        <v>1406</v>
      </c>
      <c r="H491" s="112">
        <v>29300.0</v>
      </c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  <c r="AA491" s="96"/>
    </row>
    <row r="492" ht="15.75" customHeight="1">
      <c r="A492" s="97" t="s">
        <v>1684</v>
      </c>
      <c r="B492" s="109">
        <v>46083.85781570602</v>
      </c>
      <c r="C492" s="110">
        <v>0.8576388888888888</v>
      </c>
      <c r="D492" s="103" t="s">
        <v>721</v>
      </c>
      <c r="E492" s="111">
        <v>1.0</v>
      </c>
      <c r="F492" s="112">
        <v>4500.0</v>
      </c>
      <c r="G492" s="103">
        <v>4500.0</v>
      </c>
      <c r="H492" s="112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  <c r="AA492" s="96"/>
    </row>
    <row r="493" ht="15.75" customHeight="1">
      <c r="A493" s="97" t="s">
        <v>1684</v>
      </c>
      <c r="B493" s="109">
        <v>46083.85781570602</v>
      </c>
      <c r="C493" s="110">
        <v>0.8576388888888888</v>
      </c>
      <c r="D493" s="103" t="s">
        <v>1269</v>
      </c>
      <c r="E493" s="111">
        <v>1.0</v>
      </c>
      <c r="F493" s="112">
        <v>4500.0</v>
      </c>
      <c r="G493" s="103">
        <v>4500.0</v>
      </c>
      <c r="H493" s="112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  <c r="AA493" s="96"/>
    </row>
    <row r="494" ht="15.75" customHeight="1">
      <c r="A494" s="97" t="s">
        <v>1684</v>
      </c>
      <c r="B494" s="109">
        <v>46083.85781570602</v>
      </c>
      <c r="C494" s="110">
        <v>0.8576388888888888</v>
      </c>
      <c r="D494" s="103" t="s">
        <v>1279</v>
      </c>
      <c r="E494" s="111">
        <v>1.0</v>
      </c>
      <c r="F494" s="112">
        <v>3500.0</v>
      </c>
      <c r="G494" s="103">
        <v>3500.0</v>
      </c>
      <c r="H494" s="112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  <c r="AA494" s="96"/>
    </row>
    <row r="495" ht="15.75" customHeight="1">
      <c r="A495" s="111"/>
      <c r="B495" s="113">
        <v>46083.85781570602</v>
      </c>
      <c r="C495" s="114">
        <v>0.8576388888888888</v>
      </c>
      <c r="D495" s="103" t="s">
        <v>1685</v>
      </c>
      <c r="E495" s="111">
        <v>3.0</v>
      </c>
      <c r="F495" s="103" t="s">
        <v>1611</v>
      </c>
      <c r="G495" s="103" t="s">
        <v>1406</v>
      </c>
      <c r="H495" s="112">
        <v>12500.0</v>
      </c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  <c r="AA495" s="96"/>
    </row>
    <row r="496" ht="15.75" customHeight="1">
      <c r="A496" s="97" t="s">
        <v>1686</v>
      </c>
      <c r="B496" s="109">
        <v>46083.87443555555</v>
      </c>
      <c r="C496" s="110">
        <v>0.8743055555555556</v>
      </c>
      <c r="D496" s="103" t="s">
        <v>1687</v>
      </c>
      <c r="E496" s="115">
        <v>0.345</v>
      </c>
      <c r="F496" s="112">
        <v>1725.0</v>
      </c>
      <c r="G496" s="103">
        <v>1725.0</v>
      </c>
      <c r="H496" s="112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  <c r="AA496" s="96"/>
    </row>
    <row r="497" ht="15.75" customHeight="1">
      <c r="A497" s="97" t="s">
        <v>1686</v>
      </c>
      <c r="B497" s="109">
        <v>46083.87443555555</v>
      </c>
      <c r="C497" s="110">
        <v>0.8743055555555556</v>
      </c>
      <c r="D497" s="103" t="s">
        <v>1434</v>
      </c>
      <c r="E497" s="115">
        <v>0.1</v>
      </c>
      <c r="F497" s="112">
        <v>700.0</v>
      </c>
      <c r="G497" s="103">
        <v>700.0</v>
      </c>
      <c r="H497" s="112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  <c r="AA497" s="96"/>
    </row>
    <row r="498" ht="15.75" customHeight="1">
      <c r="A498" s="97" t="s">
        <v>1686</v>
      </c>
      <c r="B498" s="109">
        <v>46083.87443555555</v>
      </c>
      <c r="C498" s="110">
        <v>0.8743055555555556</v>
      </c>
      <c r="D498" s="103" t="s">
        <v>182</v>
      </c>
      <c r="E498" s="111">
        <v>1.0</v>
      </c>
      <c r="F498" s="112">
        <v>1600.0</v>
      </c>
      <c r="G498" s="103">
        <v>1600.0</v>
      </c>
      <c r="H498" s="112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  <c r="AA498" s="96"/>
    </row>
    <row r="499" ht="15.75" customHeight="1">
      <c r="A499" s="111"/>
      <c r="B499" s="113">
        <v>46083.87443555555</v>
      </c>
      <c r="C499" s="114">
        <v>0.8743055555555556</v>
      </c>
      <c r="D499" s="103" t="s">
        <v>1688</v>
      </c>
      <c r="E499" s="111">
        <v>3.0</v>
      </c>
      <c r="F499" s="103" t="s">
        <v>1297</v>
      </c>
      <c r="G499" s="103" t="s">
        <v>1406</v>
      </c>
      <c r="H499" s="112">
        <v>4025.0</v>
      </c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  <c r="AA499" s="96"/>
    </row>
    <row r="500" ht="15.75" customHeight="1">
      <c r="A500" s="97" t="s">
        <v>1689</v>
      </c>
      <c r="B500" s="109">
        <v>46083.89447395833</v>
      </c>
      <c r="C500" s="110">
        <v>0.8944444444444445</v>
      </c>
      <c r="D500" s="103" t="s">
        <v>417</v>
      </c>
      <c r="E500" s="111">
        <v>1.0</v>
      </c>
      <c r="F500" s="112">
        <v>2000.0</v>
      </c>
      <c r="G500" s="103">
        <v>2000.0</v>
      </c>
      <c r="H500" s="112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  <c r="AA500" s="96"/>
    </row>
    <row r="501" ht="15.75" customHeight="1">
      <c r="A501" s="97" t="s">
        <v>1689</v>
      </c>
      <c r="B501" s="109">
        <v>46083.89447395833</v>
      </c>
      <c r="C501" s="110">
        <v>0.8944444444444445</v>
      </c>
      <c r="D501" s="103" t="s">
        <v>402</v>
      </c>
      <c r="E501" s="111">
        <v>1.0</v>
      </c>
      <c r="F501" s="112">
        <v>1600.0</v>
      </c>
      <c r="G501" s="103">
        <v>1600.0</v>
      </c>
      <c r="H501" s="112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  <c r="AA501" s="96"/>
    </row>
    <row r="502" ht="15.75" customHeight="1">
      <c r="A502" s="111"/>
      <c r="B502" s="113">
        <v>46083.89447395833</v>
      </c>
      <c r="C502" s="114">
        <v>0.8944444444444445</v>
      </c>
      <c r="D502" s="103" t="s">
        <v>1690</v>
      </c>
      <c r="E502" s="111">
        <v>2.0</v>
      </c>
      <c r="F502" s="103" t="s">
        <v>1297</v>
      </c>
      <c r="G502" s="103" t="s">
        <v>1406</v>
      </c>
      <c r="H502" s="112">
        <v>3600.0</v>
      </c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  <c r="AA502" s="96"/>
    </row>
    <row r="503" ht="15.75" customHeight="1">
      <c r="A503" s="97" t="s">
        <v>1691</v>
      </c>
      <c r="B503" s="109">
        <v>46083.89475590278</v>
      </c>
      <c r="C503" s="110">
        <v>0.8944444444444445</v>
      </c>
      <c r="D503" s="103" t="s">
        <v>719</v>
      </c>
      <c r="E503" s="111">
        <v>1.0</v>
      </c>
      <c r="F503" s="112">
        <v>5500.0</v>
      </c>
      <c r="G503" s="103">
        <v>5500.0</v>
      </c>
      <c r="H503" s="112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  <c r="AA503" s="96"/>
    </row>
    <row r="504" ht="15.75" customHeight="1">
      <c r="A504" s="111"/>
      <c r="B504" s="113">
        <v>46083.89475590278</v>
      </c>
      <c r="C504" s="114">
        <v>0.8944444444444445</v>
      </c>
      <c r="D504" s="103" t="s">
        <v>1692</v>
      </c>
      <c r="E504" s="111">
        <v>1.0</v>
      </c>
      <c r="F504" s="103" t="s">
        <v>1297</v>
      </c>
      <c r="G504" s="103" t="s">
        <v>1406</v>
      </c>
      <c r="H504" s="112">
        <v>5500.0</v>
      </c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  <c r="AA504" s="96"/>
    </row>
    <row r="505" ht="15.75" customHeight="1">
      <c r="A505" s="97" t="s">
        <v>1693</v>
      </c>
      <c r="B505" s="109">
        <v>46083.89698829861</v>
      </c>
      <c r="C505" s="110">
        <v>0.8965277777777778</v>
      </c>
      <c r="D505" s="103" t="s">
        <v>629</v>
      </c>
      <c r="E505" s="111">
        <v>1.0</v>
      </c>
      <c r="F505" s="112">
        <v>2000.0</v>
      </c>
      <c r="G505" s="103">
        <v>2000.0</v>
      </c>
      <c r="H505" s="112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  <c r="AA505" s="96"/>
    </row>
    <row r="506" ht="15.75" customHeight="1">
      <c r="A506" s="97" t="s">
        <v>1693</v>
      </c>
      <c r="B506" s="109">
        <v>46083.89698829861</v>
      </c>
      <c r="C506" s="110">
        <v>0.8965277777777778</v>
      </c>
      <c r="D506" s="103" t="s">
        <v>213</v>
      </c>
      <c r="E506" s="111">
        <v>1.0</v>
      </c>
      <c r="F506" s="112">
        <v>3300.0</v>
      </c>
      <c r="G506" s="103">
        <v>3300.0</v>
      </c>
      <c r="H506" s="112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  <c r="AA506" s="96"/>
    </row>
    <row r="507" ht="15.75" customHeight="1">
      <c r="A507" s="111"/>
      <c r="B507" s="113">
        <v>46083.89698829861</v>
      </c>
      <c r="C507" s="114">
        <v>0.8965277777777778</v>
      </c>
      <c r="D507" s="103" t="s">
        <v>1694</v>
      </c>
      <c r="E507" s="111">
        <v>2.0</v>
      </c>
      <c r="F507" s="103" t="s">
        <v>1611</v>
      </c>
      <c r="G507" s="103" t="s">
        <v>1406</v>
      </c>
      <c r="H507" s="112">
        <v>5300.0</v>
      </c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  <c r="AA507" s="96"/>
    </row>
    <row r="508" ht="15.75" customHeight="1">
      <c r="A508" s="97" t="s">
        <v>1695</v>
      </c>
      <c r="B508" s="109">
        <v>46083.89780509259</v>
      </c>
      <c r="C508" s="110">
        <v>0.8972222222222223</v>
      </c>
      <c r="D508" s="103" t="s">
        <v>224</v>
      </c>
      <c r="E508" s="111">
        <v>1.0</v>
      </c>
      <c r="F508" s="112">
        <v>3200.0</v>
      </c>
      <c r="G508" s="103">
        <v>3200.0</v>
      </c>
      <c r="H508" s="112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  <c r="AA508" s="96"/>
    </row>
    <row r="509" ht="15.75" customHeight="1">
      <c r="A509" s="111"/>
      <c r="B509" s="113">
        <v>46083.89780509259</v>
      </c>
      <c r="C509" s="114">
        <v>0.8972222222222223</v>
      </c>
      <c r="D509" s="103" t="s">
        <v>1696</v>
      </c>
      <c r="E509" s="111">
        <v>1.0</v>
      </c>
      <c r="F509" s="103" t="s">
        <v>1297</v>
      </c>
      <c r="G509" s="103" t="s">
        <v>1406</v>
      </c>
      <c r="H509" s="112">
        <v>3200.0</v>
      </c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  <c r="AA509" s="96"/>
    </row>
    <row r="510" ht="15.75" customHeight="1">
      <c r="A510" s="97" t="s">
        <v>1697</v>
      </c>
      <c r="B510" s="109">
        <v>46083.89809162037</v>
      </c>
      <c r="C510" s="110">
        <v>0.8979166666666667</v>
      </c>
      <c r="D510" s="103" t="s">
        <v>1275</v>
      </c>
      <c r="E510" s="111">
        <v>2.0</v>
      </c>
      <c r="F510" s="112">
        <v>1000.0</v>
      </c>
      <c r="G510" s="103">
        <v>2000.0</v>
      </c>
      <c r="H510" s="112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  <c r="AA510" s="96"/>
    </row>
    <row r="511" ht="15.75" customHeight="1">
      <c r="A511" s="111"/>
      <c r="B511" s="113">
        <v>46083.89809162037</v>
      </c>
      <c r="C511" s="114">
        <v>0.8979166666666667</v>
      </c>
      <c r="D511" s="103" t="s">
        <v>1698</v>
      </c>
      <c r="E511" s="111">
        <v>2.0</v>
      </c>
      <c r="F511" s="103" t="s">
        <v>1297</v>
      </c>
      <c r="G511" s="103" t="s">
        <v>1406</v>
      </c>
      <c r="H511" s="112">
        <v>2000.0</v>
      </c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  <c r="AA511" s="96"/>
    </row>
    <row r="512" ht="15.75" customHeight="1">
      <c r="A512" s="97" t="s">
        <v>1699</v>
      </c>
      <c r="B512" s="109">
        <v>46083.90126953704</v>
      </c>
      <c r="C512" s="110">
        <v>0.9006944444444445</v>
      </c>
      <c r="D512" s="103" t="s">
        <v>721</v>
      </c>
      <c r="E512" s="111">
        <v>1.0</v>
      </c>
      <c r="F512" s="112">
        <v>4500.0</v>
      </c>
      <c r="G512" s="103">
        <v>4500.0</v>
      </c>
      <c r="H512" s="112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  <c r="AA512" s="96"/>
    </row>
    <row r="513" ht="15.75" customHeight="1">
      <c r="A513" s="111"/>
      <c r="B513" s="113">
        <v>46083.90126953704</v>
      </c>
      <c r="C513" s="114">
        <v>0.9006944444444445</v>
      </c>
      <c r="D513" s="103" t="s">
        <v>1700</v>
      </c>
      <c r="E513" s="111">
        <v>1.0</v>
      </c>
      <c r="F513" s="103" t="s">
        <v>1297</v>
      </c>
      <c r="G513" s="103" t="s">
        <v>1406</v>
      </c>
      <c r="H513" s="112">
        <v>4500.0</v>
      </c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  <c r="AA513" s="96"/>
    </row>
    <row r="514" ht="15.75" customHeight="1">
      <c r="A514" s="97" t="s">
        <v>1701</v>
      </c>
      <c r="B514" s="109">
        <v>46083.9173143287</v>
      </c>
      <c r="C514" s="110">
        <v>0.9166666666666666</v>
      </c>
      <c r="D514" s="103" t="s">
        <v>1271</v>
      </c>
      <c r="E514" s="111">
        <v>1.0</v>
      </c>
      <c r="F514" s="112">
        <v>5000.0</v>
      </c>
      <c r="G514" s="103">
        <v>5000.0</v>
      </c>
      <c r="H514" s="112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  <c r="AA514" s="96"/>
    </row>
    <row r="515" ht="15.75" customHeight="1">
      <c r="A515" s="97" t="s">
        <v>1701</v>
      </c>
      <c r="B515" s="109">
        <v>46083.9173143287</v>
      </c>
      <c r="C515" s="110">
        <v>0.9166666666666666</v>
      </c>
      <c r="D515" s="103" t="s">
        <v>1269</v>
      </c>
      <c r="E515" s="111">
        <v>1.0</v>
      </c>
      <c r="F515" s="112">
        <v>4500.0</v>
      </c>
      <c r="G515" s="103">
        <v>4500.0</v>
      </c>
      <c r="H515" s="112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  <c r="AA515" s="96"/>
    </row>
    <row r="516" ht="15.75" customHeight="1">
      <c r="A516" s="97" t="s">
        <v>1701</v>
      </c>
      <c r="B516" s="109">
        <v>46083.9173143287</v>
      </c>
      <c r="C516" s="110">
        <v>0.9166666666666666</v>
      </c>
      <c r="D516" s="103" t="s">
        <v>1279</v>
      </c>
      <c r="E516" s="111">
        <v>2.0</v>
      </c>
      <c r="F516" s="112">
        <v>3500.0</v>
      </c>
      <c r="G516" s="103">
        <v>7000.0</v>
      </c>
      <c r="H516" s="112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  <c r="AA516" s="96"/>
    </row>
    <row r="517" ht="15.75" customHeight="1">
      <c r="A517" s="111"/>
      <c r="B517" s="113">
        <v>46083.9173143287</v>
      </c>
      <c r="C517" s="114">
        <v>0.9166666666666666</v>
      </c>
      <c r="D517" s="103" t="s">
        <v>1702</v>
      </c>
      <c r="E517" s="111">
        <v>4.0</v>
      </c>
      <c r="F517" s="103" t="s">
        <v>1669</v>
      </c>
      <c r="G517" s="103" t="s">
        <v>1406</v>
      </c>
      <c r="H517" s="112">
        <v>16500.0</v>
      </c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  <c r="AA517" s="96"/>
    </row>
    <row r="518" ht="15.75" customHeight="1">
      <c r="A518" s="97" t="s">
        <v>1703</v>
      </c>
      <c r="B518" s="109">
        <v>46084.62792020833</v>
      </c>
      <c r="C518" s="110">
        <v>0.6277777777777778</v>
      </c>
      <c r="D518" s="103" t="s">
        <v>148</v>
      </c>
      <c r="E518" s="111">
        <v>2.0</v>
      </c>
      <c r="F518" s="112">
        <v>1600.0</v>
      </c>
      <c r="G518" s="103">
        <v>3200.0</v>
      </c>
      <c r="H518" s="112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  <c r="AA518" s="96"/>
    </row>
    <row r="519" ht="15.75" customHeight="1">
      <c r="A519" s="97" t="s">
        <v>1703</v>
      </c>
      <c r="B519" s="109">
        <v>46084.62792020833</v>
      </c>
      <c r="C519" s="110">
        <v>0.6277777777777778</v>
      </c>
      <c r="D519" s="103" t="s">
        <v>72</v>
      </c>
      <c r="E519" s="111">
        <v>1.0</v>
      </c>
      <c r="F519" s="112">
        <v>2000.0</v>
      </c>
      <c r="G519" s="103">
        <v>2000.0</v>
      </c>
      <c r="H519" s="112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  <c r="AA519" s="96"/>
    </row>
    <row r="520" ht="15.75" customHeight="1">
      <c r="A520" s="111"/>
      <c r="B520" s="113">
        <v>46084.62792020833</v>
      </c>
      <c r="C520" s="114">
        <v>0.6277777777777778</v>
      </c>
      <c r="D520" s="103" t="s">
        <v>1704</v>
      </c>
      <c r="E520" s="111">
        <v>3.0</v>
      </c>
      <c r="F520" s="103" t="s">
        <v>1297</v>
      </c>
      <c r="G520" s="103" t="s">
        <v>1406</v>
      </c>
      <c r="H520" s="112">
        <v>5200.0</v>
      </c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  <c r="AA520" s="96"/>
    </row>
    <row r="521" ht="15.75" customHeight="1">
      <c r="A521" s="97" t="s">
        <v>1705</v>
      </c>
      <c r="B521" s="109">
        <v>46084.68652686343</v>
      </c>
      <c r="C521" s="110">
        <v>0.6861111111111111</v>
      </c>
      <c r="D521" s="103" t="s">
        <v>1706</v>
      </c>
      <c r="E521" s="115">
        <v>0.215</v>
      </c>
      <c r="F521" s="112">
        <v>860.0</v>
      </c>
      <c r="G521" s="103">
        <v>860.0</v>
      </c>
      <c r="H521" s="112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  <c r="AA521" s="96"/>
    </row>
    <row r="522" ht="15.75" customHeight="1">
      <c r="A522" s="97" t="s">
        <v>1705</v>
      </c>
      <c r="B522" s="109">
        <v>46084.68652686343</v>
      </c>
      <c r="C522" s="110">
        <v>0.6861111111111111</v>
      </c>
      <c r="D522" s="103" t="s">
        <v>220</v>
      </c>
      <c r="E522" s="111">
        <v>1.0</v>
      </c>
      <c r="F522" s="112">
        <v>1500.0</v>
      </c>
      <c r="G522" s="103">
        <v>1500.0</v>
      </c>
      <c r="H522" s="112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  <c r="AA522" s="96"/>
    </row>
    <row r="523" ht="15.75" customHeight="1">
      <c r="A523" s="97" t="s">
        <v>1705</v>
      </c>
      <c r="B523" s="109">
        <v>46084.68652686343</v>
      </c>
      <c r="C523" s="110">
        <v>0.6861111111111111</v>
      </c>
      <c r="D523" s="103" t="s">
        <v>532</v>
      </c>
      <c r="E523" s="111">
        <v>1.0</v>
      </c>
      <c r="F523" s="112">
        <v>5000.0</v>
      </c>
      <c r="G523" s="103">
        <v>5000.0</v>
      </c>
      <c r="H523" s="112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  <c r="AA523" s="96"/>
    </row>
    <row r="524" ht="15.75" customHeight="1">
      <c r="A524" s="97" t="s">
        <v>1705</v>
      </c>
      <c r="B524" s="109">
        <v>46084.68652686343</v>
      </c>
      <c r="C524" s="110">
        <v>0.6861111111111111</v>
      </c>
      <c r="D524" s="103" t="s">
        <v>148</v>
      </c>
      <c r="E524" s="111">
        <v>2.0</v>
      </c>
      <c r="F524" s="112">
        <v>1600.0</v>
      </c>
      <c r="G524" s="103">
        <v>3200.0</v>
      </c>
      <c r="H524" s="112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  <c r="AA524" s="96"/>
    </row>
    <row r="525" ht="15.75" customHeight="1">
      <c r="A525" s="97" t="s">
        <v>1705</v>
      </c>
      <c r="B525" s="109">
        <v>46084.68652686343</v>
      </c>
      <c r="C525" s="110">
        <v>0.6861111111111111</v>
      </c>
      <c r="D525" s="103" t="s">
        <v>1707</v>
      </c>
      <c r="E525" s="115">
        <v>0.29</v>
      </c>
      <c r="F525" s="112">
        <v>1450.0</v>
      </c>
      <c r="G525" s="103">
        <v>1450.0</v>
      </c>
      <c r="H525" s="112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  <c r="AA525" s="96"/>
    </row>
    <row r="526" ht="15.75" customHeight="1">
      <c r="A526" s="97" t="s">
        <v>1705</v>
      </c>
      <c r="B526" s="109">
        <v>46084.68652686343</v>
      </c>
      <c r="C526" s="110">
        <v>0.6861111111111111</v>
      </c>
      <c r="D526" s="103" t="s">
        <v>1273</v>
      </c>
      <c r="E526" s="111">
        <v>1.0</v>
      </c>
      <c r="F526" s="112">
        <v>2500.0</v>
      </c>
      <c r="G526" s="103">
        <v>2500.0</v>
      </c>
      <c r="H526" s="112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  <c r="AA526" s="96"/>
    </row>
    <row r="527" ht="15.75" customHeight="1">
      <c r="A527" s="97" t="s">
        <v>1705</v>
      </c>
      <c r="B527" s="109">
        <v>46084.68652686343</v>
      </c>
      <c r="C527" s="110">
        <v>0.6861111111111111</v>
      </c>
      <c r="D527" s="103" t="s">
        <v>574</v>
      </c>
      <c r="E527" s="111">
        <v>1.0</v>
      </c>
      <c r="F527" s="112">
        <v>3000.0</v>
      </c>
      <c r="G527" s="103">
        <v>3000.0</v>
      </c>
      <c r="H527" s="112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  <c r="AA527" s="96"/>
    </row>
    <row r="528" ht="15.75" customHeight="1">
      <c r="A528" s="97" t="s">
        <v>1705</v>
      </c>
      <c r="B528" s="109">
        <v>46084.68652686343</v>
      </c>
      <c r="C528" s="110">
        <v>0.6861111111111111</v>
      </c>
      <c r="D528" s="103" t="s">
        <v>93</v>
      </c>
      <c r="E528" s="111">
        <v>1.0</v>
      </c>
      <c r="F528" s="112">
        <v>4000.0</v>
      </c>
      <c r="G528" s="103">
        <v>4000.0</v>
      </c>
      <c r="H528" s="112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  <c r="AA528" s="96"/>
    </row>
    <row r="529" ht="15.75" customHeight="1">
      <c r="A529" s="111"/>
      <c r="B529" s="113">
        <v>46084.68652686343</v>
      </c>
      <c r="C529" s="114">
        <v>0.6861111111111111</v>
      </c>
      <c r="D529" s="103" t="s">
        <v>1708</v>
      </c>
      <c r="E529" s="111">
        <v>9.0</v>
      </c>
      <c r="F529" s="103" t="s">
        <v>1611</v>
      </c>
      <c r="G529" s="103" t="s">
        <v>1406</v>
      </c>
      <c r="H529" s="112">
        <v>21510.0</v>
      </c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  <c r="AA529" s="96"/>
    </row>
    <row r="530" ht="15.75" customHeight="1">
      <c r="A530" s="97" t="s">
        <v>1709</v>
      </c>
      <c r="B530" s="109">
        <v>46084.69442184028</v>
      </c>
      <c r="C530" s="110">
        <v>0.69375</v>
      </c>
      <c r="D530" s="103" t="s">
        <v>268</v>
      </c>
      <c r="E530" s="111">
        <v>1.0</v>
      </c>
      <c r="F530" s="112">
        <v>3500.0</v>
      </c>
      <c r="G530" s="103">
        <v>3500.0</v>
      </c>
      <c r="H530" s="112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  <c r="AA530" s="96"/>
    </row>
    <row r="531" ht="15.75" customHeight="1">
      <c r="A531" s="111"/>
      <c r="B531" s="113">
        <v>46084.69442184028</v>
      </c>
      <c r="C531" s="114">
        <v>0.69375</v>
      </c>
      <c r="D531" s="103" t="s">
        <v>1710</v>
      </c>
      <c r="E531" s="111">
        <v>1.0</v>
      </c>
      <c r="F531" s="103" t="s">
        <v>1611</v>
      </c>
      <c r="G531" s="103" t="s">
        <v>1406</v>
      </c>
      <c r="H531" s="112">
        <v>3500.0</v>
      </c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  <c r="AA531" s="96"/>
    </row>
    <row r="532" ht="15.75" customHeight="1">
      <c r="A532" s="97" t="s">
        <v>1711</v>
      </c>
      <c r="B532" s="109">
        <v>46084.71000752315</v>
      </c>
      <c r="C532" s="110">
        <v>0.7097222222222223</v>
      </c>
      <c r="D532" s="103" t="s">
        <v>80</v>
      </c>
      <c r="E532" s="111">
        <v>1.0</v>
      </c>
      <c r="F532" s="112">
        <v>2500.0</v>
      </c>
      <c r="G532" s="103">
        <v>2500.0</v>
      </c>
      <c r="H532" s="112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  <c r="AA532" s="96"/>
    </row>
    <row r="533" ht="15.75" customHeight="1">
      <c r="A533" s="111"/>
      <c r="B533" s="113">
        <v>46084.71000752315</v>
      </c>
      <c r="C533" s="114">
        <v>0.7097222222222223</v>
      </c>
      <c r="D533" s="103" t="s">
        <v>1712</v>
      </c>
      <c r="E533" s="111">
        <v>1.0</v>
      </c>
      <c r="F533" s="103" t="s">
        <v>1297</v>
      </c>
      <c r="G533" s="103" t="s">
        <v>1406</v>
      </c>
      <c r="H533" s="112">
        <v>2500.0</v>
      </c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  <c r="AA533" s="96"/>
    </row>
    <row r="534" ht="15.75" customHeight="1">
      <c r="A534" s="97" t="s">
        <v>1713</v>
      </c>
      <c r="B534" s="109">
        <v>46084.73680296297</v>
      </c>
      <c r="C534" s="110">
        <v>0.7361111111111112</v>
      </c>
      <c r="D534" s="103" t="s">
        <v>1174</v>
      </c>
      <c r="E534" s="111">
        <v>1.0</v>
      </c>
      <c r="F534" s="112">
        <v>3500.0</v>
      </c>
      <c r="G534" s="103">
        <v>3500.0</v>
      </c>
      <c r="H534" s="112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  <c r="AA534" s="96"/>
    </row>
    <row r="535" ht="15.75" customHeight="1">
      <c r="A535" s="111"/>
      <c r="B535" s="113">
        <v>46084.73680296297</v>
      </c>
      <c r="C535" s="114">
        <v>0.7361111111111112</v>
      </c>
      <c r="D535" s="103" t="s">
        <v>1714</v>
      </c>
      <c r="E535" s="111">
        <v>1.0</v>
      </c>
      <c r="F535" s="103" t="s">
        <v>1297</v>
      </c>
      <c r="G535" s="103" t="s">
        <v>1406</v>
      </c>
      <c r="H535" s="112">
        <v>3500.0</v>
      </c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  <c r="AA535" s="96"/>
    </row>
    <row r="536" ht="15.75" customHeight="1">
      <c r="A536" s="97" t="s">
        <v>1715</v>
      </c>
      <c r="B536" s="109">
        <v>46084.74208896991</v>
      </c>
      <c r="C536" s="110">
        <v>0.7416666666666667</v>
      </c>
      <c r="D536" s="103" t="s">
        <v>893</v>
      </c>
      <c r="E536" s="111">
        <v>1.0</v>
      </c>
      <c r="F536" s="112">
        <v>4500.0</v>
      </c>
      <c r="G536" s="103">
        <v>4500.0</v>
      </c>
      <c r="H536" s="112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  <c r="AA536" s="96"/>
    </row>
    <row r="537" ht="15.75" customHeight="1">
      <c r="A537" s="97" t="s">
        <v>1715</v>
      </c>
      <c r="B537" s="109">
        <v>46084.74208896991</v>
      </c>
      <c r="C537" s="110">
        <v>0.7416666666666667</v>
      </c>
      <c r="D537" s="103" t="s">
        <v>1275</v>
      </c>
      <c r="E537" s="111">
        <v>2.0</v>
      </c>
      <c r="F537" s="112">
        <v>1000.0</v>
      </c>
      <c r="G537" s="103">
        <v>2000.0</v>
      </c>
      <c r="H537" s="112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  <c r="AA537" s="96"/>
    </row>
    <row r="538" ht="15.75" customHeight="1">
      <c r="A538" s="97" t="s">
        <v>1715</v>
      </c>
      <c r="B538" s="109">
        <v>46084.74208896991</v>
      </c>
      <c r="C538" s="110">
        <v>0.7416666666666667</v>
      </c>
      <c r="D538" s="103" t="s">
        <v>510</v>
      </c>
      <c r="E538" s="111">
        <v>1.0</v>
      </c>
      <c r="F538" s="112">
        <v>1500.0</v>
      </c>
      <c r="G538" s="103">
        <v>1500.0</v>
      </c>
      <c r="H538" s="112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  <c r="AA538" s="96"/>
    </row>
    <row r="539" ht="15.75" customHeight="1">
      <c r="A539" s="97" t="s">
        <v>1715</v>
      </c>
      <c r="B539" s="109">
        <v>46084.74208896991</v>
      </c>
      <c r="C539" s="110">
        <v>0.7416666666666667</v>
      </c>
      <c r="D539" s="103" t="s">
        <v>631</v>
      </c>
      <c r="E539" s="111">
        <v>1.0</v>
      </c>
      <c r="F539" s="112">
        <v>2500.0</v>
      </c>
      <c r="G539" s="103">
        <v>2500.0</v>
      </c>
      <c r="H539" s="112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  <c r="AA539" s="96"/>
    </row>
    <row r="540" ht="15.75" customHeight="1">
      <c r="A540" s="111"/>
      <c r="B540" s="113">
        <v>46084.74208896991</v>
      </c>
      <c r="C540" s="114">
        <v>0.7416666666666667</v>
      </c>
      <c r="D540" s="103" t="s">
        <v>1716</v>
      </c>
      <c r="E540" s="111">
        <v>5.0</v>
      </c>
      <c r="F540" s="103" t="s">
        <v>1297</v>
      </c>
      <c r="G540" s="103" t="s">
        <v>1406</v>
      </c>
      <c r="H540" s="112">
        <v>10500.0</v>
      </c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  <c r="AA540" s="96"/>
    </row>
    <row r="541" ht="15.75" customHeight="1">
      <c r="A541" s="116" t="s">
        <v>1717</v>
      </c>
      <c r="B541" s="117">
        <v>46084.79241778935</v>
      </c>
      <c r="C541" s="118">
        <v>0.7923611111111111</v>
      </c>
      <c r="D541" s="119" t="s">
        <v>1160</v>
      </c>
      <c r="E541" s="115">
        <v>1.0</v>
      </c>
      <c r="F541" s="120">
        <v>2500.0</v>
      </c>
      <c r="G541" s="121">
        <v>2500.0</v>
      </c>
      <c r="H541" s="112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  <c r="AA541" s="96"/>
    </row>
    <row r="542" ht="15.75" customHeight="1">
      <c r="A542" s="116" t="s">
        <v>1717</v>
      </c>
      <c r="B542" s="117">
        <v>46084.79241778935</v>
      </c>
      <c r="C542" s="118">
        <v>0.7923611111111111</v>
      </c>
      <c r="D542" s="119" t="s">
        <v>1718</v>
      </c>
      <c r="E542" s="115">
        <v>1.0</v>
      </c>
      <c r="F542" s="120">
        <v>3500.0</v>
      </c>
      <c r="G542" s="121">
        <v>3500.0</v>
      </c>
      <c r="H542" s="112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  <c r="AA542" s="96"/>
    </row>
    <row r="543" ht="15.75" customHeight="1">
      <c r="A543" s="116" t="s">
        <v>1717</v>
      </c>
      <c r="B543" s="117">
        <v>46084.79241778935</v>
      </c>
      <c r="C543" s="118">
        <v>0.7923611111111111</v>
      </c>
      <c r="D543" s="119" t="s">
        <v>360</v>
      </c>
      <c r="E543" s="115">
        <v>2.0</v>
      </c>
      <c r="F543" s="120">
        <v>2000.0</v>
      </c>
      <c r="G543" s="121">
        <v>4000.0</v>
      </c>
      <c r="H543" s="112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  <c r="AA543" s="96"/>
    </row>
    <row r="544" ht="15.75" customHeight="1">
      <c r="A544" s="111"/>
      <c r="B544" s="122">
        <v>46084.79241778935</v>
      </c>
      <c r="C544" s="123">
        <v>0.7923611111111111</v>
      </c>
      <c r="D544" s="119" t="s">
        <v>1719</v>
      </c>
      <c r="E544" s="115">
        <v>4.0</v>
      </c>
      <c r="F544" s="119" t="s">
        <v>1297</v>
      </c>
      <c r="G544" s="119" t="s">
        <v>1720</v>
      </c>
      <c r="H544" s="120">
        <v>9000.0</v>
      </c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  <c r="AA544" s="96"/>
    </row>
    <row r="545" ht="15.75" customHeight="1">
      <c r="A545" s="116" t="s">
        <v>1721</v>
      </c>
      <c r="B545" s="117">
        <v>46084.82642077546</v>
      </c>
      <c r="C545" s="118">
        <v>0.8263888888888888</v>
      </c>
      <c r="D545" s="119" t="s">
        <v>1722</v>
      </c>
      <c r="E545" s="115">
        <v>0.236</v>
      </c>
      <c r="F545" s="120">
        <v>3776.0</v>
      </c>
      <c r="G545" s="121">
        <v>3776.0</v>
      </c>
      <c r="H545" s="112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  <c r="AA545" s="96"/>
    </row>
    <row r="546" ht="15.75" customHeight="1">
      <c r="A546" s="116" t="s">
        <v>1721</v>
      </c>
      <c r="B546" s="117">
        <v>46084.82642077546</v>
      </c>
      <c r="C546" s="118">
        <v>0.8263888888888888</v>
      </c>
      <c r="D546" s="119" t="s">
        <v>242</v>
      </c>
      <c r="E546" s="115">
        <v>1.0</v>
      </c>
      <c r="F546" s="120">
        <v>2700.0</v>
      </c>
      <c r="G546" s="121">
        <v>2700.0</v>
      </c>
      <c r="H546" s="112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  <c r="AA546" s="96"/>
    </row>
    <row r="547" ht="15.75" customHeight="1">
      <c r="A547" s="116" t="s">
        <v>1721</v>
      </c>
      <c r="B547" s="117">
        <v>46084.82642077546</v>
      </c>
      <c r="C547" s="118">
        <v>0.8263888888888888</v>
      </c>
      <c r="D547" s="119" t="s">
        <v>1723</v>
      </c>
      <c r="E547" s="115">
        <v>0.125</v>
      </c>
      <c r="F547" s="120">
        <v>500.0</v>
      </c>
      <c r="G547" s="121">
        <v>500.0</v>
      </c>
      <c r="H547" s="112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  <c r="AA547" s="96"/>
    </row>
    <row r="548" ht="15.75" customHeight="1">
      <c r="A548" s="116" t="s">
        <v>1721</v>
      </c>
      <c r="B548" s="117">
        <v>46084.82642077546</v>
      </c>
      <c r="C548" s="118">
        <v>0.8263888888888888</v>
      </c>
      <c r="D548" s="119" t="s">
        <v>193</v>
      </c>
      <c r="E548" s="115">
        <v>1.0</v>
      </c>
      <c r="F548" s="120">
        <v>2200.0</v>
      </c>
      <c r="G548" s="121">
        <v>2200.0</v>
      </c>
      <c r="H548" s="112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  <c r="AA548" s="96"/>
    </row>
    <row r="549" ht="15.75" customHeight="1">
      <c r="A549" s="116" t="s">
        <v>1721</v>
      </c>
      <c r="B549" s="117">
        <v>46084.82642077546</v>
      </c>
      <c r="C549" s="118">
        <v>0.8263888888888888</v>
      </c>
      <c r="D549" s="119" t="s">
        <v>468</v>
      </c>
      <c r="E549" s="115">
        <v>1.0</v>
      </c>
      <c r="F549" s="120">
        <v>2300.0</v>
      </c>
      <c r="G549" s="121">
        <v>2300.0</v>
      </c>
      <c r="H549" s="112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  <c r="AA549" s="96"/>
    </row>
    <row r="550" ht="15.75" customHeight="1">
      <c r="A550" s="111"/>
      <c r="B550" s="122">
        <v>46084.82642077546</v>
      </c>
      <c r="C550" s="123">
        <v>0.8263888888888888</v>
      </c>
      <c r="D550" s="119" t="s">
        <v>1724</v>
      </c>
      <c r="E550" s="115">
        <v>5.0</v>
      </c>
      <c r="F550" s="119" t="s">
        <v>1611</v>
      </c>
      <c r="G550" s="119" t="s">
        <v>1720</v>
      </c>
      <c r="H550" s="120">
        <v>11476.0</v>
      </c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  <c r="AA550" s="96"/>
    </row>
    <row r="551" ht="15.75" customHeight="1">
      <c r="A551" s="116" t="s">
        <v>1725</v>
      </c>
      <c r="B551" s="117">
        <v>46084.85765899306</v>
      </c>
      <c r="C551" s="118">
        <v>0.8576388888888888</v>
      </c>
      <c r="D551" s="119" t="s">
        <v>550</v>
      </c>
      <c r="E551" s="115">
        <v>2.0</v>
      </c>
      <c r="F551" s="120">
        <v>1500.0</v>
      </c>
      <c r="G551" s="121">
        <v>3000.0</v>
      </c>
      <c r="H551" s="112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  <c r="AA551" s="96"/>
    </row>
    <row r="552" ht="15.75" customHeight="1">
      <c r="A552" s="116" t="s">
        <v>1725</v>
      </c>
      <c r="B552" s="117">
        <v>46084.85765899306</v>
      </c>
      <c r="C552" s="118">
        <v>0.8576388888888888</v>
      </c>
      <c r="D552" s="119" t="s">
        <v>1726</v>
      </c>
      <c r="E552" s="115">
        <v>1.0</v>
      </c>
      <c r="F552" s="120">
        <v>2200.0</v>
      </c>
      <c r="G552" s="121">
        <v>2200.0</v>
      </c>
      <c r="H552" s="112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  <c r="AA552" s="96"/>
    </row>
    <row r="553" ht="15.75" customHeight="1">
      <c r="A553" s="111"/>
      <c r="B553" s="122">
        <v>46084.85765899306</v>
      </c>
      <c r="C553" s="123">
        <v>0.8576388888888888</v>
      </c>
      <c r="D553" s="119" t="s">
        <v>1727</v>
      </c>
      <c r="E553" s="115">
        <v>3.0</v>
      </c>
      <c r="F553" s="119" t="s">
        <v>1297</v>
      </c>
      <c r="G553" s="119" t="s">
        <v>1720</v>
      </c>
      <c r="H553" s="120">
        <v>5200.0</v>
      </c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  <c r="AA553" s="96"/>
    </row>
    <row r="554" ht="15.75" customHeight="1">
      <c r="A554" s="116" t="s">
        <v>1728</v>
      </c>
      <c r="B554" s="117">
        <v>46084.88146122685</v>
      </c>
      <c r="C554" s="118">
        <v>0.88125</v>
      </c>
      <c r="D554" s="119" t="s">
        <v>1729</v>
      </c>
      <c r="E554" s="115">
        <v>0.28</v>
      </c>
      <c r="F554" s="120">
        <v>1400.0</v>
      </c>
      <c r="G554" s="121">
        <v>1400.0</v>
      </c>
      <c r="H554" s="112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  <c r="AA554" s="96"/>
    </row>
    <row r="555" ht="15.75" customHeight="1">
      <c r="A555" s="116" t="s">
        <v>1728</v>
      </c>
      <c r="B555" s="117">
        <v>46084.88146122685</v>
      </c>
      <c r="C555" s="118">
        <v>0.88125</v>
      </c>
      <c r="D555" s="119" t="s">
        <v>1730</v>
      </c>
      <c r="E555" s="115">
        <v>0.857</v>
      </c>
      <c r="F555" s="120">
        <v>3000.0</v>
      </c>
      <c r="G555" s="121">
        <v>3000.0</v>
      </c>
      <c r="H555" s="112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  <c r="AA555" s="96"/>
    </row>
    <row r="556" ht="15.75" customHeight="1">
      <c r="A556" s="111"/>
      <c r="B556" s="122">
        <v>46084.88146122685</v>
      </c>
      <c r="C556" s="123">
        <v>0.88125</v>
      </c>
      <c r="D556" s="119" t="s">
        <v>1731</v>
      </c>
      <c r="E556" s="115">
        <v>2.0</v>
      </c>
      <c r="F556" s="119" t="s">
        <v>1611</v>
      </c>
      <c r="G556" s="119" t="s">
        <v>1424</v>
      </c>
      <c r="H556" s="120">
        <v>4400.0</v>
      </c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  <c r="AA556" s="96"/>
    </row>
    <row r="557" ht="15.75" customHeight="1">
      <c r="A557" s="116" t="s">
        <v>1732</v>
      </c>
      <c r="B557" s="117">
        <v>46084.88286172454</v>
      </c>
      <c r="C557" s="118">
        <v>0.8826388888888889</v>
      </c>
      <c r="D557" s="119" t="s">
        <v>215</v>
      </c>
      <c r="E557" s="115">
        <v>1.0</v>
      </c>
      <c r="F557" s="120">
        <v>1500.0</v>
      </c>
      <c r="G557" s="121">
        <v>1500.0</v>
      </c>
      <c r="H557" s="112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  <c r="AA557" s="96"/>
    </row>
    <row r="558" ht="15.75" customHeight="1">
      <c r="A558" s="116" t="s">
        <v>1732</v>
      </c>
      <c r="B558" s="117">
        <v>46084.88286172454</v>
      </c>
      <c r="C558" s="118">
        <v>0.8826388888888889</v>
      </c>
      <c r="D558" s="119" t="s">
        <v>1733</v>
      </c>
      <c r="E558" s="115">
        <v>0.82</v>
      </c>
      <c r="F558" s="120">
        <v>4100.0</v>
      </c>
      <c r="G558" s="121">
        <v>4100.0</v>
      </c>
      <c r="H558" s="112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  <c r="AA558" s="96"/>
    </row>
    <row r="559" ht="15.75" customHeight="1">
      <c r="A559" s="111"/>
      <c r="B559" s="122">
        <v>46084.88286172454</v>
      </c>
      <c r="C559" s="123">
        <v>0.8826388888888889</v>
      </c>
      <c r="D559" s="119" t="s">
        <v>1734</v>
      </c>
      <c r="E559" s="115">
        <v>2.0</v>
      </c>
      <c r="F559" s="119" t="s">
        <v>1297</v>
      </c>
      <c r="G559" s="119" t="s">
        <v>1424</v>
      </c>
      <c r="H559" s="120">
        <v>5600.0</v>
      </c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  <c r="AA559" s="96"/>
    </row>
    <row r="560" ht="15.75" customHeight="1">
      <c r="A560" s="116" t="s">
        <v>1735</v>
      </c>
      <c r="B560" s="117">
        <v>46084.88387125</v>
      </c>
      <c r="C560" s="118">
        <v>0.8833333333333333</v>
      </c>
      <c r="D560" s="119" t="s">
        <v>1736</v>
      </c>
      <c r="E560" s="115">
        <v>0.44</v>
      </c>
      <c r="F560" s="120">
        <v>7040.0</v>
      </c>
      <c r="G560" s="121">
        <v>7040.0</v>
      </c>
      <c r="H560" s="112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  <c r="AA560" s="96"/>
    </row>
    <row r="561" ht="15.75" customHeight="1">
      <c r="A561" s="116" t="s">
        <v>1735</v>
      </c>
      <c r="B561" s="117">
        <v>46084.88387125</v>
      </c>
      <c r="C561" s="118">
        <v>0.8833333333333333</v>
      </c>
      <c r="D561" s="119" t="s">
        <v>1737</v>
      </c>
      <c r="E561" s="115">
        <v>1.15</v>
      </c>
      <c r="F561" s="120">
        <v>4025.0</v>
      </c>
      <c r="G561" s="121">
        <v>4025.0</v>
      </c>
      <c r="H561" s="112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  <c r="AA561" s="96"/>
    </row>
    <row r="562" ht="15.75" customHeight="1">
      <c r="A562" s="116" t="s">
        <v>1735</v>
      </c>
      <c r="B562" s="117">
        <v>46084.88387125</v>
      </c>
      <c r="C562" s="118">
        <v>0.8833333333333333</v>
      </c>
      <c r="D562" s="119" t="s">
        <v>719</v>
      </c>
      <c r="E562" s="115">
        <v>1.0</v>
      </c>
      <c r="F562" s="120">
        <v>5500.0</v>
      </c>
      <c r="G562" s="121">
        <v>5500.0</v>
      </c>
      <c r="H562" s="112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  <c r="AA562" s="96"/>
    </row>
    <row r="563" ht="15.75" customHeight="1">
      <c r="A563" s="111"/>
      <c r="B563" s="122">
        <v>46084.88387125</v>
      </c>
      <c r="C563" s="123">
        <v>0.8833333333333333</v>
      </c>
      <c r="D563" s="119" t="s">
        <v>1738</v>
      </c>
      <c r="E563" s="115">
        <v>3.0</v>
      </c>
      <c r="F563" s="119" t="s">
        <v>1297</v>
      </c>
      <c r="G563" s="119" t="s">
        <v>1424</v>
      </c>
      <c r="H563" s="120">
        <v>16565.0</v>
      </c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  <c r="AA563" s="96"/>
    </row>
    <row r="564" ht="15.75" customHeight="1">
      <c r="A564" s="116" t="s">
        <v>1739</v>
      </c>
      <c r="B564" s="117">
        <v>46084.914406944445</v>
      </c>
      <c r="C564" s="118">
        <v>0.9138888888888889</v>
      </c>
      <c r="D564" s="119" t="s">
        <v>360</v>
      </c>
      <c r="E564" s="115">
        <v>2.0</v>
      </c>
      <c r="F564" s="120">
        <v>2000.0</v>
      </c>
      <c r="G564" s="121">
        <v>4000.0</v>
      </c>
      <c r="H564" s="112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  <c r="AA564" s="96"/>
    </row>
    <row r="565" ht="15.75" customHeight="1">
      <c r="A565" s="111"/>
      <c r="B565" s="122">
        <v>46084.914406944445</v>
      </c>
      <c r="C565" s="123">
        <v>0.9138888888888889</v>
      </c>
      <c r="D565" s="119" t="s">
        <v>1740</v>
      </c>
      <c r="E565" s="115">
        <v>2.0</v>
      </c>
      <c r="F565" s="119" t="s">
        <v>1297</v>
      </c>
      <c r="G565" s="119" t="s">
        <v>1720</v>
      </c>
      <c r="H565" s="120">
        <v>4000.0</v>
      </c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  <c r="AA565" s="96"/>
    </row>
    <row r="566" ht="15.75" customHeight="1">
      <c r="A566" s="116" t="s">
        <v>1741</v>
      </c>
      <c r="B566" s="117">
        <v>46085.72788172454</v>
      </c>
      <c r="C566" s="118">
        <v>0.7277777777777777</v>
      </c>
      <c r="D566" s="119" t="s">
        <v>666</v>
      </c>
      <c r="E566" s="115">
        <v>1.0</v>
      </c>
      <c r="F566" s="120">
        <v>1500.0</v>
      </c>
      <c r="G566" s="121">
        <v>1500.0</v>
      </c>
      <c r="H566" s="112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  <c r="AA566" s="96"/>
    </row>
    <row r="567" ht="15.75" customHeight="1">
      <c r="A567" s="116" t="s">
        <v>1741</v>
      </c>
      <c r="B567" s="117">
        <v>46085.72788172454</v>
      </c>
      <c r="C567" s="118">
        <v>0.7277777777777777</v>
      </c>
      <c r="D567" s="119" t="s">
        <v>474</v>
      </c>
      <c r="E567" s="115">
        <v>1.0</v>
      </c>
      <c r="F567" s="120">
        <v>4500.0</v>
      </c>
      <c r="G567" s="121">
        <v>4500.0</v>
      </c>
      <c r="H567" s="112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  <c r="AA567" s="96"/>
    </row>
    <row r="568" ht="15.75" customHeight="1">
      <c r="A568" s="111"/>
      <c r="B568" s="122">
        <v>46085.72788172454</v>
      </c>
      <c r="C568" s="123">
        <v>0.7277777777777777</v>
      </c>
      <c r="D568" s="119" t="s">
        <v>1742</v>
      </c>
      <c r="E568" s="115">
        <v>2.0</v>
      </c>
      <c r="F568" s="119" t="s">
        <v>1611</v>
      </c>
      <c r="G568" s="119" t="s">
        <v>1406</v>
      </c>
      <c r="H568" s="120">
        <v>6000.0</v>
      </c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  <c r="AA568" s="96"/>
    </row>
    <row r="569" ht="15.75" customHeight="1">
      <c r="A569" s="116" t="s">
        <v>1743</v>
      </c>
      <c r="B569" s="117">
        <v>46085.72822438658</v>
      </c>
      <c r="C569" s="118">
        <v>0.7277777777777777</v>
      </c>
      <c r="D569" s="119" t="s">
        <v>1515</v>
      </c>
      <c r="E569" s="115">
        <v>0.5</v>
      </c>
      <c r="F569" s="120">
        <v>2000.0</v>
      </c>
      <c r="G569" s="121">
        <v>2000.0</v>
      </c>
      <c r="H569" s="112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  <c r="AA569" s="96"/>
    </row>
    <row r="570" ht="15.75" customHeight="1">
      <c r="A570" s="111"/>
      <c r="B570" s="122">
        <v>46085.72822438658</v>
      </c>
      <c r="C570" s="123">
        <v>0.7277777777777777</v>
      </c>
      <c r="D570" s="119" t="s">
        <v>1744</v>
      </c>
      <c r="E570" s="115">
        <v>1.0</v>
      </c>
      <c r="F570" s="119" t="s">
        <v>1297</v>
      </c>
      <c r="G570" s="119" t="s">
        <v>1406</v>
      </c>
      <c r="H570" s="120">
        <v>2000.0</v>
      </c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  <c r="AA570" s="96"/>
    </row>
    <row r="571" ht="15.75" customHeight="1">
      <c r="A571" s="116" t="s">
        <v>1745</v>
      </c>
      <c r="B571" s="117">
        <v>46085.729279444444</v>
      </c>
      <c r="C571" s="118">
        <v>0.7291666666666666</v>
      </c>
      <c r="D571" s="119" t="s">
        <v>536</v>
      </c>
      <c r="E571" s="115">
        <v>1.0</v>
      </c>
      <c r="F571" s="120">
        <v>6700.0</v>
      </c>
      <c r="G571" s="121">
        <v>6700.0</v>
      </c>
      <c r="H571" s="112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  <c r="AA571" s="96"/>
    </row>
    <row r="572" ht="15.75" customHeight="1">
      <c r="A572" s="116" t="s">
        <v>1745</v>
      </c>
      <c r="B572" s="117">
        <v>46085.729279444444</v>
      </c>
      <c r="C572" s="118">
        <v>0.7291666666666666</v>
      </c>
      <c r="D572" s="119" t="s">
        <v>1275</v>
      </c>
      <c r="E572" s="115">
        <v>1.0</v>
      </c>
      <c r="F572" s="120">
        <v>1000.0</v>
      </c>
      <c r="G572" s="121">
        <v>1000.0</v>
      </c>
      <c r="H572" s="112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  <c r="AA572" s="96"/>
    </row>
    <row r="573" ht="15.75" customHeight="1">
      <c r="A573" s="116" t="s">
        <v>1745</v>
      </c>
      <c r="B573" s="117">
        <v>46085.729279444444</v>
      </c>
      <c r="C573" s="118">
        <v>0.7291666666666666</v>
      </c>
      <c r="D573" s="119" t="s">
        <v>66</v>
      </c>
      <c r="E573" s="115">
        <v>1.0</v>
      </c>
      <c r="F573" s="120">
        <v>2500.0</v>
      </c>
      <c r="G573" s="121">
        <v>2500.0</v>
      </c>
      <c r="H573" s="112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  <c r="AA573" s="96"/>
    </row>
    <row r="574" ht="15.75" customHeight="1">
      <c r="A574" s="111"/>
      <c r="B574" s="122">
        <v>46085.729279444444</v>
      </c>
      <c r="C574" s="123">
        <v>0.7291666666666666</v>
      </c>
      <c r="D574" s="119" t="s">
        <v>1746</v>
      </c>
      <c r="E574" s="115">
        <v>3.0</v>
      </c>
      <c r="F574" s="119" t="s">
        <v>1297</v>
      </c>
      <c r="G574" s="119" t="s">
        <v>1406</v>
      </c>
      <c r="H574" s="120">
        <v>10200.0</v>
      </c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  <c r="AA574" s="96"/>
    </row>
    <row r="575" ht="15.75" customHeight="1">
      <c r="A575" s="116" t="s">
        <v>1747</v>
      </c>
      <c r="B575" s="117">
        <v>46085.73477924769</v>
      </c>
      <c r="C575" s="118">
        <v>0.7347222222222223</v>
      </c>
      <c r="D575" s="119" t="s">
        <v>187</v>
      </c>
      <c r="E575" s="115">
        <v>1.0</v>
      </c>
      <c r="F575" s="120">
        <v>900.0</v>
      </c>
      <c r="G575" s="121">
        <v>900.0</v>
      </c>
      <c r="H575" s="112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  <c r="AA575" s="96"/>
    </row>
    <row r="576" ht="15.75" customHeight="1">
      <c r="A576" s="116" t="s">
        <v>1747</v>
      </c>
      <c r="B576" s="117">
        <v>46085.73477924769</v>
      </c>
      <c r="C576" s="118">
        <v>0.7347222222222223</v>
      </c>
      <c r="D576" s="119" t="s">
        <v>148</v>
      </c>
      <c r="E576" s="115">
        <v>2.0</v>
      </c>
      <c r="F576" s="120">
        <v>1600.0</v>
      </c>
      <c r="G576" s="121">
        <v>3200.0</v>
      </c>
      <c r="H576" s="112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  <c r="AA576" s="96"/>
    </row>
    <row r="577" ht="15.75" customHeight="1">
      <c r="A577" s="111"/>
      <c r="B577" s="122">
        <v>46085.73477924769</v>
      </c>
      <c r="C577" s="123">
        <v>0.7347222222222223</v>
      </c>
      <c r="D577" s="119" t="s">
        <v>1748</v>
      </c>
      <c r="E577" s="115">
        <v>3.0</v>
      </c>
      <c r="F577" s="119" t="s">
        <v>1297</v>
      </c>
      <c r="G577" s="119" t="s">
        <v>1406</v>
      </c>
      <c r="H577" s="120">
        <v>4100.0</v>
      </c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  <c r="AA577" s="96"/>
    </row>
    <row r="578" ht="15.75" customHeight="1">
      <c r="A578" s="116" t="s">
        <v>1749</v>
      </c>
      <c r="B578" s="117">
        <v>46085.778029444446</v>
      </c>
      <c r="C578" s="118">
        <v>0.7777777777777778</v>
      </c>
      <c r="D578" s="119" t="s">
        <v>558</v>
      </c>
      <c r="E578" s="115">
        <v>1.0</v>
      </c>
      <c r="F578" s="120">
        <v>3600.0</v>
      </c>
      <c r="G578" s="121">
        <v>3600.0</v>
      </c>
      <c r="H578" s="112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  <c r="AA578" s="96"/>
    </row>
    <row r="579" ht="15.75" customHeight="1">
      <c r="A579" s="111"/>
      <c r="B579" s="122">
        <v>46085.778029444446</v>
      </c>
      <c r="C579" s="123">
        <v>0.7777777777777778</v>
      </c>
      <c r="D579" s="119" t="s">
        <v>1750</v>
      </c>
      <c r="E579" s="115">
        <v>1.0</v>
      </c>
      <c r="F579" s="119" t="s">
        <v>1297</v>
      </c>
      <c r="G579" s="119" t="s">
        <v>1406</v>
      </c>
      <c r="H579" s="120">
        <v>3600.0</v>
      </c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  <c r="AA579" s="96"/>
    </row>
    <row r="580" ht="15.75" customHeight="1">
      <c r="A580" s="116" t="s">
        <v>1751</v>
      </c>
      <c r="B580" s="117">
        <v>46085.7796809375</v>
      </c>
      <c r="C580" s="118">
        <v>0.7791666666666667</v>
      </c>
      <c r="D580" s="119" t="s">
        <v>895</v>
      </c>
      <c r="E580" s="115">
        <v>1.0</v>
      </c>
      <c r="F580" s="120">
        <v>4500.0</v>
      </c>
      <c r="G580" s="121">
        <v>4500.0</v>
      </c>
      <c r="H580" s="112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  <c r="AA580" s="96"/>
    </row>
    <row r="581" ht="15.75" customHeight="1">
      <c r="A581" s="116" t="s">
        <v>1751</v>
      </c>
      <c r="B581" s="117">
        <v>46085.7796809375</v>
      </c>
      <c r="C581" s="118">
        <v>0.7791666666666667</v>
      </c>
      <c r="D581" s="119" t="s">
        <v>642</v>
      </c>
      <c r="E581" s="115">
        <v>2.0</v>
      </c>
      <c r="F581" s="120">
        <v>4000.0</v>
      </c>
      <c r="G581" s="121">
        <v>8000.0</v>
      </c>
      <c r="H581" s="112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  <c r="AA581" s="96"/>
    </row>
    <row r="582" ht="15.75" customHeight="1">
      <c r="A582" s="111"/>
      <c r="B582" s="122">
        <v>46085.7796809375</v>
      </c>
      <c r="C582" s="123">
        <v>0.7791666666666667</v>
      </c>
      <c r="D582" s="119" t="s">
        <v>1752</v>
      </c>
      <c r="E582" s="115">
        <v>3.0</v>
      </c>
      <c r="F582" s="119" t="s">
        <v>1297</v>
      </c>
      <c r="G582" s="119" t="s">
        <v>1406</v>
      </c>
      <c r="H582" s="120">
        <v>12500.0</v>
      </c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  <c r="AA582" s="96"/>
    </row>
    <row r="583" ht="15.75" customHeight="1">
      <c r="A583" s="116" t="s">
        <v>1753</v>
      </c>
      <c r="B583" s="117">
        <v>46085.78361846065</v>
      </c>
      <c r="C583" s="118">
        <v>0.7833333333333333</v>
      </c>
      <c r="D583" s="119" t="s">
        <v>717</v>
      </c>
      <c r="E583" s="115">
        <v>1.0</v>
      </c>
      <c r="F583" s="120">
        <v>3000.0</v>
      </c>
      <c r="G583" s="121">
        <v>3000.0</v>
      </c>
      <c r="H583" s="112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  <c r="AA583" s="96"/>
    </row>
    <row r="584" ht="15.75" customHeight="1">
      <c r="A584" s="111"/>
      <c r="B584" s="122">
        <v>46085.78361846065</v>
      </c>
      <c r="C584" s="123">
        <v>0.7833333333333333</v>
      </c>
      <c r="D584" s="119" t="s">
        <v>1754</v>
      </c>
      <c r="E584" s="115">
        <v>1.0</v>
      </c>
      <c r="F584" s="119" t="s">
        <v>1297</v>
      </c>
      <c r="G584" s="119" t="s">
        <v>1406</v>
      </c>
      <c r="H584" s="120">
        <v>3000.0</v>
      </c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  <c r="AA584" s="96"/>
    </row>
    <row r="585" ht="15.75" customHeight="1">
      <c r="A585" s="116" t="s">
        <v>1755</v>
      </c>
      <c r="B585" s="117">
        <v>46085.786580810185</v>
      </c>
      <c r="C585" s="118">
        <v>0.7861111111111111</v>
      </c>
      <c r="D585" s="119" t="s">
        <v>1273</v>
      </c>
      <c r="E585" s="115">
        <v>1.0</v>
      </c>
      <c r="F585" s="120">
        <v>2500.0</v>
      </c>
      <c r="G585" s="121">
        <v>2500.0</v>
      </c>
      <c r="H585" s="112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  <c r="AA585" s="96"/>
    </row>
    <row r="586" ht="15.75" customHeight="1">
      <c r="A586" s="111"/>
      <c r="B586" s="122">
        <v>46085.786580810185</v>
      </c>
      <c r="C586" s="123">
        <v>0.7861111111111111</v>
      </c>
      <c r="D586" s="119" t="s">
        <v>1756</v>
      </c>
      <c r="E586" s="115">
        <v>1.0</v>
      </c>
      <c r="F586" s="119" t="s">
        <v>1297</v>
      </c>
      <c r="G586" s="119" t="s">
        <v>1406</v>
      </c>
      <c r="H586" s="120">
        <v>2500.0</v>
      </c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  <c r="AA586" s="96"/>
    </row>
    <row r="587" ht="15.75" customHeight="1">
      <c r="A587" s="116" t="s">
        <v>1757</v>
      </c>
      <c r="B587" s="117">
        <v>46085.84898180555</v>
      </c>
      <c r="C587" s="118">
        <v>0.8486111111111111</v>
      </c>
      <c r="D587" s="119" t="s">
        <v>1758</v>
      </c>
      <c r="E587" s="115">
        <v>0.58</v>
      </c>
      <c r="F587" s="120">
        <v>1276.0</v>
      </c>
      <c r="G587" s="121">
        <v>1276.0</v>
      </c>
      <c r="H587" s="112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  <c r="AA587" s="96"/>
    </row>
    <row r="588" ht="15.75" customHeight="1">
      <c r="A588" s="116" t="s">
        <v>1757</v>
      </c>
      <c r="B588" s="117">
        <v>46085.84898180555</v>
      </c>
      <c r="C588" s="118">
        <v>0.8486111111111111</v>
      </c>
      <c r="D588" s="119" t="s">
        <v>1687</v>
      </c>
      <c r="E588" s="115">
        <v>0.345</v>
      </c>
      <c r="F588" s="120">
        <v>1725.0</v>
      </c>
      <c r="G588" s="121">
        <v>1725.0</v>
      </c>
      <c r="H588" s="112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  <c r="AA588" s="96"/>
    </row>
    <row r="589" ht="15.75" customHeight="1">
      <c r="A589" s="111"/>
      <c r="B589" s="122">
        <v>46085.84898180555</v>
      </c>
      <c r="C589" s="123">
        <v>0.8486111111111111</v>
      </c>
      <c r="D589" s="119" t="s">
        <v>1759</v>
      </c>
      <c r="E589" s="115">
        <v>2.0</v>
      </c>
      <c r="F589" s="119" t="s">
        <v>1297</v>
      </c>
      <c r="G589" s="119" t="s">
        <v>1406</v>
      </c>
      <c r="H589" s="120">
        <v>3001.0</v>
      </c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  <c r="AA589" s="96"/>
    </row>
    <row r="590" ht="15.75" customHeight="1">
      <c r="A590" s="116" t="s">
        <v>1760</v>
      </c>
      <c r="B590" s="117">
        <v>46085.858505578704</v>
      </c>
      <c r="C590" s="118">
        <v>0.8583333333333333</v>
      </c>
      <c r="D590" s="119" t="s">
        <v>544</v>
      </c>
      <c r="E590" s="115">
        <v>1.0</v>
      </c>
      <c r="F590" s="120">
        <v>7200.0</v>
      </c>
      <c r="G590" s="121">
        <v>7200.0</v>
      </c>
      <c r="H590" s="112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  <c r="AA590" s="96"/>
    </row>
    <row r="591" ht="15.75" customHeight="1">
      <c r="A591" s="116" t="s">
        <v>1760</v>
      </c>
      <c r="B591" s="117">
        <v>46085.858505578704</v>
      </c>
      <c r="C591" s="118">
        <v>0.8583333333333333</v>
      </c>
      <c r="D591" s="119" t="s">
        <v>1761</v>
      </c>
      <c r="E591" s="115">
        <v>0.34</v>
      </c>
      <c r="F591" s="120">
        <v>1700.0</v>
      </c>
      <c r="G591" s="121">
        <v>1700.0</v>
      </c>
      <c r="H591" s="112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  <c r="AA591" s="96"/>
    </row>
    <row r="592" ht="15.75" customHeight="1">
      <c r="A592" s="116" t="s">
        <v>1760</v>
      </c>
      <c r="B592" s="117">
        <v>46085.858505578704</v>
      </c>
      <c r="C592" s="118">
        <v>0.8583333333333333</v>
      </c>
      <c r="D592" s="119" t="s">
        <v>1762</v>
      </c>
      <c r="E592" s="115">
        <v>0.38</v>
      </c>
      <c r="F592" s="120">
        <v>1140.0</v>
      </c>
      <c r="G592" s="121">
        <v>1140.0</v>
      </c>
      <c r="H592" s="112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  <c r="AA592" s="96"/>
    </row>
    <row r="593" ht="15.75" customHeight="1">
      <c r="A593" s="111"/>
      <c r="B593" s="122">
        <v>46085.858505578704</v>
      </c>
      <c r="C593" s="123">
        <v>0.8583333333333333</v>
      </c>
      <c r="D593" s="119" t="s">
        <v>1763</v>
      </c>
      <c r="E593" s="111">
        <v>3.0</v>
      </c>
      <c r="F593" s="119" t="s">
        <v>1297</v>
      </c>
      <c r="G593" s="119" t="s">
        <v>1406</v>
      </c>
      <c r="H593" s="120">
        <v>10040.0</v>
      </c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  <c r="AA593" s="96"/>
    </row>
    <row r="594" ht="15.75" customHeight="1">
      <c r="A594" s="116" t="s">
        <v>1764</v>
      </c>
      <c r="B594" s="117">
        <v>46085.85995182871</v>
      </c>
      <c r="C594" s="118">
        <v>0.8597222222222223</v>
      </c>
      <c r="D594" s="119" t="s">
        <v>433</v>
      </c>
      <c r="E594" s="111">
        <v>1.0</v>
      </c>
      <c r="F594" s="120">
        <v>2500.0</v>
      </c>
      <c r="G594" s="121">
        <v>2500.0</v>
      </c>
      <c r="H594" s="112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  <c r="AA594" s="96"/>
    </row>
    <row r="595" ht="15.75" customHeight="1">
      <c r="A595" s="116" t="s">
        <v>1764</v>
      </c>
      <c r="B595" s="117">
        <v>46085.85995182871</v>
      </c>
      <c r="C595" s="118">
        <v>0.8597222222222223</v>
      </c>
      <c r="D595" s="119" t="s">
        <v>148</v>
      </c>
      <c r="E595" s="111">
        <v>1.0</v>
      </c>
      <c r="F595" s="120">
        <v>1600.0</v>
      </c>
      <c r="G595" s="121">
        <v>1600.0</v>
      </c>
      <c r="H595" s="112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  <c r="AA595" s="96"/>
    </row>
    <row r="596" ht="15.75" customHeight="1">
      <c r="A596" s="111"/>
      <c r="B596" s="122">
        <v>46085.85995182871</v>
      </c>
      <c r="C596" s="123">
        <v>0.8597222222222223</v>
      </c>
      <c r="D596" s="119" t="s">
        <v>1765</v>
      </c>
      <c r="E596" s="111">
        <v>2.0</v>
      </c>
      <c r="F596" s="119" t="s">
        <v>1669</v>
      </c>
      <c r="G596" s="119" t="s">
        <v>1406</v>
      </c>
      <c r="H596" s="120">
        <v>4100.0</v>
      </c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  <c r="AA596" s="96"/>
    </row>
    <row r="597" ht="15.75" customHeight="1">
      <c r="A597" s="116" t="s">
        <v>1766</v>
      </c>
      <c r="B597" s="117">
        <v>46085.864864386574</v>
      </c>
      <c r="C597" s="118">
        <v>0.8645833333333334</v>
      </c>
      <c r="D597" s="119" t="s">
        <v>1767</v>
      </c>
      <c r="E597" s="103">
        <v>1.0</v>
      </c>
      <c r="F597" s="120">
        <v>1400.0</v>
      </c>
      <c r="G597" s="121">
        <v>1400.0</v>
      </c>
      <c r="H597" s="112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  <c r="AA597" s="96"/>
    </row>
    <row r="598" ht="15.75" customHeight="1">
      <c r="A598" s="116" t="s">
        <v>1766</v>
      </c>
      <c r="B598" s="117">
        <v>46085.864864386574</v>
      </c>
      <c r="C598" s="118">
        <v>0.8645833333333334</v>
      </c>
      <c r="D598" s="119" t="s">
        <v>1768</v>
      </c>
      <c r="E598" s="103">
        <v>0.225</v>
      </c>
      <c r="F598" s="120">
        <v>1575.0</v>
      </c>
      <c r="G598" s="121">
        <v>1575.0</v>
      </c>
      <c r="H598" s="112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  <c r="AA598" s="96"/>
    </row>
    <row r="599" ht="15.75" customHeight="1">
      <c r="A599" s="116" t="s">
        <v>1766</v>
      </c>
      <c r="B599" s="117">
        <v>46085.864864386574</v>
      </c>
      <c r="C599" s="118">
        <v>0.8645833333333334</v>
      </c>
      <c r="D599" s="119" t="s">
        <v>631</v>
      </c>
      <c r="E599" s="111">
        <v>1.0</v>
      </c>
      <c r="F599" s="120">
        <v>2500.0</v>
      </c>
      <c r="G599" s="121">
        <v>2500.0</v>
      </c>
      <c r="H599" s="112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  <c r="AA599" s="96"/>
    </row>
    <row r="600" ht="15.75" customHeight="1">
      <c r="A600" s="116" t="s">
        <v>1766</v>
      </c>
      <c r="B600" s="117">
        <v>46085.864864386574</v>
      </c>
      <c r="C600" s="118">
        <v>0.8645833333333334</v>
      </c>
      <c r="D600" s="119" t="s">
        <v>629</v>
      </c>
      <c r="E600" s="111">
        <v>1.0</v>
      </c>
      <c r="F600" s="120">
        <v>2000.0</v>
      </c>
      <c r="G600" s="121">
        <v>2000.0</v>
      </c>
      <c r="H600" s="112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  <c r="AA600" s="96"/>
    </row>
    <row r="601" ht="15.75" customHeight="1">
      <c r="A601" s="116" t="s">
        <v>1766</v>
      </c>
      <c r="B601" s="117">
        <v>46085.864864386574</v>
      </c>
      <c r="C601" s="118">
        <v>0.8645833333333334</v>
      </c>
      <c r="D601" s="119" t="s">
        <v>624</v>
      </c>
      <c r="E601" s="111">
        <v>1.0</v>
      </c>
      <c r="F601" s="120">
        <v>1800.0</v>
      </c>
      <c r="G601" s="121">
        <v>1800.0</v>
      </c>
      <c r="H601" s="112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  <c r="AA601" s="96"/>
    </row>
    <row r="602" ht="15.75" customHeight="1">
      <c r="A602" s="116" t="s">
        <v>1766</v>
      </c>
      <c r="B602" s="117">
        <v>46085.864864386574</v>
      </c>
      <c r="C602" s="118">
        <v>0.8645833333333334</v>
      </c>
      <c r="D602" s="119" t="s">
        <v>1207</v>
      </c>
      <c r="E602" s="111">
        <v>3.0</v>
      </c>
      <c r="F602" s="120">
        <v>700.0</v>
      </c>
      <c r="G602" s="121">
        <v>2100.0</v>
      </c>
      <c r="H602" s="112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  <c r="AA602" s="96"/>
    </row>
    <row r="603" ht="15.75" customHeight="1">
      <c r="A603" s="116" t="s">
        <v>1766</v>
      </c>
      <c r="B603" s="117">
        <v>46085.864864386574</v>
      </c>
      <c r="C603" s="118">
        <v>0.8645833333333334</v>
      </c>
      <c r="D603" s="119" t="s">
        <v>260</v>
      </c>
      <c r="E603" s="111">
        <v>1.0</v>
      </c>
      <c r="F603" s="120">
        <v>1800.0</v>
      </c>
      <c r="G603" s="121">
        <v>1800.0</v>
      </c>
      <c r="H603" s="112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  <c r="AA603" s="96"/>
    </row>
    <row r="604" ht="15.75" customHeight="1">
      <c r="A604" s="116" t="s">
        <v>1766</v>
      </c>
      <c r="B604" s="117">
        <v>46085.864864386574</v>
      </c>
      <c r="C604" s="118">
        <v>0.8645833333333334</v>
      </c>
      <c r="D604" s="119" t="s">
        <v>1174</v>
      </c>
      <c r="E604" s="111">
        <v>1.0</v>
      </c>
      <c r="F604" s="120">
        <v>3500.0</v>
      </c>
      <c r="G604" s="121">
        <v>3500.0</v>
      </c>
      <c r="H604" s="112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  <c r="AA604" s="96"/>
    </row>
    <row r="605" ht="15.75" customHeight="1">
      <c r="A605" s="111"/>
      <c r="B605" s="122">
        <v>46085.864864386574</v>
      </c>
      <c r="C605" s="123">
        <v>0.8645833333333334</v>
      </c>
      <c r="D605" s="119" t="s">
        <v>1769</v>
      </c>
      <c r="E605" s="111">
        <v>10.0</v>
      </c>
      <c r="F605" s="119" t="s">
        <v>1611</v>
      </c>
      <c r="G605" s="119" t="s">
        <v>1406</v>
      </c>
      <c r="H605" s="120">
        <v>16675.0</v>
      </c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  <c r="AA605" s="96"/>
    </row>
    <row r="606" ht="15.75" customHeight="1">
      <c r="A606" s="116" t="s">
        <v>1770</v>
      </c>
      <c r="B606" s="117">
        <v>46085.88812461805</v>
      </c>
      <c r="C606" s="118">
        <v>0.8875</v>
      </c>
      <c r="D606" s="119" t="s">
        <v>1279</v>
      </c>
      <c r="E606" s="111">
        <v>6.0</v>
      </c>
      <c r="F606" s="120">
        <v>3500.0</v>
      </c>
      <c r="G606" s="121">
        <v>21000.0</v>
      </c>
      <c r="H606" s="112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  <c r="AA606" s="96"/>
    </row>
    <row r="607" ht="15.75" customHeight="1">
      <c r="A607" s="111"/>
      <c r="B607" s="122">
        <v>46085.88812461805</v>
      </c>
      <c r="C607" s="123">
        <v>0.8875</v>
      </c>
      <c r="D607" s="119" t="s">
        <v>1771</v>
      </c>
      <c r="E607" s="111">
        <v>6.0</v>
      </c>
      <c r="F607" s="119" t="s">
        <v>1297</v>
      </c>
      <c r="G607" s="119" t="s">
        <v>1406</v>
      </c>
      <c r="H607" s="120">
        <v>21000.0</v>
      </c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  <c r="AA607" s="96"/>
    </row>
    <row r="608" ht="15.75" customHeight="1">
      <c r="A608" s="116" t="s">
        <v>1772</v>
      </c>
      <c r="B608" s="117">
        <v>46085.894627905094</v>
      </c>
      <c r="C608" s="118">
        <v>0.8944444444444445</v>
      </c>
      <c r="D608" s="119" t="s">
        <v>1277</v>
      </c>
      <c r="E608" s="111">
        <v>6.0</v>
      </c>
      <c r="F608" s="120">
        <v>4300.0</v>
      </c>
      <c r="G608" s="121">
        <v>25800.0</v>
      </c>
      <c r="H608" s="112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  <c r="AA608" s="96"/>
    </row>
    <row r="609" ht="15.75" customHeight="1">
      <c r="A609" s="116" t="s">
        <v>1772</v>
      </c>
      <c r="B609" s="117">
        <v>46085.894627905094</v>
      </c>
      <c r="C609" s="118">
        <v>0.8944444444444445</v>
      </c>
      <c r="D609" s="119" t="s">
        <v>536</v>
      </c>
      <c r="E609" s="111">
        <v>1.0</v>
      </c>
      <c r="F609" s="120">
        <v>6700.0</v>
      </c>
      <c r="G609" s="121">
        <v>6700.0</v>
      </c>
      <c r="H609" s="112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  <c r="AA609" s="96"/>
    </row>
    <row r="610" ht="15.75" customHeight="1">
      <c r="A610" s="116" t="s">
        <v>1772</v>
      </c>
      <c r="B610" s="117">
        <v>46085.894627905094</v>
      </c>
      <c r="C610" s="118">
        <v>0.8944444444444445</v>
      </c>
      <c r="D610" s="119" t="s">
        <v>1773</v>
      </c>
      <c r="E610" s="103">
        <v>0.315</v>
      </c>
      <c r="F610" s="120">
        <v>1260.0</v>
      </c>
      <c r="G610" s="121">
        <v>1260.0</v>
      </c>
      <c r="H610" s="112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  <c r="AA610" s="96"/>
    </row>
    <row r="611" ht="15.75" customHeight="1">
      <c r="A611" s="116" t="s">
        <v>1772</v>
      </c>
      <c r="B611" s="117">
        <v>46085.894627905094</v>
      </c>
      <c r="C611" s="118">
        <v>0.8944444444444445</v>
      </c>
      <c r="D611" s="119" t="s">
        <v>1774</v>
      </c>
      <c r="E611" s="103">
        <v>0.335</v>
      </c>
      <c r="F611" s="120">
        <v>1675.0</v>
      </c>
      <c r="G611" s="121">
        <v>1675.0</v>
      </c>
      <c r="H611" s="112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  <c r="AA611" s="96"/>
    </row>
    <row r="612" ht="15.75" customHeight="1">
      <c r="A612" s="111"/>
      <c r="B612" s="122">
        <v>46085.894627905094</v>
      </c>
      <c r="C612" s="123">
        <v>0.8944444444444445</v>
      </c>
      <c r="D612" s="119" t="s">
        <v>1775</v>
      </c>
      <c r="E612" s="111">
        <v>9.0</v>
      </c>
      <c r="F612" s="119" t="s">
        <v>1611</v>
      </c>
      <c r="G612" s="119" t="s">
        <v>1406</v>
      </c>
      <c r="H612" s="120">
        <v>35435.0</v>
      </c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  <c r="AA612" s="96"/>
    </row>
    <row r="613" ht="15.75" customHeight="1">
      <c r="A613" s="116" t="s">
        <v>1776</v>
      </c>
      <c r="B613" s="117">
        <v>46085.9049946875</v>
      </c>
      <c r="C613" s="118">
        <v>0.9048611111111111</v>
      </c>
      <c r="D613" s="119" t="s">
        <v>713</v>
      </c>
      <c r="E613" s="111">
        <v>1.0</v>
      </c>
      <c r="F613" s="120">
        <v>3000.0</v>
      </c>
      <c r="G613" s="121">
        <v>3000.0</v>
      </c>
      <c r="H613" s="112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  <c r="AA613" s="96"/>
    </row>
    <row r="614" ht="15.75" customHeight="1">
      <c r="A614" s="116" t="s">
        <v>1776</v>
      </c>
      <c r="B614" s="117">
        <v>46085.9049946875</v>
      </c>
      <c r="C614" s="118">
        <v>0.9048611111111111</v>
      </c>
      <c r="D614" s="119" t="s">
        <v>528</v>
      </c>
      <c r="E614" s="111">
        <v>1.0</v>
      </c>
      <c r="F614" s="120">
        <v>3200.0</v>
      </c>
      <c r="G614" s="121">
        <v>3200.0</v>
      </c>
      <c r="H614" s="112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  <c r="AA614" s="96"/>
    </row>
    <row r="615" ht="15.75" customHeight="1">
      <c r="A615" s="116" t="s">
        <v>1776</v>
      </c>
      <c r="B615" s="117">
        <v>46085.9049946875</v>
      </c>
      <c r="C615" s="118">
        <v>0.9048611111111111</v>
      </c>
      <c r="D615" s="119" t="s">
        <v>380</v>
      </c>
      <c r="E615" s="111">
        <v>1.0</v>
      </c>
      <c r="F615" s="120">
        <v>1400.0</v>
      </c>
      <c r="G615" s="121">
        <v>1400.0</v>
      </c>
      <c r="H615" s="112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  <c r="AA615" s="96"/>
    </row>
    <row r="616" ht="15.75" customHeight="1">
      <c r="A616" s="111"/>
      <c r="B616" s="122">
        <v>46085.9049946875</v>
      </c>
      <c r="C616" s="123">
        <v>0.9048611111111111</v>
      </c>
      <c r="D616" s="119" t="s">
        <v>1777</v>
      </c>
      <c r="E616" s="111">
        <v>3.0</v>
      </c>
      <c r="F616" s="119" t="s">
        <v>1611</v>
      </c>
      <c r="G616" s="119" t="s">
        <v>1406</v>
      </c>
      <c r="H616" s="120">
        <v>7600.0</v>
      </c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  <c r="AA616" s="96"/>
    </row>
    <row r="617" ht="15.75" customHeight="1">
      <c r="A617" s="116" t="s">
        <v>1778</v>
      </c>
      <c r="B617" s="117">
        <v>46086.66979842592</v>
      </c>
      <c r="C617" s="118">
        <v>0.6694444444444444</v>
      </c>
      <c r="D617" s="119" t="s">
        <v>821</v>
      </c>
      <c r="E617" s="111">
        <v>1.0</v>
      </c>
      <c r="F617" s="120">
        <v>6000.0</v>
      </c>
      <c r="G617" s="121">
        <v>6000.0</v>
      </c>
      <c r="H617" s="112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  <c r="AA617" s="96"/>
    </row>
    <row r="618" ht="15.75" customHeight="1">
      <c r="A618" s="116" t="s">
        <v>1778</v>
      </c>
      <c r="B618" s="117">
        <v>46086.66979842592</v>
      </c>
      <c r="C618" s="118">
        <v>0.6694444444444444</v>
      </c>
      <c r="D618" s="119" t="s">
        <v>1279</v>
      </c>
      <c r="E618" s="111">
        <v>6.0</v>
      </c>
      <c r="F618" s="120">
        <v>3500.0</v>
      </c>
      <c r="G618" s="121">
        <v>21000.0</v>
      </c>
      <c r="H618" s="112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  <c r="AA618" s="96"/>
    </row>
    <row r="619" ht="15.75" customHeight="1">
      <c r="A619" s="116" t="s">
        <v>1778</v>
      </c>
      <c r="B619" s="117">
        <v>46086.66979842592</v>
      </c>
      <c r="C619" s="118">
        <v>0.6694444444444444</v>
      </c>
      <c r="D619" s="119" t="s">
        <v>54</v>
      </c>
      <c r="E619" s="111">
        <v>1.0</v>
      </c>
      <c r="F619" s="120">
        <v>1000.0</v>
      </c>
      <c r="G619" s="121">
        <v>1000.0</v>
      </c>
      <c r="H619" s="112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  <c r="AA619" s="96"/>
    </row>
    <row r="620" ht="15.75" customHeight="1">
      <c r="A620" s="116" t="s">
        <v>1778</v>
      </c>
      <c r="B620" s="117">
        <v>46086.66979842592</v>
      </c>
      <c r="C620" s="118">
        <v>0.6694444444444444</v>
      </c>
      <c r="D620" s="119" t="s">
        <v>58</v>
      </c>
      <c r="E620" s="111">
        <v>1.0</v>
      </c>
      <c r="F620" s="120">
        <v>1000.0</v>
      </c>
      <c r="G620" s="121">
        <v>1000.0</v>
      </c>
      <c r="H620" s="112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  <c r="AA620" s="96"/>
    </row>
    <row r="621" ht="15.75" customHeight="1">
      <c r="A621" s="116" t="s">
        <v>1778</v>
      </c>
      <c r="B621" s="117">
        <v>46086.66979842592</v>
      </c>
      <c r="C621" s="118">
        <v>0.6694444444444444</v>
      </c>
      <c r="D621" s="119" t="s">
        <v>1269</v>
      </c>
      <c r="E621" s="111">
        <v>1.0</v>
      </c>
      <c r="F621" s="120">
        <v>4500.0</v>
      </c>
      <c r="G621" s="121">
        <v>4500.0</v>
      </c>
      <c r="H621" s="112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  <c r="AA621" s="96"/>
    </row>
    <row r="622" ht="15.75" customHeight="1">
      <c r="A622" s="111"/>
      <c r="B622" s="122">
        <v>46086.66979842592</v>
      </c>
      <c r="C622" s="123">
        <v>0.6694444444444444</v>
      </c>
      <c r="D622" s="119" t="s">
        <v>1779</v>
      </c>
      <c r="E622" s="111">
        <v>10.0</v>
      </c>
      <c r="F622" s="119" t="s">
        <v>1611</v>
      </c>
      <c r="G622" s="119" t="s">
        <v>1424</v>
      </c>
      <c r="H622" s="120">
        <v>33500.0</v>
      </c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  <c r="AA622" s="96"/>
    </row>
    <row r="623" ht="15.75" customHeight="1">
      <c r="A623" s="116" t="s">
        <v>1780</v>
      </c>
      <c r="B623" s="117">
        <v>46086.6700278125</v>
      </c>
      <c r="C623" s="118">
        <v>0.6694444444444444</v>
      </c>
      <c r="D623" s="119" t="s">
        <v>1160</v>
      </c>
      <c r="E623" s="111">
        <v>1.0</v>
      </c>
      <c r="F623" s="120">
        <v>2500.0</v>
      </c>
      <c r="G623" s="121">
        <v>2500.0</v>
      </c>
      <c r="H623" s="112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  <c r="AA623" s="96"/>
    </row>
    <row r="624" ht="15.75" customHeight="1">
      <c r="A624" s="111"/>
      <c r="B624" s="122">
        <v>46086.6700278125</v>
      </c>
      <c r="C624" s="123">
        <v>0.6694444444444444</v>
      </c>
      <c r="D624" s="119" t="s">
        <v>1781</v>
      </c>
      <c r="E624" s="111">
        <v>1.0</v>
      </c>
      <c r="F624" s="119" t="s">
        <v>1297</v>
      </c>
      <c r="G624" s="119" t="s">
        <v>1424</v>
      </c>
      <c r="H624" s="120">
        <v>2500.0</v>
      </c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  <c r="AA624" s="96"/>
    </row>
    <row r="625" ht="15.75" customHeight="1">
      <c r="A625" s="116" t="s">
        <v>1782</v>
      </c>
      <c r="B625" s="117">
        <v>46086.726207106476</v>
      </c>
      <c r="C625" s="118">
        <v>0.7256944444444444</v>
      </c>
      <c r="D625" s="119" t="s">
        <v>417</v>
      </c>
      <c r="E625" s="111">
        <v>1.0</v>
      </c>
      <c r="F625" s="120">
        <v>2000.0</v>
      </c>
      <c r="G625" s="121">
        <v>2000.0</v>
      </c>
      <c r="H625" s="112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  <c r="AA625" s="96"/>
    </row>
    <row r="626" ht="15.75" customHeight="1">
      <c r="A626" s="116" t="s">
        <v>1782</v>
      </c>
      <c r="B626" s="117">
        <v>46086.726207106476</v>
      </c>
      <c r="C626" s="118">
        <v>0.7256944444444444</v>
      </c>
      <c r="D626" s="119" t="s">
        <v>433</v>
      </c>
      <c r="E626" s="111">
        <v>1.0</v>
      </c>
      <c r="F626" s="120">
        <v>2500.0</v>
      </c>
      <c r="G626" s="121">
        <v>2500.0</v>
      </c>
      <c r="H626" s="112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  <c r="AA626" s="96"/>
    </row>
    <row r="627" ht="15.75" customHeight="1">
      <c r="A627" s="111"/>
      <c r="B627" s="122">
        <v>46086.726207106476</v>
      </c>
      <c r="C627" s="123">
        <v>0.7256944444444444</v>
      </c>
      <c r="D627" s="119" t="s">
        <v>1783</v>
      </c>
      <c r="E627" s="111">
        <v>2.0</v>
      </c>
      <c r="F627" s="119" t="s">
        <v>1669</v>
      </c>
      <c r="G627" s="119" t="s">
        <v>1406</v>
      </c>
      <c r="H627" s="120">
        <v>4500.0</v>
      </c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  <c r="AA627" s="96"/>
    </row>
    <row r="628" ht="15.75" customHeight="1">
      <c r="A628" s="116" t="s">
        <v>1784</v>
      </c>
      <c r="B628" s="117">
        <v>46086.73845232639</v>
      </c>
      <c r="C628" s="118">
        <v>0.7381944444444445</v>
      </c>
      <c r="D628" s="119" t="s">
        <v>727</v>
      </c>
      <c r="E628" s="111">
        <v>1.0</v>
      </c>
      <c r="F628" s="120">
        <v>1500.0</v>
      </c>
      <c r="G628" s="121">
        <v>1500.0</v>
      </c>
      <c r="H628" s="112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  <c r="AA628" s="96"/>
    </row>
    <row r="629" ht="15.75" customHeight="1">
      <c r="A629" s="116" t="s">
        <v>1784</v>
      </c>
      <c r="B629" s="117">
        <v>46086.73845232639</v>
      </c>
      <c r="C629" s="118">
        <v>0.7381944444444445</v>
      </c>
      <c r="D629" s="119" t="s">
        <v>1164</v>
      </c>
      <c r="E629" s="111">
        <v>1.0</v>
      </c>
      <c r="F629" s="120">
        <v>4000.0</v>
      </c>
      <c r="G629" s="121">
        <v>4000.0</v>
      </c>
      <c r="H629" s="112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  <c r="AA629" s="96"/>
    </row>
    <row r="630" ht="15.75" customHeight="1">
      <c r="A630" s="111"/>
      <c r="B630" s="122">
        <v>46086.73845232639</v>
      </c>
      <c r="C630" s="123">
        <v>0.7381944444444445</v>
      </c>
      <c r="D630" s="119" t="s">
        <v>1785</v>
      </c>
      <c r="E630" s="111">
        <v>2.0</v>
      </c>
      <c r="F630" s="119" t="s">
        <v>1669</v>
      </c>
      <c r="G630" s="119" t="s">
        <v>1406</v>
      </c>
      <c r="H630" s="120">
        <v>5500.0</v>
      </c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  <c r="AA630" s="96"/>
    </row>
    <row r="631" ht="15.75" customHeight="1">
      <c r="A631" s="116" t="s">
        <v>1786</v>
      </c>
      <c r="B631" s="117">
        <v>46086.74109098379</v>
      </c>
      <c r="C631" s="118">
        <v>0.7409722222222223</v>
      </c>
      <c r="D631" s="119" t="s">
        <v>1667</v>
      </c>
      <c r="E631" s="103">
        <v>0.35</v>
      </c>
      <c r="F631" s="120">
        <v>1750.0</v>
      </c>
      <c r="G631" s="121">
        <v>1750.0</v>
      </c>
      <c r="H631" s="112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  <c r="AA631" s="96"/>
    </row>
    <row r="632" ht="15.75" customHeight="1">
      <c r="A632" s="116" t="s">
        <v>1786</v>
      </c>
      <c r="B632" s="117">
        <v>46086.74109098379</v>
      </c>
      <c r="C632" s="118">
        <v>0.7409722222222223</v>
      </c>
      <c r="D632" s="119" t="s">
        <v>1787</v>
      </c>
      <c r="E632" s="103">
        <v>0.86</v>
      </c>
      <c r="F632" s="120">
        <v>3010.0</v>
      </c>
      <c r="G632" s="121">
        <v>3010.0</v>
      </c>
      <c r="H632" s="112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  <c r="AA632" s="96"/>
    </row>
    <row r="633" ht="15.75" customHeight="1">
      <c r="A633" s="111"/>
      <c r="B633" s="122">
        <v>46086.74109098379</v>
      </c>
      <c r="C633" s="123">
        <v>0.7409722222222223</v>
      </c>
      <c r="D633" s="119" t="s">
        <v>1788</v>
      </c>
      <c r="E633" s="111">
        <v>2.0</v>
      </c>
      <c r="F633" s="119" t="s">
        <v>1669</v>
      </c>
      <c r="G633" s="119" t="s">
        <v>1406</v>
      </c>
      <c r="H633" s="120">
        <v>4760.0</v>
      </c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  <c r="AA633" s="96"/>
    </row>
    <row r="634" ht="15.75" customHeight="1">
      <c r="A634" s="116" t="s">
        <v>1789</v>
      </c>
      <c r="B634" s="117">
        <v>46086.7858796875</v>
      </c>
      <c r="C634" s="118">
        <v>0.7854166666666667</v>
      </c>
      <c r="D634" s="119" t="s">
        <v>1279</v>
      </c>
      <c r="E634" s="111">
        <v>6.0</v>
      </c>
      <c r="F634" s="120">
        <v>3500.0</v>
      </c>
      <c r="G634" s="121">
        <v>21000.0</v>
      </c>
      <c r="H634" s="112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  <c r="AA634" s="96"/>
    </row>
    <row r="635" ht="15.75" customHeight="1">
      <c r="A635" s="116" t="s">
        <v>1789</v>
      </c>
      <c r="B635" s="117">
        <v>46086.7858796875</v>
      </c>
      <c r="C635" s="118">
        <v>0.7854166666666667</v>
      </c>
      <c r="D635" s="119" t="s">
        <v>937</v>
      </c>
      <c r="E635" s="111">
        <v>1.0</v>
      </c>
      <c r="F635" s="120">
        <v>5000.0</v>
      </c>
      <c r="G635" s="121">
        <v>5000.0</v>
      </c>
      <c r="H635" s="112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  <c r="AA635" s="96"/>
    </row>
    <row r="636" ht="15.75" customHeight="1">
      <c r="A636" s="116" t="s">
        <v>1789</v>
      </c>
      <c r="B636" s="117">
        <v>46086.7858796875</v>
      </c>
      <c r="C636" s="118">
        <v>0.7854166666666667</v>
      </c>
      <c r="D636" s="119" t="s">
        <v>72</v>
      </c>
      <c r="E636" s="111">
        <v>1.0</v>
      </c>
      <c r="F636" s="120">
        <v>2000.0</v>
      </c>
      <c r="G636" s="121">
        <v>2000.0</v>
      </c>
      <c r="H636" s="112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  <c r="AA636" s="96"/>
    </row>
    <row r="637" ht="15.75" customHeight="1">
      <c r="A637" s="116" t="s">
        <v>1789</v>
      </c>
      <c r="B637" s="117">
        <v>46086.7858796875</v>
      </c>
      <c r="C637" s="118">
        <v>0.7854166666666667</v>
      </c>
      <c r="D637" s="119" t="s">
        <v>76</v>
      </c>
      <c r="E637" s="111">
        <v>1.0</v>
      </c>
      <c r="F637" s="120">
        <v>2000.0</v>
      </c>
      <c r="G637" s="121">
        <v>2000.0</v>
      </c>
      <c r="H637" s="112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  <c r="AA637" s="96"/>
    </row>
    <row r="638" ht="15.75" customHeight="1">
      <c r="A638" s="111"/>
      <c r="B638" s="122">
        <v>46086.7858796875</v>
      </c>
      <c r="C638" s="123">
        <v>0.7854166666666667</v>
      </c>
      <c r="D638" s="119" t="s">
        <v>1790</v>
      </c>
      <c r="E638" s="111">
        <v>9.0</v>
      </c>
      <c r="F638" s="119" t="s">
        <v>1669</v>
      </c>
      <c r="G638" s="119" t="s">
        <v>1406</v>
      </c>
      <c r="H638" s="120">
        <v>30000.0</v>
      </c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  <c r="AA638" s="96"/>
    </row>
    <row r="639" ht="15.75" customHeight="1">
      <c r="A639" s="116" t="s">
        <v>1791</v>
      </c>
      <c r="B639" s="117">
        <v>46086.85829923611</v>
      </c>
      <c r="C639" s="118">
        <v>0.8576388888888888</v>
      </c>
      <c r="D639" s="119" t="s">
        <v>1054</v>
      </c>
      <c r="E639" s="111">
        <v>2.0</v>
      </c>
      <c r="F639" s="120">
        <v>5000.0</v>
      </c>
      <c r="G639" s="121">
        <v>10000.0</v>
      </c>
      <c r="H639" s="112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  <c r="AA639" s="96"/>
    </row>
    <row r="640" ht="15.75" customHeight="1">
      <c r="A640" s="116" t="s">
        <v>1791</v>
      </c>
      <c r="B640" s="117">
        <v>46086.85829923611</v>
      </c>
      <c r="C640" s="118">
        <v>0.8576388888888888</v>
      </c>
      <c r="D640" s="119" t="s">
        <v>1269</v>
      </c>
      <c r="E640" s="111">
        <v>1.0</v>
      </c>
      <c r="F640" s="120">
        <v>4500.0</v>
      </c>
      <c r="G640" s="121">
        <v>4500.0</v>
      </c>
      <c r="H640" s="112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  <c r="AA640" s="96"/>
    </row>
    <row r="641" ht="15.75" customHeight="1">
      <c r="A641" s="116" t="s">
        <v>1791</v>
      </c>
      <c r="B641" s="117">
        <v>46086.85829923611</v>
      </c>
      <c r="C641" s="118">
        <v>0.8576388888888888</v>
      </c>
      <c r="D641" s="119" t="s">
        <v>1279</v>
      </c>
      <c r="E641" s="111">
        <v>1.0</v>
      </c>
      <c r="F641" s="120">
        <v>3500.0</v>
      </c>
      <c r="G641" s="121">
        <v>3500.0</v>
      </c>
      <c r="H641" s="112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  <c r="AA641" s="96"/>
    </row>
    <row r="642" ht="15.75" customHeight="1">
      <c r="A642" s="116" t="s">
        <v>1791</v>
      </c>
      <c r="B642" s="117">
        <v>46086.85829923611</v>
      </c>
      <c r="C642" s="118">
        <v>0.8576388888888888</v>
      </c>
      <c r="D642" s="119" t="s">
        <v>1277</v>
      </c>
      <c r="E642" s="111">
        <v>1.0</v>
      </c>
      <c r="F642" s="120">
        <v>4300.0</v>
      </c>
      <c r="G642" s="121">
        <v>4300.0</v>
      </c>
      <c r="H642" s="112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  <c r="AA642" s="96"/>
    </row>
    <row r="643" ht="15.75" customHeight="1">
      <c r="A643" s="111"/>
      <c r="B643" s="122">
        <v>46086.85829923611</v>
      </c>
      <c r="C643" s="123">
        <v>0.8576388888888888</v>
      </c>
      <c r="D643" s="119" t="s">
        <v>1792</v>
      </c>
      <c r="E643" s="111">
        <v>5.0</v>
      </c>
      <c r="F643" s="119" t="s">
        <v>1611</v>
      </c>
      <c r="G643" s="119" t="s">
        <v>1424</v>
      </c>
      <c r="H643" s="120">
        <v>22300.0</v>
      </c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  <c r="AA643" s="96"/>
    </row>
    <row r="644" ht="15.75" customHeight="1">
      <c r="A644" s="116" t="s">
        <v>1793</v>
      </c>
      <c r="B644" s="117">
        <v>46086.90314084491</v>
      </c>
      <c r="C644" s="118">
        <v>0.9027777777777778</v>
      </c>
      <c r="D644" s="119" t="s">
        <v>1794</v>
      </c>
      <c r="E644" s="103">
        <v>0.87</v>
      </c>
      <c r="F644" s="120">
        <v>3915.0</v>
      </c>
      <c r="G644" s="121">
        <v>3915.0</v>
      </c>
      <c r="H644" s="112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  <c r="AA644" s="96"/>
    </row>
    <row r="645" ht="15.75" customHeight="1">
      <c r="A645" s="116" t="s">
        <v>1793</v>
      </c>
      <c r="B645" s="117">
        <v>46086.90314084491</v>
      </c>
      <c r="C645" s="118">
        <v>0.9027777777777778</v>
      </c>
      <c r="D645" s="119" t="s">
        <v>119</v>
      </c>
      <c r="E645" s="111">
        <v>1.0</v>
      </c>
      <c r="F645" s="120">
        <v>1500.0</v>
      </c>
      <c r="G645" s="121">
        <v>1500.0</v>
      </c>
      <c r="H645" s="112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  <c r="AA645" s="96"/>
    </row>
    <row r="646" ht="15.75" customHeight="1">
      <c r="A646" s="116" t="s">
        <v>1793</v>
      </c>
      <c r="B646" s="117">
        <v>46086.90314084491</v>
      </c>
      <c r="C646" s="118">
        <v>0.9027777777777778</v>
      </c>
      <c r="D646" s="119" t="s">
        <v>1795</v>
      </c>
      <c r="E646" s="103">
        <v>0.2</v>
      </c>
      <c r="F646" s="120">
        <v>500.0</v>
      </c>
      <c r="G646" s="121">
        <v>500.0</v>
      </c>
      <c r="H646" s="112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  <c r="AA646" s="96"/>
    </row>
    <row r="647" ht="15.75" customHeight="1">
      <c r="A647" s="116" t="s">
        <v>1793</v>
      </c>
      <c r="B647" s="117">
        <v>46086.90314084491</v>
      </c>
      <c r="C647" s="118">
        <v>0.9027777777777778</v>
      </c>
      <c r="D647" s="119" t="s">
        <v>1796</v>
      </c>
      <c r="E647" s="103">
        <v>0.5</v>
      </c>
      <c r="F647" s="120">
        <v>1000.0</v>
      </c>
      <c r="G647" s="121">
        <v>1000.0</v>
      </c>
      <c r="H647" s="112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  <c r="AA647" s="96"/>
    </row>
    <row r="648" ht="15.75" customHeight="1">
      <c r="A648" s="116" t="s">
        <v>1793</v>
      </c>
      <c r="B648" s="117">
        <v>46086.90314084491</v>
      </c>
      <c r="C648" s="118">
        <v>0.9027777777777778</v>
      </c>
      <c r="D648" s="119" t="s">
        <v>372</v>
      </c>
      <c r="E648" s="111">
        <v>1.0</v>
      </c>
      <c r="F648" s="120">
        <v>1400.0</v>
      </c>
      <c r="G648" s="121">
        <v>1400.0</v>
      </c>
      <c r="H648" s="112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  <c r="AA648" s="96"/>
    </row>
    <row r="649" ht="15.75" customHeight="1">
      <c r="A649" s="116" t="s">
        <v>1793</v>
      </c>
      <c r="B649" s="117">
        <v>46086.90314084491</v>
      </c>
      <c r="C649" s="118">
        <v>0.9027777777777778</v>
      </c>
      <c r="D649" s="119" t="s">
        <v>1797</v>
      </c>
      <c r="E649" s="103">
        <v>0.31</v>
      </c>
      <c r="F649" s="120">
        <v>682.0</v>
      </c>
      <c r="G649" s="121">
        <v>682.0</v>
      </c>
      <c r="H649" s="112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  <c r="AA649" s="96"/>
    </row>
    <row r="650" ht="15.75" customHeight="1">
      <c r="A650" s="116" t="s">
        <v>1793</v>
      </c>
      <c r="B650" s="117">
        <v>46086.90314084491</v>
      </c>
      <c r="C650" s="118">
        <v>0.9027777777777778</v>
      </c>
      <c r="D650" s="119" t="s">
        <v>1798</v>
      </c>
      <c r="E650" s="103">
        <v>0.075</v>
      </c>
      <c r="F650" s="120">
        <v>300.0</v>
      </c>
      <c r="G650" s="121">
        <v>300.0</v>
      </c>
      <c r="H650" s="112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  <c r="AA650" s="96"/>
    </row>
    <row r="651" ht="15.75" customHeight="1">
      <c r="A651" s="111"/>
      <c r="B651" s="122">
        <v>46086.90314084491</v>
      </c>
      <c r="C651" s="123">
        <v>0.9027777777777778</v>
      </c>
      <c r="D651" s="119" t="s">
        <v>1799</v>
      </c>
      <c r="E651" s="111">
        <v>7.0</v>
      </c>
      <c r="F651" s="119" t="s">
        <v>1611</v>
      </c>
      <c r="G651" s="119" t="s">
        <v>1424</v>
      </c>
      <c r="H651" s="120">
        <v>9297.0</v>
      </c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  <c r="AA651" s="96"/>
    </row>
    <row r="652" ht="15.75" customHeight="1">
      <c r="A652" s="116" t="s">
        <v>1800</v>
      </c>
      <c r="B652" s="117">
        <v>46087.51025460648</v>
      </c>
      <c r="C652" s="118">
        <v>0.5097222222222222</v>
      </c>
      <c r="D652" s="119" t="s">
        <v>572</v>
      </c>
      <c r="E652" s="111">
        <v>2.0</v>
      </c>
      <c r="F652" s="120">
        <v>3300.0</v>
      </c>
      <c r="G652" s="121">
        <v>6600.0</v>
      </c>
      <c r="H652" s="112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  <c r="AA652" s="96"/>
    </row>
    <row r="653" ht="15.75" customHeight="1">
      <c r="A653" s="111"/>
      <c r="B653" s="122">
        <v>46087.51025460648</v>
      </c>
      <c r="C653" s="123">
        <v>0.5097222222222222</v>
      </c>
      <c r="D653" s="119" t="s">
        <v>1801</v>
      </c>
      <c r="E653" s="111">
        <v>2.0</v>
      </c>
      <c r="F653" s="119" t="s">
        <v>1611</v>
      </c>
      <c r="G653" s="119" t="s">
        <v>1406</v>
      </c>
      <c r="H653" s="120">
        <v>6600.0</v>
      </c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  <c r="AA653" s="96"/>
    </row>
    <row r="654" ht="15.75" customHeight="1">
      <c r="A654" s="116" t="s">
        <v>1802</v>
      </c>
      <c r="B654" s="117">
        <v>46087.69592452546</v>
      </c>
      <c r="C654" s="118">
        <v>0.6958333333333333</v>
      </c>
      <c r="D654" s="119" t="s">
        <v>1243</v>
      </c>
      <c r="E654" s="111">
        <v>2.0</v>
      </c>
      <c r="F654" s="120">
        <v>1200.0</v>
      </c>
      <c r="G654" s="121">
        <v>2400.0</v>
      </c>
      <c r="H654" s="112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  <c r="AA654" s="96"/>
    </row>
    <row r="655" ht="15.75" customHeight="1">
      <c r="A655" s="116" t="s">
        <v>1802</v>
      </c>
      <c r="B655" s="117">
        <v>46087.69592452546</v>
      </c>
      <c r="C655" s="118">
        <v>0.6958333333333333</v>
      </c>
      <c r="D655" s="119" t="s">
        <v>501</v>
      </c>
      <c r="E655" s="111">
        <v>1.0</v>
      </c>
      <c r="F655" s="120">
        <v>1000.0</v>
      </c>
      <c r="G655" s="121">
        <v>1000.0</v>
      </c>
      <c r="H655" s="112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  <c r="AA655" s="96"/>
    </row>
    <row r="656" ht="15.75" customHeight="1">
      <c r="A656" s="116" t="s">
        <v>1802</v>
      </c>
      <c r="B656" s="117">
        <v>46087.69592452546</v>
      </c>
      <c r="C656" s="118">
        <v>0.6958333333333333</v>
      </c>
      <c r="D656" s="119" t="s">
        <v>1803</v>
      </c>
      <c r="E656" s="103">
        <v>0.8</v>
      </c>
      <c r="F656" s="120">
        <v>10800.0</v>
      </c>
      <c r="G656" s="121">
        <v>10800.0</v>
      </c>
      <c r="H656" s="112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  <c r="AA656" s="96"/>
    </row>
    <row r="657" ht="15.75" customHeight="1">
      <c r="A657" s="116" t="s">
        <v>1802</v>
      </c>
      <c r="B657" s="117">
        <v>46087.69592452546</v>
      </c>
      <c r="C657" s="118">
        <v>0.6958333333333333</v>
      </c>
      <c r="D657" s="119" t="s">
        <v>1804</v>
      </c>
      <c r="E657" s="103">
        <v>0.32</v>
      </c>
      <c r="F657" s="120">
        <v>1600.0</v>
      </c>
      <c r="G657" s="121">
        <v>1600.0</v>
      </c>
      <c r="H657" s="112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  <c r="AA657" s="96"/>
    </row>
    <row r="658" ht="15.75" customHeight="1">
      <c r="A658" s="111"/>
      <c r="B658" s="122">
        <v>46087.69592452546</v>
      </c>
      <c r="C658" s="123">
        <v>0.6958333333333333</v>
      </c>
      <c r="D658" s="119" t="s">
        <v>1805</v>
      </c>
      <c r="E658" s="111">
        <v>5.0</v>
      </c>
      <c r="F658" s="119" t="s">
        <v>1669</v>
      </c>
      <c r="G658" s="119" t="s">
        <v>1406</v>
      </c>
      <c r="H658" s="120">
        <v>15800.0</v>
      </c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  <c r="AA658" s="96"/>
    </row>
    <row r="659" ht="15.75" customHeight="1">
      <c r="A659" s="116" t="s">
        <v>1806</v>
      </c>
      <c r="B659" s="117">
        <v>46087.69644053241</v>
      </c>
      <c r="C659" s="118">
        <v>0.6958333333333333</v>
      </c>
      <c r="D659" s="119" t="s">
        <v>1271</v>
      </c>
      <c r="E659" s="111">
        <v>1.0</v>
      </c>
      <c r="F659" s="120">
        <v>5000.0</v>
      </c>
      <c r="G659" s="121">
        <v>5000.0</v>
      </c>
      <c r="H659" s="112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  <c r="AA659" s="96"/>
    </row>
    <row r="660" ht="15.75" customHeight="1">
      <c r="A660" s="111"/>
      <c r="B660" s="122">
        <v>46087.69644053241</v>
      </c>
      <c r="C660" s="123">
        <v>0.6958333333333333</v>
      </c>
      <c r="D660" s="119" t="s">
        <v>1807</v>
      </c>
      <c r="E660" s="111">
        <v>1.0</v>
      </c>
      <c r="F660" s="119" t="s">
        <v>1297</v>
      </c>
      <c r="G660" s="119" t="s">
        <v>1406</v>
      </c>
      <c r="H660" s="120">
        <v>5000.0</v>
      </c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  <c r="AA660" s="96"/>
    </row>
    <row r="661" ht="15.75" customHeight="1">
      <c r="A661" s="116" t="s">
        <v>1808</v>
      </c>
      <c r="B661" s="117">
        <v>46087.71682969907</v>
      </c>
      <c r="C661" s="118">
        <v>0.7166666666666667</v>
      </c>
      <c r="D661" s="119" t="s">
        <v>1809</v>
      </c>
      <c r="E661" s="103">
        <v>0.255</v>
      </c>
      <c r="F661" s="120">
        <v>1403.0</v>
      </c>
      <c r="G661" s="121">
        <v>1403.0</v>
      </c>
      <c r="H661" s="112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  <c r="AA661" s="96"/>
    </row>
    <row r="662" ht="15.75" customHeight="1">
      <c r="A662" s="116" t="s">
        <v>1808</v>
      </c>
      <c r="B662" s="117">
        <v>46087.71682969907</v>
      </c>
      <c r="C662" s="118">
        <v>0.7166666666666667</v>
      </c>
      <c r="D662" s="119" t="s">
        <v>1810</v>
      </c>
      <c r="E662" s="103">
        <v>0.55</v>
      </c>
      <c r="F662" s="120">
        <v>2200.0</v>
      </c>
      <c r="G662" s="121">
        <v>2200.0</v>
      </c>
      <c r="H662" s="112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  <c r="AA662" s="96"/>
    </row>
    <row r="663" ht="15.75" customHeight="1">
      <c r="A663" s="116" t="s">
        <v>1808</v>
      </c>
      <c r="B663" s="117">
        <v>46087.71682969907</v>
      </c>
      <c r="C663" s="118">
        <v>0.7166666666666667</v>
      </c>
      <c r="D663" s="119" t="s">
        <v>211</v>
      </c>
      <c r="E663" s="111">
        <v>1.0</v>
      </c>
      <c r="F663" s="120">
        <v>2500.0</v>
      </c>
      <c r="G663" s="121">
        <v>2500.0</v>
      </c>
      <c r="H663" s="112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  <c r="AA663" s="96"/>
    </row>
    <row r="664" ht="15.75" customHeight="1">
      <c r="A664" s="116" t="s">
        <v>1808</v>
      </c>
      <c r="B664" s="117">
        <v>46087.71682969907</v>
      </c>
      <c r="C664" s="118">
        <v>0.7166666666666667</v>
      </c>
      <c r="D664" s="119" t="s">
        <v>1811</v>
      </c>
      <c r="E664" s="103">
        <v>0.557</v>
      </c>
      <c r="F664" s="120">
        <v>1950.0</v>
      </c>
      <c r="G664" s="121">
        <v>1950.0</v>
      </c>
      <c r="H664" s="112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  <c r="AA664" s="96"/>
    </row>
    <row r="665" ht="15.75" customHeight="1">
      <c r="A665" s="116" t="s">
        <v>1808</v>
      </c>
      <c r="B665" s="117">
        <v>46087.71682969907</v>
      </c>
      <c r="C665" s="118">
        <v>0.7166666666666667</v>
      </c>
      <c r="D665" s="119" t="s">
        <v>470</v>
      </c>
      <c r="E665" s="111">
        <v>1.0</v>
      </c>
      <c r="F665" s="120">
        <v>3000.0</v>
      </c>
      <c r="G665" s="121">
        <v>3000.0</v>
      </c>
      <c r="H665" s="112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  <c r="AA665" s="96"/>
    </row>
    <row r="666" ht="15.75" customHeight="1">
      <c r="A666" s="111"/>
      <c r="B666" s="122">
        <v>46087.71682969907</v>
      </c>
      <c r="C666" s="123">
        <v>0.7166666666666667</v>
      </c>
      <c r="D666" s="119" t="s">
        <v>1812</v>
      </c>
      <c r="E666" s="111">
        <v>5.0</v>
      </c>
      <c r="F666" s="119" t="s">
        <v>1297</v>
      </c>
      <c r="G666" s="119" t="s">
        <v>1406</v>
      </c>
      <c r="H666" s="120">
        <v>11053.0</v>
      </c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  <c r="AA666" s="96"/>
    </row>
    <row r="667" ht="15.75" customHeight="1">
      <c r="A667" s="116" t="s">
        <v>1813</v>
      </c>
      <c r="B667" s="117">
        <v>46087.74777212963</v>
      </c>
      <c r="C667" s="118">
        <v>0.7472222222222222</v>
      </c>
      <c r="D667" s="119" t="s">
        <v>72</v>
      </c>
      <c r="E667" s="111">
        <v>1.0</v>
      </c>
      <c r="F667" s="120">
        <v>2000.0</v>
      </c>
      <c r="G667" s="121">
        <v>2000.0</v>
      </c>
      <c r="H667" s="112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  <c r="AA667" s="96"/>
    </row>
    <row r="668" ht="15.75" customHeight="1">
      <c r="A668" s="116" t="s">
        <v>1813</v>
      </c>
      <c r="B668" s="117">
        <v>46087.74777212963</v>
      </c>
      <c r="C668" s="118">
        <v>0.7472222222222222</v>
      </c>
      <c r="D668" s="119" t="s">
        <v>1814</v>
      </c>
      <c r="E668" s="115">
        <v>268.0</v>
      </c>
      <c r="F668" s="120">
        <v>938.0</v>
      </c>
      <c r="G668" s="121">
        <v>938.0</v>
      </c>
      <c r="H668" s="112"/>
      <c r="I668" s="96"/>
      <c r="J668" s="124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  <c r="AA668" s="96"/>
    </row>
    <row r="669" ht="15.75" customHeight="1">
      <c r="A669" s="111"/>
      <c r="B669" s="122">
        <v>46087.74777212963</v>
      </c>
      <c r="C669" s="123">
        <v>0.7472222222222222</v>
      </c>
      <c r="D669" s="119" t="s">
        <v>1815</v>
      </c>
      <c r="E669" s="111">
        <v>2.0</v>
      </c>
      <c r="F669" s="119" t="s">
        <v>1297</v>
      </c>
      <c r="G669" s="119" t="s">
        <v>1406</v>
      </c>
      <c r="H669" s="120">
        <v>2938.0</v>
      </c>
      <c r="I669" s="96"/>
      <c r="J669" s="124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  <c r="AA669" s="96"/>
    </row>
    <row r="670" ht="15.75" customHeight="1">
      <c r="A670" s="116" t="s">
        <v>1816</v>
      </c>
      <c r="B670" s="117">
        <v>46087.75175055556</v>
      </c>
      <c r="C670" s="118">
        <v>0.7513888888888889</v>
      </c>
      <c r="D670" s="119" t="s">
        <v>1817</v>
      </c>
      <c r="E670" s="125">
        <v>46054.0</v>
      </c>
      <c r="F670" s="120">
        <v>0.0</v>
      </c>
      <c r="G670" s="121">
        <v>0.0</v>
      </c>
      <c r="H670" s="112"/>
      <c r="I670" s="96"/>
      <c r="J670" s="124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  <c r="AA670" s="96"/>
    </row>
    <row r="671" ht="15.75" customHeight="1">
      <c r="A671" s="116" t="s">
        <v>1816</v>
      </c>
      <c r="B671" s="117">
        <v>46087.75175055556</v>
      </c>
      <c r="C671" s="118">
        <v>0.7513888888888889</v>
      </c>
      <c r="D671" s="119" t="s">
        <v>1818</v>
      </c>
      <c r="E671" s="125">
        <v>46082.0</v>
      </c>
      <c r="F671" s="120">
        <v>0.0</v>
      </c>
      <c r="G671" s="121">
        <v>0.0</v>
      </c>
      <c r="H671" s="112"/>
      <c r="I671" s="96"/>
      <c r="J671" s="124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  <c r="AA671" s="96"/>
    </row>
    <row r="672" ht="15.75" customHeight="1">
      <c r="A672" s="116" t="s">
        <v>1816</v>
      </c>
      <c r="B672" s="117">
        <v>46087.75175055556</v>
      </c>
      <c r="C672" s="118">
        <v>0.7513888888888889</v>
      </c>
      <c r="D672" s="119" t="s">
        <v>1819</v>
      </c>
      <c r="E672" s="115">
        <v>2.0</v>
      </c>
      <c r="F672" s="120">
        <v>0.0</v>
      </c>
      <c r="G672" s="121">
        <v>0.0</v>
      </c>
      <c r="H672" s="112"/>
      <c r="I672" s="96"/>
      <c r="J672" s="124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  <c r="AA672" s="96"/>
    </row>
    <row r="673" ht="15.75" customHeight="1">
      <c r="A673" s="111"/>
      <c r="B673" s="122">
        <v>46087.75175055556</v>
      </c>
      <c r="C673" s="123">
        <v>0.7513888888888889</v>
      </c>
      <c r="D673" s="119" t="s">
        <v>1820</v>
      </c>
      <c r="E673" s="111">
        <v>3.0</v>
      </c>
      <c r="F673" s="119" t="s">
        <v>1297</v>
      </c>
      <c r="G673" s="119" t="s">
        <v>1406</v>
      </c>
      <c r="H673" s="120">
        <v>0.0</v>
      </c>
      <c r="I673" s="96"/>
      <c r="J673" s="124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  <c r="AA673" s="96"/>
    </row>
    <row r="674" ht="15.75" customHeight="1">
      <c r="A674" s="116" t="s">
        <v>1821</v>
      </c>
      <c r="B674" s="117">
        <v>46087.765381053236</v>
      </c>
      <c r="C674" s="118">
        <v>0.7652777777777777</v>
      </c>
      <c r="D674" s="119" t="s">
        <v>719</v>
      </c>
      <c r="E674" s="111">
        <v>1.0</v>
      </c>
      <c r="F674" s="120">
        <v>5800.0</v>
      </c>
      <c r="G674" s="121">
        <v>5800.0</v>
      </c>
      <c r="H674" s="112"/>
      <c r="I674" s="96"/>
      <c r="J674" s="124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  <c r="AA674" s="96"/>
    </row>
    <row r="675" ht="15.75" customHeight="1">
      <c r="A675" s="116" t="s">
        <v>1821</v>
      </c>
      <c r="B675" s="117">
        <v>46087.765381053236</v>
      </c>
      <c r="C675" s="118">
        <v>0.7652777777777777</v>
      </c>
      <c r="D675" s="119" t="s">
        <v>514</v>
      </c>
      <c r="E675" s="111">
        <v>2.0</v>
      </c>
      <c r="F675" s="120">
        <v>400.0</v>
      </c>
      <c r="G675" s="121">
        <v>800.0</v>
      </c>
      <c r="H675" s="112"/>
      <c r="I675" s="96"/>
      <c r="J675" s="124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  <c r="AA675" s="96"/>
    </row>
    <row r="676" ht="15.75" customHeight="1">
      <c r="A676" s="116" t="s">
        <v>1821</v>
      </c>
      <c r="B676" s="117">
        <v>46087.765381053236</v>
      </c>
      <c r="C676" s="118">
        <v>0.7652777777777777</v>
      </c>
      <c r="D676" s="119" t="s">
        <v>1822</v>
      </c>
      <c r="E676" s="115" t="s">
        <v>1823</v>
      </c>
      <c r="F676" s="120">
        <v>4235.0</v>
      </c>
      <c r="G676" s="121">
        <v>4235.0</v>
      </c>
      <c r="H676" s="112"/>
      <c r="I676" s="96"/>
      <c r="J676" s="124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  <c r="AA676" s="96"/>
    </row>
    <row r="677" ht="15.75" customHeight="1">
      <c r="A677" s="116" t="s">
        <v>1821</v>
      </c>
      <c r="B677" s="117">
        <v>46087.765381053236</v>
      </c>
      <c r="C677" s="118">
        <v>0.7652777777777777</v>
      </c>
      <c r="D677" s="119" t="s">
        <v>1824</v>
      </c>
      <c r="E677" s="115" t="s">
        <v>1825</v>
      </c>
      <c r="F677" s="120">
        <v>2805.0</v>
      </c>
      <c r="G677" s="121">
        <v>2805.0</v>
      </c>
      <c r="H677" s="112"/>
      <c r="I677" s="96"/>
      <c r="J677" s="124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  <c r="AA677" s="96"/>
    </row>
    <row r="678" ht="15.75" customHeight="1">
      <c r="A678" s="116" t="s">
        <v>1821</v>
      </c>
      <c r="B678" s="117">
        <v>46087.765381053236</v>
      </c>
      <c r="C678" s="118">
        <v>0.7652777777777777</v>
      </c>
      <c r="D678" s="119" t="s">
        <v>445</v>
      </c>
      <c r="E678" s="111">
        <v>1.0</v>
      </c>
      <c r="F678" s="120">
        <v>4500.0</v>
      </c>
      <c r="G678" s="121">
        <v>4500.0</v>
      </c>
      <c r="H678" s="112"/>
      <c r="I678" s="96"/>
      <c r="J678" s="124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  <c r="AA678" s="96"/>
    </row>
    <row r="679" ht="15.75" customHeight="1">
      <c r="A679" s="116" t="s">
        <v>1821</v>
      </c>
      <c r="B679" s="117">
        <v>46087.765381053236</v>
      </c>
      <c r="C679" s="118">
        <v>0.7652777777777777</v>
      </c>
      <c r="D679" s="119" t="s">
        <v>1826</v>
      </c>
      <c r="E679" s="115">
        <v>285.0</v>
      </c>
      <c r="F679" s="120">
        <v>1995.0</v>
      </c>
      <c r="G679" s="121">
        <v>1995.0</v>
      </c>
      <c r="H679" s="112"/>
      <c r="I679" s="96"/>
      <c r="J679" s="124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  <c r="AA679" s="96"/>
    </row>
    <row r="680" ht="15.75" customHeight="1">
      <c r="A680" s="116" t="s">
        <v>1821</v>
      </c>
      <c r="B680" s="117">
        <v>46087.765381053236</v>
      </c>
      <c r="C680" s="118">
        <v>0.7652777777777777</v>
      </c>
      <c r="D680" s="119" t="s">
        <v>619</v>
      </c>
      <c r="E680" s="111">
        <v>1.0</v>
      </c>
      <c r="F680" s="120">
        <v>3300.0</v>
      </c>
      <c r="G680" s="121">
        <v>3300.0</v>
      </c>
      <c r="H680" s="112"/>
      <c r="I680" s="96"/>
      <c r="J680" s="124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  <c r="AA680" s="96"/>
    </row>
    <row r="681" ht="15.75" customHeight="1">
      <c r="A681" s="111"/>
      <c r="B681" s="122">
        <v>46087.765381053236</v>
      </c>
      <c r="C681" s="123">
        <v>0.7652777777777777</v>
      </c>
      <c r="D681" s="119" t="s">
        <v>1827</v>
      </c>
      <c r="E681" s="111">
        <v>8.0</v>
      </c>
      <c r="F681" s="119" t="s">
        <v>1611</v>
      </c>
      <c r="G681" s="119" t="s">
        <v>1406</v>
      </c>
      <c r="H681" s="120">
        <v>23435.0</v>
      </c>
      <c r="I681" s="96"/>
      <c r="J681" s="124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  <c r="AA681" s="96"/>
    </row>
    <row r="682" ht="15.75" customHeight="1">
      <c r="A682" s="126" t="s">
        <v>1828</v>
      </c>
      <c r="B682" s="127">
        <v>46087.791642118056</v>
      </c>
      <c r="C682" s="128">
        <v>0.7909722222222222</v>
      </c>
      <c r="D682" s="129" t="s">
        <v>1434</v>
      </c>
      <c r="E682" s="130">
        <v>0.1</v>
      </c>
      <c r="F682" s="131">
        <v>700.0</v>
      </c>
      <c r="G682" s="132">
        <v>700.0</v>
      </c>
      <c r="H682" s="133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  <c r="AA682" s="96"/>
    </row>
    <row r="683" ht="15.75" customHeight="1">
      <c r="A683" s="124"/>
      <c r="B683" s="134">
        <v>46087.791642118056</v>
      </c>
      <c r="C683" s="135">
        <v>0.7909722222222222</v>
      </c>
      <c r="D683" s="129" t="s">
        <v>1829</v>
      </c>
      <c r="E683" s="130">
        <v>1.0</v>
      </c>
      <c r="F683" s="129" t="s">
        <v>1297</v>
      </c>
      <c r="G683" s="129" t="s">
        <v>1406</v>
      </c>
      <c r="H683" s="131">
        <v>700.0</v>
      </c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  <c r="AA683" s="96"/>
    </row>
    <row r="684" ht="15.75" customHeight="1">
      <c r="A684" s="126" t="s">
        <v>1830</v>
      </c>
      <c r="B684" s="127">
        <v>46087.84908670139</v>
      </c>
      <c r="C684" s="128">
        <v>0.8486111111111111</v>
      </c>
      <c r="D684" s="129" t="s">
        <v>1269</v>
      </c>
      <c r="E684" s="130">
        <v>1.0</v>
      </c>
      <c r="F684" s="131">
        <v>4500.0</v>
      </c>
      <c r="G684" s="132">
        <v>4500.0</v>
      </c>
      <c r="H684" s="133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  <c r="AA684" s="96"/>
    </row>
    <row r="685" ht="15.75" customHeight="1">
      <c r="A685" s="126" t="s">
        <v>1830</v>
      </c>
      <c r="B685" s="127">
        <v>46087.84908670139</v>
      </c>
      <c r="C685" s="128">
        <v>0.8486111111111111</v>
      </c>
      <c r="D685" s="129" t="s">
        <v>1271</v>
      </c>
      <c r="E685" s="130">
        <v>3.0</v>
      </c>
      <c r="F685" s="131">
        <v>5000.0</v>
      </c>
      <c r="G685" s="132">
        <v>15000.0</v>
      </c>
      <c r="H685" s="133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  <c r="AA685" s="96"/>
    </row>
    <row r="686" ht="15.75" customHeight="1">
      <c r="A686" s="124"/>
      <c r="B686" s="134">
        <v>46087.84908670139</v>
      </c>
      <c r="C686" s="135">
        <v>0.8486111111111111</v>
      </c>
      <c r="D686" s="129" t="s">
        <v>1831</v>
      </c>
      <c r="E686" s="130">
        <v>4.0</v>
      </c>
      <c r="F686" s="129" t="s">
        <v>1611</v>
      </c>
      <c r="G686" s="129" t="s">
        <v>1406</v>
      </c>
      <c r="H686" s="131">
        <v>19500.0</v>
      </c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  <c r="AA686" s="96"/>
    </row>
    <row r="687" ht="15.75" customHeight="1">
      <c r="A687" s="126" t="s">
        <v>1832</v>
      </c>
      <c r="B687" s="127">
        <v>46087.85367196759</v>
      </c>
      <c r="C687" s="128">
        <v>0.8534722222222222</v>
      </c>
      <c r="D687" s="129" t="s">
        <v>1833</v>
      </c>
      <c r="E687" s="130">
        <v>0.27</v>
      </c>
      <c r="F687" s="131">
        <v>4320.0</v>
      </c>
      <c r="G687" s="132">
        <v>4320.0</v>
      </c>
      <c r="H687" s="133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  <c r="AA687" s="96"/>
    </row>
    <row r="688" ht="15.75" customHeight="1">
      <c r="A688" s="126" t="s">
        <v>1832</v>
      </c>
      <c r="B688" s="127">
        <v>46087.85367196759</v>
      </c>
      <c r="C688" s="128">
        <v>0.8534722222222222</v>
      </c>
      <c r="D688" s="129" t="s">
        <v>1834</v>
      </c>
      <c r="E688" s="130">
        <v>0.73</v>
      </c>
      <c r="F688" s="131">
        <v>2920.0</v>
      </c>
      <c r="G688" s="132">
        <v>2920.0</v>
      </c>
      <c r="H688" s="133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  <c r="AA688" s="96"/>
    </row>
    <row r="689" ht="15.75" customHeight="1">
      <c r="A689" s="124"/>
      <c r="B689" s="134">
        <v>46087.85367196759</v>
      </c>
      <c r="C689" s="135">
        <v>0.8534722222222222</v>
      </c>
      <c r="D689" s="129" t="s">
        <v>1835</v>
      </c>
      <c r="E689" s="130">
        <v>2.0</v>
      </c>
      <c r="F689" s="129" t="s">
        <v>1297</v>
      </c>
      <c r="G689" s="129" t="s">
        <v>1406</v>
      </c>
      <c r="H689" s="131">
        <v>7240.0</v>
      </c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  <c r="AA689" s="96"/>
    </row>
    <row r="690" ht="15.75" customHeight="1">
      <c r="A690" s="126" t="s">
        <v>1836</v>
      </c>
      <c r="B690" s="127">
        <v>46087.87583951389</v>
      </c>
      <c r="C690" s="128">
        <v>0.8756944444444444</v>
      </c>
      <c r="D690" s="129" t="s">
        <v>1054</v>
      </c>
      <c r="E690" s="130">
        <v>2.0</v>
      </c>
      <c r="F690" s="131">
        <v>5000.0</v>
      </c>
      <c r="G690" s="132">
        <v>10000.0</v>
      </c>
      <c r="H690" s="133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  <c r="AA690" s="96"/>
    </row>
    <row r="691" ht="15.75" customHeight="1">
      <c r="A691" s="124"/>
      <c r="B691" s="134">
        <v>46087.87583951389</v>
      </c>
      <c r="C691" s="135">
        <v>0.8756944444444444</v>
      </c>
      <c r="D691" s="129" t="s">
        <v>1837</v>
      </c>
      <c r="E691" s="130">
        <v>2.0</v>
      </c>
      <c r="F691" s="129" t="s">
        <v>1611</v>
      </c>
      <c r="G691" s="129" t="s">
        <v>1406</v>
      </c>
      <c r="H691" s="131">
        <v>10000.0</v>
      </c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  <c r="AA691" s="96"/>
    </row>
    <row r="692" ht="15.75" customHeight="1">
      <c r="A692" s="126" t="s">
        <v>1838</v>
      </c>
      <c r="B692" s="127">
        <v>46087.877100949074</v>
      </c>
      <c r="C692" s="128">
        <v>0.8770833333333333</v>
      </c>
      <c r="D692" s="129" t="s">
        <v>1839</v>
      </c>
      <c r="E692" s="130">
        <v>0.89</v>
      </c>
      <c r="F692" s="131">
        <v>2314.0</v>
      </c>
      <c r="G692" s="132">
        <v>2314.0</v>
      </c>
      <c r="H692" s="133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  <c r="AA692" s="96"/>
    </row>
    <row r="693" ht="15.75" customHeight="1">
      <c r="A693" s="124"/>
      <c r="B693" s="134">
        <v>46087.877100949074</v>
      </c>
      <c r="C693" s="135">
        <v>0.8770833333333333</v>
      </c>
      <c r="D693" s="129" t="s">
        <v>1840</v>
      </c>
      <c r="E693" s="130">
        <v>1.0</v>
      </c>
      <c r="F693" s="129" t="s">
        <v>1611</v>
      </c>
      <c r="G693" s="129" t="s">
        <v>1406</v>
      </c>
      <c r="H693" s="131">
        <v>2314.0</v>
      </c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  <c r="AA693" s="96"/>
    </row>
    <row r="694" ht="15.75" customHeight="1">
      <c r="A694" s="126" t="s">
        <v>1841</v>
      </c>
      <c r="B694" s="127">
        <v>46087.87937027778</v>
      </c>
      <c r="C694" s="128">
        <v>0.8791666666666667</v>
      </c>
      <c r="D694" s="129" t="s">
        <v>1842</v>
      </c>
      <c r="E694" s="130">
        <v>1.041</v>
      </c>
      <c r="F694" s="131">
        <v>16655.0</v>
      </c>
      <c r="G694" s="132">
        <v>16655.0</v>
      </c>
      <c r="H694" s="133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  <c r="AA694" s="96"/>
    </row>
    <row r="695" ht="15.75" customHeight="1">
      <c r="A695" s="124"/>
      <c r="B695" s="134">
        <v>46087.87937027778</v>
      </c>
      <c r="C695" s="135">
        <v>0.8791666666666667</v>
      </c>
      <c r="D695" s="129" t="s">
        <v>1843</v>
      </c>
      <c r="E695" s="130">
        <v>1.0</v>
      </c>
      <c r="F695" s="129" t="s">
        <v>1297</v>
      </c>
      <c r="G695" s="129" t="s">
        <v>1406</v>
      </c>
      <c r="H695" s="131">
        <v>16655.0</v>
      </c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  <c r="AA695" s="96"/>
    </row>
    <row r="696" ht="15.75" customHeight="1">
      <c r="A696" s="126" t="s">
        <v>1844</v>
      </c>
      <c r="B696" s="127">
        <v>46087.87996162037</v>
      </c>
      <c r="C696" s="128">
        <v>0.8798611111111111</v>
      </c>
      <c r="D696" s="129" t="s">
        <v>123</v>
      </c>
      <c r="E696" s="130">
        <v>3.0</v>
      </c>
      <c r="F696" s="131">
        <v>3500.0</v>
      </c>
      <c r="G696" s="132">
        <v>10500.0</v>
      </c>
      <c r="H696" s="133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  <c r="AA696" s="96"/>
    </row>
    <row r="697" ht="15.75" customHeight="1">
      <c r="A697" s="126" t="s">
        <v>1844</v>
      </c>
      <c r="B697" s="127">
        <v>46087.87996162037</v>
      </c>
      <c r="C697" s="128">
        <v>0.8798611111111111</v>
      </c>
      <c r="D697" s="129" t="s">
        <v>1845</v>
      </c>
      <c r="E697" s="130">
        <v>0.7</v>
      </c>
      <c r="F697" s="131">
        <v>2800.0</v>
      </c>
      <c r="G697" s="132">
        <v>2800.0</v>
      </c>
      <c r="H697" s="133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  <c r="AA697" s="96"/>
    </row>
    <row r="698" ht="15.75" customHeight="1">
      <c r="A698" s="124"/>
      <c r="B698" s="134">
        <v>46087.87996162037</v>
      </c>
      <c r="C698" s="135">
        <v>0.8798611111111111</v>
      </c>
      <c r="D698" s="129" t="s">
        <v>1846</v>
      </c>
      <c r="E698" s="130">
        <v>4.0</v>
      </c>
      <c r="F698" s="129" t="s">
        <v>1611</v>
      </c>
      <c r="G698" s="129" t="s">
        <v>1406</v>
      </c>
      <c r="H698" s="131">
        <v>13300.0</v>
      </c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  <c r="AA698" s="96"/>
    </row>
    <row r="699" ht="15.75" customHeight="1">
      <c r="A699" s="126" t="s">
        <v>1847</v>
      </c>
      <c r="B699" s="127">
        <v>46087.881877569445</v>
      </c>
      <c r="C699" s="128">
        <v>0.88125</v>
      </c>
      <c r="D699" s="129" t="s">
        <v>1848</v>
      </c>
      <c r="E699" s="130">
        <v>2.157</v>
      </c>
      <c r="F699" s="131">
        <v>34510.0</v>
      </c>
      <c r="G699" s="132">
        <v>34510.0</v>
      </c>
      <c r="H699" s="133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  <c r="AA699" s="96"/>
    </row>
    <row r="700" ht="15.75" customHeight="1">
      <c r="A700" s="126" t="s">
        <v>1847</v>
      </c>
      <c r="B700" s="127">
        <v>46087.881877569445</v>
      </c>
      <c r="C700" s="128">
        <v>0.88125</v>
      </c>
      <c r="D700" s="129" t="s">
        <v>1849</v>
      </c>
      <c r="E700" s="130">
        <v>0.7</v>
      </c>
      <c r="F700" s="131">
        <v>3500.0</v>
      </c>
      <c r="G700" s="132">
        <v>3500.0</v>
      </c>
      <c r="H700" s="133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  <c r="AA700" s="96"/>
    </row>
    <row r="701" ht="15.75" customHeight="1">
      <c r="A701" s="126" t="s">
        <v>1847</v>
      </c>
      <c r="B701" s="127">
        <v>46087.881877569445</v>
      </c>
      <c r="C701" s="128">
        <v>0.88125</v>
      </c>
      <c r="D701" s="129" t="s">
        <v>1850</v>
      </c>
      <c r="E701" s="130">
        <v>0.771</v>
      </c>
      <c r="F701" s="131">
        <v>2699.0</v>
      </c>
      <c r="G701" s="132">
        <v>2699.0</v>
      </c>
      <c r="H701" s="133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  <c r="AA701" s="96"/>
    </row>
    <row r="702" ht="15.75" customHeight="1">
      <c r="A702" s="124"/>
      <c r="B702" s="134">
        <v>46087.881877569445</v>
      </c>
      <c r="C702" s="135">
        <v>0.88125</v>
      </c>
      <c r="D702" s="129" t="s">
        <v>1851</v>
      </c>
      <c r="E702" s="130">
        <v>3.0</v>
      </c>
      <c r="F702" s="129" t="s">
        <v>1611</v>
      </c>
      <c r="G702" s="129" t="s">
        <v>1406</v>
      </c>
      <c r="H702" s="131">
        <v>40709.0</v>
      </c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  <c r="AA702" s="96"/>
    </row>
    <row r="703" ht="15.75" customHeight="1">
      <c r="A703" s="126" t="s">
        <v>1852</v>
      </c>
      <c r="B703" s="127">
        <v>46087.882626377315</v>
      </c>
      <c r="C703" s="128">
        <v>0.8819444444444444</v>
      </c>
      <c r="D703" s="129" t="s">
        <v>955</v>
      </c>
      <c r="E703" s="130">
        <v>2.0</v>
      </c>
      <c r="F703" s="131">
        <v>700.0</v>
      </c>
      <c r="G703" s="132">
        <v>1400.0</v>
      </c>
      <c r="H703" s="133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  <c r="AA703" s="96"/>
    </row>
    <row r="704" ht="15.75" customHeight="1">
      <c r="A704" s="126" t="s">
        <v>1852</v>
      </c>
      <c r="B704" s="127">
        <v>46087.882626377315</v>
      </c>
      <c r="C704" s="128">
        <v>0.8819444444444444</v>
      </c>
      <c r="D704" s="129" t="s">
        <v>961</v>
      </c>
      <c r="E704" s="130">
        <v>2.0</v>
      </c>
      <c r="F704" s="131">
        <v>600.0</v>
      </c>
      <c r="G704" s="132">
        <v>1200.0</v>
      </c>
      <c r="H704" s="133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  <c r="AA704" s="96"/>
    </row>
    <row r="705" ht="15.75" customHeight="1">
      <c r="A705" s="124"/>
      <c r="B705" s="134">
        <v>46087.882626377315</v>
      </c>
      <c r="C705" s="135">
        <v>0.8819444444444444</v>
      </c>
      <c r="D705" s="129" t="s">
        <v>1853</v>
      </c>
      <c r="E705" s="130">
        <v>4.0</v>
      </c>
      <c r="F705" s="129" t="s">
        <v>1611</v>
      </c>
      <c r="G705" s="129" t="s">
        <v>1406</v>
      </c>
      <c r="H705" s="131">
        <v>2600.0</v>
      </c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  <c r="AA705" s="96"/>
    </row>
    <row r="706" ht="15.75" customHeight="1">
      <c r="A706" s="126" t="s">
        <v>1854</v>
      </c>
      <c r="B706" s="127">
        <v>46088.631041053246</v>
      </c>
      <c r="C706" s="128">
        <v>0.6305555555555555</v>
      </c>
      <c r="D706" s="129" t="s">
        <v>627</v>
      </c>
      <c r="E706" s="130">
        <v>1.0</v>
      </c>
      <c r="F706" s="131">
        <v>1800.0</v>
      </c>
      <c r="G706" s="132">
        <v>1800.0</v>
      </c>
      <c r="H706" s="133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  <c r="AA706" s="96"/>
    </row>
    <row r="707" ht="15.75" customHeight="1">
      <c r="A707" s="126" t="s">
        <v>1854</v>
      </c>
      <c r="B707" s="127">
        <v>46088.631041053246</v>
      </c>
      <c r="C707" s="128">
        <v>0.6305555555555555</v>
      </c>
      <c r="D707" s="129" t="s">
        <v>635</v>
      </c>
      <c r="E707" s="130">
        <v>1.0</v>
      </c>
      <c r="F707" s="131">
        <v>2100.0</v>
      </c>
      <c r="G707" s="132">
        <v>2100.0</v>
      </c>
      <c r="H707" s="133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  <c r="AA707" s="96"/>
    </row>
    <row r="708" ht="15.75" customHeight="1">
      <c r="A708" s="126" t="s">
        <v>1854</v>
      </c>
      <c r="B708" s="127">
        <v>46088.631041053246</v>
      </c>
      <c r="C708" s="128">
        <v>0.6305555555555555</v>
      </c>
      <c r="D708" s="129" t="s">
        <v>351</v>
      </c>
      <c r="E708" s="130">
        <v>6.0</v>
      </c>
      <c r="F708" s="131">
        <v>4000.0</v>
      </c>
      <c r="G708" s="132">
        <v>24000.0</v>
      </c>
      <c r="H708" s="133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  <c r="AA708" s="96"/>
    </row>
    <row r="709" ht="15.75" customHeight="1">
      <c r="A709" s="124"/>
      <c r="B709" s="134">
        <v>46088.631041053246</v>
      </c>
      <c r="C709" s="135">
        <v>0.6305555555555555</v>
      </c>
      <c r="D709" s="129" t="s">
        <v>1855</v>
      </c>
      <c r="E709" s="130">
        <v>8.0</v>
      </c>
      <c r="F709" s="129" t="s">
        <v>1297</v>
      </c>
      <c r="G709" s="129" t="s">
        <v>1406</v>
      </c>
      <c r="H709" s="131">
        <v>27900.0</v>
      </c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  <c r="AA709" s="96"/>
    </row>
    <row r="710" ht="15.75" customHeight="1">
      <c r="A710" s="126" t="s">
        <v>1856</v>
      </c>
      <c r="B710" s="127">
        <v>46088.64218592593</v>
      </c>
      <c r="C710" s="128">
        <v>0.6416666666666667</v>
      </c>
      <c r="D710" s="129" t="s">
        <v>998</v>
      </c>
      <c r="E710" s="130">
        <v>1.0</v>
      </c>
      <c r="F710" s="131">
        <v>4500.0</v>
      </c>
      <c r="G710" s="132">
        <v>4500.0</v>
      </c>
      <c r="H710" s="133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  <c r="AA710" s="96"/>
    </row>
    <row r="711" ht="15.75" customHeight="1">
      <c r="A711" s="126" t="s">
        <v>1856</v>
      </c>
      <c r="B711" s="127">
        <v>46088.64218592593</v>
      </c>
      <c r="C711" s="128">
        <v>0.6416666666666667</v>
      </c>
      <c r="D711" s="129" t="s">
        <v>1277</v>
      </c>
      <c r="E711" s="130">
        <v>2.0</v>
      </c>
      <c r="F711" s="131">
        <v>4300.0</v>
      </c>
      <c r="G711" s="132">
        <v>8600.0</v>
      </c>
      <c r="H711" s="133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  <c r="AA711" s="96"/>
    </row>
    <row r="712" ht="15.75" customHeight="1">
      <c r="A712" s="126" t="s">
        <v>1856</v>
      </c>
      <c r="B712" s="127">
        <v>46088.64218592593</v>
      </c>
      <c r="C712" s="128">
        <v>0.6416666666666667</v>
      </c>
      <c r="D712" s="129" t="s">
        <v>1174</v>
      </c>
      <c r="E712" s="130">
        <v>1.0</v>
      </c>
      <c r="F712" s="131">
        <v>3500.0</v>
      </c>
      <c r="G712" s="132">
        <v>3500.0</v>
      </c>
      <c r="H712" s="133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  <c r="AA712" s="96"/>
    </row>
    <row r="713" ht="15.75" customHeight="1">
      <c r="A713" s="126" t="s">
        <v>1856</v>
      </c>
      <c r="B713" s="127">
        <v>46088.64218592593</v>
      </c>
      <c r="C713" s="128">
        <v>0.6416666666666667</v>
      </c>
      <c r="D713" s="129" t="s">
        <v>348</v>
      </c>
      <c r="E713" s="130">
        <v>1.0</v>
      </c>
      <c r="F713" s="131">
        <v>4300.0</v>
      </c>
      <c r="G713" s="132">
        <v>4300.0</v>
      </c>
      <c r="H713" s="133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  <c r="AA713" s="96"/>
    </row>
    <row r="714" ht="15.75" customHeight="1">
      <c r="A714" s="126" t="s">
        <v>1856</v>
      </c>
      <c r="B714" s="127">
        <v>46088.64218592593</v>
      </c>
      <c r="C714" s="128">
        <v>0.6416666666666667</v>
      </c>
      <c r="D714" s="129" t="s">
        <v>374</v>
      </c>
      <c r="E714" s="130">
        <v>1.0</v>
      </c>
      <c r="F714" s="131">
        <v>2300.0</v>
      </c>
      <c r="G714" s="132">
        <v>2300.0</v>
      </c>
      <c r="H714" s="133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  <c r="AA714" s="96"/>
    </row>
    <row r="715" ht="15.75" customHeight="1">
      <c r="A715" s="124"/>
      <c r="B715" s="134">
        <v>46088.64218592593</v>
      </c>
      <c r="C715" s="135">
        <v>0.6416666666666667</v>
      </c>
      <c r="D715" s="129" t="s">
        <v>1857</v>
      </c>
      <c r="E715" s="130">
        <v>6.0</v>
      </c>
      <c r="F715" s="129" t="s">
        <v>1297</v>
      </c>
      <c r="G715" s="129" t="s">
        <v>1406</v>
      </c>
      <c r="H715" s="131">
        <v>23200.0</v>
      </c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  <c r="AA715" s="96"/>
    </row>
    <row r="716" ht="15.75" customHeight="1">
      <c r="A716" s="126" t="s">
        <v>1858</v>
      </c>
      <c r="B716" s="127">
        <v>46088.973964756944</v>
      </c>
      <c r="C716" s="128">
        <v>0.9736111111111111</v>
      </c>
      <c r="D716" s="129" t="s">
        <v>721</v>
      </c>
      <c r="E716" s="130">
        <v>1.0</v>
      </c>
      <c r="F716" s="131">
        <v>4500.0</v>
      </c>
      <c r="G716" s="132">
        <v>4500.0</v>
      </c>
      <c r="H716" s="133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  <c r="AA716" s="96"/>
    </row>
    <row r="717" ht="15.75" customHeight="1">
      <c r="A717" s="126" t="s">
        <v>1858</v>
      </c>
      <c r="B717" s="127">
        <v>46088.973964756944</v>
      </c>
      <c r="C717" s="128">
        <v>0.9736111111111111</v>
      </c>
      <c r="D717" s="129" t="s">
        <v>1257</v>
      </c>
      <c r="E717" s="130">
        <v>1.0</v>
      </c>
      <c r="F717" s="131">
        <v>2100.0</v>
      </c>
      <c r="G717" s="132">
        <v>2100.0</v>
      </c>
      <c r="H717" s="133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  <c r="AA717" s="96"/>
    </row>
    <row r="718" ht="15.75" customHeight="1">
      <c r="A718" s="126" t="s">
        <v>1858</v>
      </c>
      <c r="B718" s="127">
        <v>46088.973964756944</v>
      </c>
      <c r="C718" s="128">
        <v>0.9736111111111111</v>
      </c>
      <c r="D718" s="129" t="s">
        <v>1275</v>
      </c>
      <c r="E718" s="130">
        <v>1.0</v>
      </c>
      <c r="F718" s="131">
        <v>1000.0</v>
      </c>
      <c r="G718" s="132">
        <v>1000.0</v>
      </c>
      <c r="H718" s="133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  <c r="AA718" s="96"/>
    </row>
    <row r="719" ht="15.75" customHeight="1">
      <c r="A719" s="126" t="s">
        <v>1858</v>
      </c>
      <c r="B719" s="127">
        <v>46088.973964756944</v>
      </c>
      <c r="C719" s="128">
        <v>0.9736111111111111</v>
      </c>
      <c r="D719" s="129" t="s">
        <v>627</v>
      </c>
      <c r="E719" s="130">
        <v>1.0</v>
      </c>
      <c r="F719" s="131">
        <v>1800.0</v>
      </c>
      <c r="G719" s="132">
        <v>1800.0</v>
      </c>
      <c r="H719" s="133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  <c r="AA719" s="96"/>
    </row>
    <row r="720" ht="15.75" customHeight="1">
      <c r="A720" s="124"/>
      <c r="B720" s="134">
        <v>46088.973964756944</v>
      </c>
      <c r="C720" s="135">
        <v>0.9736111111111111</v>
      </c>
      <c r="D720" s="129" t="s">
        <v>1859</v>
      </c>
      <c r="E720" s="130">
        <v>4.0</v>
      </c>
      <c r="F720" s="129" t="s">
        <v>1297</v>
      </c>
      <c r="G720" s="129" t="s">
        <v>1406</v>
      </c>
      <c r="H720" s="131">
        <v>9400.0</v>
      </c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  <c r="AA720" s="96"/>
    </row>
    <row r="721" ht="15.75" customHeight="1">
      <c r="A721" s="126" t="s">
        <v>1860</v>
      </c>
      <c r="B721" s="127">
        <v>46088.97570480324</v>
      </c>
      <c r="C721" s="128">
        <v>0.9756944444444444</v>
      </c>
      <c r="D721" s="129" t="s">
        <v>1834</v>
      </c>
      <c r="E721" s="130">
        <v>0.73</v>
      </c>
      <c r="F721" s="131">
        <v>2920.0</v>
      </c>
      <c r="G721" s="132">
        <v>2920.0</v>
      </c>
      <c r="H721" s="133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  <c r="AA721" s="96"/>
    </row>
    <row r="722" ht="15.75" customHeight="1">
      <c r="A722" s="126" t="s">
        <v>1860</v>
      </c>
      <c r="B722" s="127">
        <v>46088.97570480324</v>
      </c>
      <c r="C722" s="128">
        <v>0.9756944444444444</v>
      </c>
      <c r="D722" s="129" t="s">
        <v>560</v>
      </c>
      <c r="E722" s="130">
        <v>1.0</v>
      </c>
      <c r="F722" s="131">
        <v>3500.0</v>
      </c>
      <c r="G722" s="132">
        <v>3500.0</v>
      </c>
      <c r="H722" s="133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  <c r="AA722" s="96"/>
    </row>
    <row r="723" ht="15.75" customHeight="1">
      <c r="A723" s="124"/>
      <c r="B723" s="134">
        <v>46088.97570480324</v>
      </c>
      <c r="C723" s="135">
        <v>0.9756944444444444</v>
      </c>
      <c r="D723" s="129" t="s">
        <v>1861</v>
      </c>
      <c r="E723" s="130">
        <v>2.0</v>
      </c>
      <c r="F723" s="129" t="s">
        <v>1297</v>
      </c>
      <c r="G723" s="129" t="s">
        <v>1406</v>
      </c>
      <c r="H723" s="131">
        <v>6420.0</v>
      </c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  <c r="AA723" s="96"/>
    </row>
    <row r="724" ht="15.75" customHeight="1">
      <c r="A724" s="126" t="s">
        <v>1862</v>
      </c>
      <c r="B724" s="127">
        <v>46088.976974212965</v>
      </c>
      <c r="C724" s="128">
        <v>0.9763888888888889</v>
      </c>
      <c r="D724" s="129" t="s">
        <v>1863</v>
      </c>
      <c r="E724" s="130">
        <v>1.0</v>
      </c>
      <c r="F724" s="131">
        <v>5500.0</v>
      </c>
      <c r="G724" s="132">
        <v>5500.0</v>
      </c>
      <c r="H724" s="133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  <c r="AA724" s="96"/>
    </row>
    <row r="725" ht="15.75" customHeight="1">
      <c r="A725" s="126" t="s">
        <v>1862</v>
      </c>
      <c r="B725" s="127">
        <v>46088.976974212965</v>
      </c>
      <c r="C725" s="128">
        <v>0.9763888888888889</v>
      </c>
      <c r="D725" s="129" t="s">
        <v>1277</v>
      </c>
      <c r="E725" s="130">
        <v>2.0</v>
      </c>
      <c r="F725" s="131">
        <v>4300.0</v>
      </c>
      <c r="G725" s="132">
        <v>8600.0</v>
      </c>
      <c r="H725" s="133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  <c r="AA725" s="96"/>
    </row>
    <row r="726" ht="15.75" customHeight="1">
      <c r="A726" s="126" t="s">
        <v>1862</v>
      </c>
      <c r="B726" s="127">
        <v>46088.976974212965</v>
      </c>
      <c r="C726" s="128">
        <v>0.9763888888888889</v>
      </c>
      <c r="D726" s="129" t="s">
        <v>360</v>
      </c>
      <c r="E726" s="130">
        <v>2.0</v>
      </c>
      <c r="F726" s="131">
        <v>2000.0</v>
      </c>
      <c r="G726" s="132">
        <v>4000.0</v>
      </c>
      <c r="H726" s="133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  <c r="AA726" s="96"/>
    </row>
    <row r="727" ht="15.75" customHeight="1">
      <c r="A727" s="124"/>
      <c r="B727" s="134">
        <v>46088.976974212965</v>
      </c>
      <c r="C727" s="135">
        <v>0.9763888888888889</v>
      </c>
      <c r="D727" s="129" t="s">
        <v>1864</v>
      </c>
      <c r="E727" s="130">
        <v>5.0</v>
      </c>
      <c r="F727" s="129" t="s">
        <v>1297</v>
      </c>
      <c r="G727" s="129" t="s">
        <v>1406</v>
      </c>
      <c r="H727" s="131">
        <v>18100.0</v>
      </c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  <c r="AA727" s="96"/>
    </row>
    <row r="728" ht="15.75" customHeight="1">
      <c r="A728" s="126" t="s">
        <v>1865</v>
      </c>
      <c r="B728" s="127">
        <v>46088.977484710646</v>
      </c>
      <c r="C728" s="128">
        <v>0.9770833333333333</v>
      </c>
      <c r="D728" s="129" t="s">
        <v>360</v>
      </c>
      <c r="E728" s="130">
        <v>2.0</v>
      </c>
      <c r="F728" s="131">
        <v>2000.0</v>
      </c>
      <c r="G728" s="132">
        <v>4000.0</v>
      </c>
      <c r="H728" s="133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  <c r="AA728" s="96"/>
    </row>
    <row r="729" ht="15.75" customHeight="1">
      <c r="A729" s="126" t="s">
        <v>1865</v>
      </c>
      <c r="B729" s="127">
        <v>46088.977484710646</v>
      </c>
      <c r="C729" s="128">
        <v>0.9770833333333333</v>
      </c>
      <c r="D729" s="129" t="s">
        <v>1257</v>
      </c>
      <c r="E729" s="130">
        <v>2.0</v>
      </c>
      <c r="F729" s="131">
        <v>2100.0</v>
      </c>
      <c r="G729" s="132">
        <v>4200.0</v>
      </c>
      <c r="H729" s="133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  <c r="AA729" s="96"/>
    </row>
    <row r="730" ht="15.75" customHeight="1">
      <c r="A730" s="124"/>
      <c r="B730" s="134">
        <v>46088.977484710646</v>
      </c>
      <c r="C730" s="135">
        <v>0.9770833333333333</v>
      </c>
      <c r="D730" s="129" t="s">
        <v>1866</v>
      </c>
      <c r="E730" s="130">
        <v>4.0</v>
      </c>
      <c r="F730" s="129" t="s">
        <v>1297</v>
      </c>
      <c r="G730" s="129" t="s">
        <v>1406</v>
      </c>
      <c r="H730" s="131">
        <v>8200.0</v>
      </c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  <c r="AA730" s="96"/>
    </row>
    <row r="731" ht="15.75" customHeight="1">
      <c r="A731" s="126" t="s">
        <v>1867</v>
      </c>
      <c r="B731" s="127">
        <v>46089.564589421294</v>
      </c>
      <c r="C731" s="128">
        <v>0.5645833333333333</v>
      </c>
      <c r="D731" s="129" t="s">
        <v>640</v>
      </c>
      <c r="E731" s="130">
        <v>1.0</v>
      </c>
      <c r="F731" s="131">
        <v>9000.0</v>
      </c>
      <c r="G731" s="132">
        <v>9000.0</v>
      </c>
      <c r="H731" s="133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  <c r="AA731" s="96"/>
    </row>
    <row r="732" ht="15.75" customHeight="1">
      <c r="A732" s="124"/>
      <c r="B732" s="134">
        <v>46089.564589421294</v>
      </c>
      <c r="C732" s="135">
        <v>0.5645833333333333</v>
      </c>
      <c r="D732" s="129" t="s">
        <v>1868</v>
      </c>
      <c r="E732" s="130">
        <v>1.0</v>
      </c>
      <c r="F732" s="129" t="s">
        <v>1297</v>
      </c>
      <c r="G732" s="129" t="s">
        <v>1424</v>
      </c>
      <c r="H732" s="131">
        <v>9000.0</v>
      </c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  <c r="AA732" s="96"/>
    </row>
    <row r="733" ht="15.75" customHeight="1">
      <c r="A733" s="126" t="s">
        <v>1869</v>
      </c>
      <c r="B733" s="127">
        <v>46089.565226018516</v>
      </c>
      <c r="C733" s="128">
        <v>0.5645833333333333</v>
      </c>
      <c r="D733" s="129" t="s">
        <v>156</v>
      </c>
      <c r="E733" s="130">
        <v>1.0</v>
      </c>
      <c r="F733" s="131">
        <v>3000.0</v>
      </c>
      <c r="G733" s="132">
        <v>3000.0</v>
      </c>
      <c r="H733" s="133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  <c r="AA733" s="96"/>
    </row>
    <row r="734" ht="15.75" customHeight="1">
      <c r="A734" s="124"/>
      <c r="B734" s="134">
        <v>46089.565226018516</v>
      </c>
      <c r="C734" s="135">
        <v>0.5645833333333333</v>
      </c>
      <c r="D734" s="129" t="s">
        <v>1870</v>
      </c>
      <c r="E734" s="130">
        <v>1.0</v>
      </c>
      <c r="F734" s="129" t="s">
        <v>1297</v>
      </c>
      <c r="G734" s="129" t="s">
        <v>1424</v>
      </c>
      <c r="H734" s="131">
        <v>3000.0</v>
      </c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  <c r="AA734" s="96"/>
    </row>
    <row r="735" ht="15.75" customHeight="1">
      <c r="A735" s="126" t="s">
        <v>1871</v>
      </c>
      <c r="B735" s="127">
        <v>46089.56602966435</v>
      </c>
      <c r="C735" s="128">
        <v>0.5659722222222222</v>
      </c>
      <c r="D735" s="129" t="s">
        <v>1042</v>
      </c>
      <c r="E735" s="130">
        <v>2.0</v>
      </c>
      <c r="F735" s="131">
        <v>3000.0</v>
      </c>
      <c r="G735" s="132">
        <v>6000.0</v>
      </c>
      <c r="H735" s="133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  <c r="AA735" s="96"/>
    </row>
    <row r="736" ht="15.75" customHeight="1">
      <c r="A736" s="126" t="s">
        <v>1871</v>
      </c>
      <c r="B736" s="127">
        <v>46089.56602966435</v>
      </c>
      <c r="C736" s="128">
        <v>0.5659722222222222</v>
      </c>
      <c r="D736" s="129" t="s">
        <v>678</v>
      </c>
      <c r="E736" s="130">
        <v>1.0</v>
      </c>
      <c r="F736" s="131">
        <v>3300.0</v>
      </c>
      <c r="G736" s="132">
        <v>3300.0</v>
      </c>
      <c r="H736" s="133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  <c r="AA736" s="96"/>
    </row>
    <row r="737" ht="15.75" customHeight="1">
      <c r="A737" s="126" t="s">
        <v>1871</v>
      </c>
      <c r="B737" s="127">
        <v>46089.56602966435</v>
      </c>
      <c r="C737" s="128">
        <v>0.5659722222222222</v>
      </c>
      <c r="D737" s="129" t="s">
        <v>1271</v>
      </c>
      <c r="E737" s="130">
        <v>1.0</v>
      </c>
      <c r="F737" s="131">
        <v>5000.0</v>
      </c>
      <c r="G737" s="132">
        <v>5000.0</v>
      </c>
      <c r="H737" s="133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  <c r="AA737" s="96"/>
    </row>
    <row r="738" ht="15.75" customHeight="1">
      <c r="A738" s="126" t="s">
        <v>1871</v>
      </c>
      <c r="B738" s="127">
        <v>46089.56602966435</v>
      </c>
      <c r="C738" s="128">
        <v>0.5659722222222222</v>
      </c>
      <c r="D738" s="129" t="s">
        <v>895</v>
      </c>
      <c r="E738" s="130">
        <v>1.0</v>
      </c>
      <c r="F738" s="131">
        <v>4500.0</v>
      </c>
      <c r="G738" s="132">
        <v>4500.0</v>
      </c>
      <c r="H738" s="133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  <c r="AA738" s="96"/>
    </row>
    <row r="739" ht="15.75" customHeight="1">
      <c r="A739" s="124"/>
      <c r="B739" s="134">
        <v>46089.56602966435</v>
      </c>
      <c r="C739" s="135">
        <v>0.5659722222222222</v>
      </c>
      <c r="D739" s="129" t="s">
        <v>1872</v>
      </c>
      <c r="E739" s="130">
        <v>5.0</v>
      </c>
      <c r="F739" s="129" t="s">
        <v>1297</v>
      </c>
      <c r="G739" s="129" t="s">
        <v>1424</v>
      </c>
      <c r="H739" s="131">
        <v>18800.0</v>
      </c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  <c r="AA739" s="96"/>
    </row>
    <row r="740" ht="15.75" customHeight="1">
      <c r="A740" s="126" t="s">
        <v>1873</v>
      </c>
      <c r="B740" s="127">
        <v>46089.56633271991</v>
      </c>
      <c r="C740" s="128">
        <v>0.5659722222222222</v>
      </c>
      <c r="D740" s="129" t="s">
        <v>1874</v>
      </c>
      <c r="E740" s="130">
        <v>1.0</v>
      </c>
      <c r="F740" s="131">
        <v>2600.0</v>
      </c>
      <c r="G740" s="132">
        <v>2600.0</v>
      </c>
      <c r="H740" s="133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  <c r="AA740" s="96"/>
    </row>
    <row r="741" ht="15.75" customHeight="1">
      <c r="A741" s="82"/>
      <c r="B741" s="136">
        <v>46089.56633271991</v>
      </c>
      <c r="C741" s="137">
        <v>0.5659722222222222</v>
      </c>
      <c r="D741" s="138" t="s">
        <v>1875</v>
      </c>
      <c r="E741" s="139">
        <v>1.0</v>
      </c>
      <c r="F741" s="138" t="s">
        <v>1611</v>
      </c>
      <c r="G741" s="138" t="s">
        <v>1424</v>
      </c>
      <c r="H741" s="140">
        <v>2600.0</v>
      </c>
    </row>
    <row r="742" ht="15.75" customHeight="1">
      <c r="A742" s="141" t="s">
        <v>1876</v>
      </c>
      <c r="B742" s="142">
        <v>46089.690211504625</v>
      </c>
      <c r="C742" s="137">
        <v>0.6895833333333333</v>
      </c>
      <c r="D742" s="138" t="s">
        <v>536</v>
      </c>
      <c r="E742" s="139">
        <v>1.0</v>
      </c>
      <c r="F742" s="140">
        <v>6700.0</v>
      </c>
      <c r="G742" s="140">
        <v>6700.0</v>
      </c>
      <c r="H742" s="82"/>
    </row>
    <row r="743" ht="15.75" customHeight="1">
      <c r="A743" s="141" t="s">
        <v>1876</v>
      </c>
      <c r="B743" s="142">
        <v>46089.690211504625</v>
      </c>
      <c r="C743" s="137">
        <v>0.6895833333333333</v>
      </c>
      <c r="D743" s="138" t="s">
        <v>1042</v>
      </c>
      <c r="E743" s="139">
        <v>1.0</v>
      </c>
      <c r="F743" s="140">
        <v>3300.0</v>
      </c>
      <c r="G743" s="140">
        <v>3300.0</v>
      </c>
      <c r="H743" s="82"/>
    </row>
    <row r="744" ht="15.75" customHeight="1">
      <c r="A744" s="141" t="s">
        <v>1876</v>
      </c>
      <c r="B744" s="142">
        <v>46089.690211504625</v>
      </c>
      <c r="C744" s="137">
        <v>0.6895833333333333</v>
      </c>
      <c r="D744" s="138" t="s">
        <v>290</v>
      </c>
      <c r="E744" s="139">
        <v>1.0</v>
      </c>
      <c r="F744" s="140">
        <v>1300.0</v>
      </c>
      <c r="G744" s="140">
        <v>1300.0</v>
      </c>
      <c r="H744" s="82"/>
    </row>
    <row r="745" ht="15.75" customHeight="1">
      <c r="A745" s="141" t="s">
        <v>1876</v>
      </c>
      <c r="B745" s="142">
        <v>46089.690211504625</v>
      </c>
      <c r="C745" s="137">
        <v>0.6895833333333333</v>
      </c>
      <c r="D745" s="138" t="s">
        <v>1667</v>
      </c>
      <c r="E745" s="139">
        <v>0.35</v>
      </c>
      <c r="F745" s="140">
        <v>1750.0</v>
      </c>
      <c r="G745" s="140">
        <v>1750.0</v>
      </c>
      <c r="H745" s="82"/>
    </row>
    <row r="746" ht="15.75" customHeight="1">
      <c r="A746" s="141" t="s">
        <v>1876</v>
      </c>
      <c r="B746" s="142">
        <v>46089.690211504625</v>
      </c>
      <c r="C746" s="137">
        <v>0.6895833333333333</v>
      </c>
      <c r="D746" s="138" t="s">
        <v>893</v>
      </c>
      <c r="E746" s="139">
        <v>1.0</v>
      </c>
      <c r="F746" s="140">
        <v>4500.0</v>
      </c>
      <c r="G746" s="140">
        <v>4500.0</v>
      </c>
      <c r="H746" s="82"/>
    </row>
    <row r="747" ht="15.75" customHeight="1">
      <c r="A747" s="82"/>
      <c r="B747" s="136">
        <v>46089.690211504625</v>
      </c>
      <c r="C747" s="137">
        <v>0.6895833333333333</v>
      </c>
      <c r="D747" s="138" t="s">
        <v>1877</v>
      </c>
      <c r="E747" s="139">
        <v>5.0</v>
      </c>
      <c r="F747" s="138" t="s">
        <v>1611</v>
      </c>
      <c r="G747" s="138" t="s">
        <v>1406</v>
      </c>
      <c r="H747" s="140">
        <v>17550.0</v>
      </c>
    </row>
    <row r="748" ht="15.75" customHeight="1">
      <c r="A748" s="141" t="s">
        <v>1878</v>
      </c>
      <c r="B748" s="142">
        <v>46089.69077199074</v>
      </c>
      <c r="C748" s="137">
        <v>0.6902777777777778</v>
      </c>
      <c r="D748" s="138" t="s">
        <v>1164</v>
      </c>
      <c r="E748" s="139">
        <v>1.0</v>
      </c>
      <c r="F748" s="140">
        <v>4000.0</v>
      </c>
      <c r="G748" s="140">
        <v>4000.0</v>
      </c>
      <c r="H748" s="82"/>
    </row>
    <row r="749" ht="15.75" customHeight="1">
      <c r="A749" s="141" t="s">
        <v>1878</v>
      </c>
      <c r="B749" s="142">
        <v>46089.69077199074</v>
      </c>
      <c r="C749" s="137">
        <v>0.6902777777777778</v>
      </c>
      <c r="D749" s="138" t="s">
        <v>715</v>
      </c>
      <c r="E749" s="139">
        <v>1.0</v>
      </c>
      <c r="F749" s="140">
        <v>1600.0</v>
      </c>
      <c r="G749" s="140">
        <v>1600.0</v>
      </c>
      <c r="H749" s="82"/>
    </row>
    <row r="750" ht="15.75" customHeight="1">
      <c r="A750" s="82"/>
      <c r="B750" s="136">
        <v>46089.69077199074</v>
      </c>
      <c r="C750" s="137">
        <v>0.6902777777777778</v>
      </c>
      <c r="D750" s="138" t="s">
        <v>1879</v>
      </c>
      <c r="E750" s="139">
        <v>2.0</v>
      </c>
      <c r="F750" s="138" t="s">
        <v>1297</v>
      </c>
      <c r="G750" s="138" t="s">
        <v>1406</v>
      </c>
      <c r="H750" s="140">
        <v>5600.0</v>
      </c>
    </row>
    <row r="751" ht="15.75" customHeight="1">
      <c r="A751" s="141" t="s">
        <v>1880</v>
      </c>
      <c r="B751" s="142">
        <v>46089.71925545139</v>
      </c>
      <c r="C751" s="137">
        <v>0.71875</v>
      </c>
      <c r="D751" s="138" t="s">
        <v>536</v>
      </c>
      <c r="E751" s="139">
        <v>1.0</v>
      </c>
      <c r="F751" s="140">
        <v>6700.0</v>
      </c>
      <c r="G751" s="140">
        <v>6700.0</v>
      </c>
      <c r="H751" s="82"/>
    </row>
    <row r="752" ht="15.75" customHeight="1">
      <c r="A752" s="141" t="s">
        <v>1880</v>
      </c>
      <c r="B752" s="142">
        <v>46089.71925545139</v>
      </c>
      <c r="C752" s="137">
        <v>0.71875</v>
      </c>
      <c r="D752" s="138" t="s">
        <v>1881</v>
      </c>
      <c r="E752" s="139">
        <v>0.26</v>
      </c>
      <c r="F752" s="140">
        <v>1820.0</v>
      </c>
      <c r="G752" s="140">
        <v>1820.0</v>
      </c>
      <c r="H752" s="82"/>
    </row>
    <row r="753" ht="15.75" customHeight="1">
      <c r="A753" s="141" t="s">
        <v>1880</v>
      </c>
      <c r="B753" s="142">
        <v>46089.71925545139</v>
      </c>
      <c r="C753" s="137">
        <v>0.71875</v>
      </c>
      <c r="D753" s="138" t="s">
        <v>1267</v>
      </c>
      <c r="E753" s="139">
        <v>4.0</v>
      </c>
      <c r="F753" s="140">
        <v>500.0</v>
      </c>
      <c r="G753" s="140">
        <v>2000.0</v>
      </c>
      <c r="H753" s="82"/>
    </row>
    <row r="754" ht="15.75" customHeight="1">
      <c r="A754" s="141" t="s">
        <v>1880</v>
      </c>
      <c r="B754" s="142">
        <v>46089.71925545139</v>
      </c>
      <c r="C754" s="137">
        <v>0.71875</v>
      </c>
      <c r="D754" s="138" t="s">
        <v>423</v>
      </c>
      <c r="E754" s="139">
        <v>1.0</v>
      </c>
      <c r="F754" s="140">
        <v>2500.0</v>
      </c>
      <c r="G754" s="140">
        <v>2500.0</v>
      </c>
      <c r="H754" s="82"/>
    </row>
    <row r="755" ht="15.75" customHeight="1">
      <c r="A755" s="82"/>
      <c r="B755" s="136">
        <v>46089.71925545139</v>
      </c>
      <c r="C755" s="137">
        <v>0.71875</v>
      </c>
      <c r="D755" s="138" t="s">
        <v>1882</v>
      </c>
      <c r="E755" s="139">
        <v>7.0</v>
      </c>
      <c r="F755" s="138" t="s">
        <v>1297</v>
      </c>
      <c r="G755" s="138" t="s">
        <v>1406</v>
      </c>
      <c r="H755" s="140">
        <v>13020.0</v>
      </c>
    </row>
    <row r="756" ht="15.75" customHeight="1">
      <c r="A756" s="141" t="s">
        <v>1883</v>
      </c>
      <c r="B756" s="142">
        <v>46089.76785978009</v>
      </c>
      <c r="C756" s="137">
        <v>0.7673611111111112</v>
      </c>
      <c r="D756" s="138" t="s">
        <v>1160</v>
      </c>
      <c r="E756" s="139">
        <v>2.0</v>
      </c>
      <c r="F756" s="140">
        <v>2500.0</v>
      </c>
      <c r="G756" s="140">
        <v>5000.0</v>
      </c>
      <c r="H756" s="82"/>
    </row>
    <row r="757" ht="15.75" customHeight="1">
      <c r="A757" s="141" t="s">
        <v>1883</v>
      </c>
      <c r="B757" s="142">
        <v>46089.76785978009</v>
      </c>
      <c r="C757" s="137">
        <v>0.7673611111111112</v>
      </c>
      <c r="D757" s="138" t="s">
        <v>405</v>
      </c>
      <c r="E757" s="139">
        <v>1.0</v>
      </c>
      <c r="F757" s="140">
        <v>2500.0</v>
      </c>
      <c r="G757" s="140">
        <v>2500.0</v>
      </c>
      <c r="H757" s="82"/>
    </row>
    <row r="758" ht="15.75" customHeight="1">
      <c r="A758" s="141" t="s">
        <v>1883</v>
      </c>
      <c r="B758" s="142">
        <v>46089.76785978009</v>
      </c>
      <c r="C758" s="137">
        <v>0.7673611111111112</v>
      </c>
      <c r="D758" s="138" t="s">
        <v>236</v>
      </c>
      <c r="E758" s="139">
        <v>2.0</v>
      </c>
      <c r="F758" s="140">
        <v>1500.0</v>
      </c>
      <c r="G758" s="140">
        <v>3000.0</v>
      </c>
      <c r="H758" s="82"/>
    </row>
    <row r="759" ht="15.75" customHeight="1">
      <c r="A759" s="141" t="s">
        <v>1883</v>
      </c>
      <c r="B759" s="142">
        <v>46089.76785978009</v>
      </c>
      <c r="C759" s="137">
        <v>0.7673611111111112</v>
      </c>
      <c r="D759" s="138" t="s">
        <v>168</v>
      </c>
      <c r="E759" s="139">
        <v>1.0</v>
      </c>
      <c r="F759" s="140">
        <v>700.0</v>
      </c>
      <c r="G759" s="140">
        <v>700.0</v>
      </c>
      <c r="H759" s="82"/>
    </row>
    <row r="760" ht="15.75" customHeight="1">
      <c r="A760" s="141" t="s">
        <v>1883</v>
      </c>
      <c r="B760" s="142">
        <v>46089.76785978009</v>
      </c>
      <c r="C760" s="137">
        <v>0.7673611111111112</v>
      </c>
      <c r="D760" s="138" t="s">
        <v>1207</v>
      </c>
      <c r="E760" s="139">
        <v>1.0</v>
      </c>
      <c r="F760" s="140">
        <v>700.0</v>
      </c>
      <c r="G760" s="140">
        <v>700.0</v>
      </c>
      <c r="H760" s="82"/>
    </row>
    <row r="761" ht="15.75" customHeight="1">
      <c r="A761" s="141" t="s">
        <v>1883</v>
      </c>
      <c r="B761" s="142">
        <v>46089.76785978009</v>
      </c>
      <c r="C761" s="137">
        <v>0.7673611111111112</v>
      </c>
      <c r="D761" s="138" t="s">
        <v>1271</v>
      </c>
      <c r="E761" s="139">
        <v>1.0</v>
      </c>
      <c r="F761" s="140">
        <v>5000.0</v>
      </c>
      <c r="G761" s="140">
        <v>5000.0</v>
      </c>
      <c r="H761" s="82"/>
    </row>
    <row r="762" ht="15.75" customHeight="1">
      <c r="A762" s="82"/>
      <c r="B762" s="136">
        <v>46089.76785978009</v>
      </c>
      <c r="C762" s="137">
        <v>0.7673611111111112</v>
      </c>
      <c r="D762" s="138" t="s">
        <v>1884</v>
      </c>
      <c r="E762" s="139">
        <v>8.0</v>
      </c>
      <c r="F762" s="138" t="s">
        <v>1297</v>
      </c>
      <c r="G762" s="138" t="s">
        <v>1406</v>
      </c>
      <c r="H762" s="140">
        <v>16900.0</v>
      </c>
    </row>
    <row r="763" ht="15.75" customHeight="1">
      <c r="A763" s="141" t="s">
        <v>1885</v>
      </c>
      <c r="B763" s="142">
        <v>46089.76858203704</v>
      </c>
      <c r="C763" s="137">
        <v>0.7680555555555556</v>
      </c>
      <c r="D763" s="138" t="s">
        <v>570</v>
      </c>
      <c r="E763" s="139">
        <v>1.0</v>
      </c>
      <c r="F763" s="140">
        <v>3200.0</v>
      </c>
      <c r="G763" s="140">
        <v>3200.0</v>
      </c>
      <c r="H763" s="82"/>
    </row>
    <row r="764" ht="15.75" customHeight="1">
      <c r="A764" s="141" t="s">
        <v>1885</v>
      </c>
      <c r="B764" s="142">
        <v>46089.76858203704</v>
      </c>
      <c r="C764" s="137">
        <v>0.7680555555555556</v>
      </c>
      <c r="D764" s="138" t="s">
        <v>236</v>
      </c>
      <c r="E764" s="139">
        <v>1.0</v>
      </c>
      <c r="F764" s="140">
        <v>1500.0</v>
      </c>
      <c r="G764" s="140">
        <v>1500.0</v>
      </c>
      <c r="H764" s="82"/>
    </row>
    <row r="765" ht="15.75" customHeight="1">
      <c r="A765" s="141" t="s">
        <v>1885</v>
      </c>
      <c r="B765" s="142">
        <v>46089.76858203704</v>
      </c>
      <c r="C765" s="137">
        <v>0.7680555555555556</v>
      </c>
      <c r="D765" s="138" t="s">
        <v>635</v>
      </c>
      <c r="E765" s="139">
        <v>1.0</v>
      </c>
      <c r="F765" s="140">
        <v>2100.0</v>
      </c>
      <c r="G765" s="140">
        <v>2100.0</v>
      </c>
      <c r="H765" s="82"/>
    </row>
    <row r="766" ht="15.75" customHeight="1">
      <c r="A766" s="82"/>
      <c r="B766" s="136">
        <v>46089.76858203704</v>
      </c>
      <c r="C766" s="137">
        <v>0.7680555555555556</v>
      </c>
      <c r="D766" s="138" t="s">
        <v>1886</v>
      </c>
      <c r="E766" s="139">
        <v>3.0</v>
      </c>
      <c r="F766" s="138" t="s">
        <v>1611</v>
      </c>
      <c r="G766" s="138" t="s">
        <v>1406</v>
      </c>
      <c r="H766" s="140">
        <v>6800.0</v>
      </c>
    </row>
    <row r="767" ht="15.75" customHeight="1">
      <c r="A767" s="141" t="s">
        <v>1887</v>
      </c>
      <c r="B767" s="142">
        <v>46089.77058646991</v>
      </c>
      <c r="C767" s="137">
        <v>0.7701388888888889</v>
      </c>
      <c r="D767" s="138" t="s">
        <v>82</v>
      </c>
      <c r="E767" s="139">
        <v>1.0</v>
      </c>
      <c r="F767" s="140">
        <v>3500.0</v>
      </c>
      <c r="G767" s="140">
        <v>3500.0</v>
      </c>
      <c r="H767" s="82"/>
    </row>
    <row r="768" ht="15.75" customHeight="1">
      <c r="A768" s="141" t="s">
        <v>1887</v>
      </c>
      <c r="B768" s="142">
        <v>46089.77058646991</v>
      </c>
      <c r="C768" s="137">
        <v>0.7701388888888889</v>
      </c>
      <c r="D768" s="138" t="s">
        <v>1160</v>
      </c>
      <c r="E768" s="139">
        <v>1.0</v>
      </c>
      <c r="F768" s="140">
        <v>2500.0</v>
      </c>
      <c r="G768" s="140">
        <v>2500.0</v>
      </c>
      <c r="H768" s="82"/>
    </row>
    <row r="769" ht="15.75" customHeight="1">
      <c r="A769" s="82"/>
      <c r="B769" s="136">
        <v>46089.77058646991</v>
      </c>
      <c r="C769" s="137">
        <v>0.7701388888888889</v>
      </c>
      <c r="D769" s="138" t="s">
        <v>1888</v>
      </c>
      <c r="E769" s="139">
        <v>2.0</v>
      </c>
      <c r="F769" s="138" t="s">
        <v>1297</v>
      </c>
      <c r="G769" s="138" t="s">
        <v>1406</v>
      </c>
      <c r="H769" s="140">
        <v>6000.0</v>
      </c>
    </row>
    <row r="770" ht="15.75" customHeight="1">
      <c r="A770" s="141" t="s">
        <v>1889</v>
      </c>
      <c r="B770" s="142">
        <v>46089.77094023148</v>
      </c>
      <c r="C770" s="137">
        <v>0.7708333333333334</v>
      </c>
      <c r="D770" s="138" t="s">
        <v>1164</v>
      </c>
      <c r="E770" s="139">
        <v>1.0</v>
      </c>
      <c r="F770" s="140">
        <v>4000.0</v>
      </c>
      <c r="G770" s="140">
        <v>4000.0</v>
      </c>
      <c r="H770" s="82"/>
    </row>
    <row r="771" ht="15.75" customHeight="1">
      <c r="A771" s="141" t="s">
        <v>1889</v>
      </c>
      <c r="B771" s="142">
        <v>46089.77094023148</v>
      </c>
      <c r="C771" s="137">
        <v>0.7708333333333334</v>
      </c>
      <c r="D771" s="138" t="s">
        <v>715</v>
      </c>
      <c r="E771" s="139">
        <v>1.0</v>
      </c>
      <c r="F771" s="140">
        <v>1600.0</v>
      </c>
      <c r="G771" s="140">
        <v>1600.0</v>
      </c>
      <c r="H771" s="82"/>
    </row>
    <row r="772" ht="15.75" customHeight="1">
      <c r="A772" s="82"/>
      <c r="B772" s="136">
        <v>46089.77094023148</v>
      </c>
      <c r="C772" s="137">
        <v>0.7708333333333334</v>
      </c>
      <c r="D772" s="138" t="s">
        <v>1890</v>
      </c>
      <c r="E772" s="139">
        <v>2.0</v>
      </c>
      <c r="F772" s="138" t="s">
        <v>1297</v>
      </c>
      <c r="G772" s="138" t="s">
        <v>1406</v>
      </c>
      <c r="H772" s="140">
        <v>5600.0</v>
      </c>
    </row>
    <row r="773" ht="15.75" customHeight="1">
      <c r="A773" s="141" t="s">
        <v>1891</v>
      </c>
      <c r="B773" s="142">
        <v>46089.81791802083</v>
      </c>
      <c r="C773" s="137">
        <v>0.8173611111111111</v>
      </c>
      <c r="D773" s="138" t="s">
        <v>937</v>
      </c>
      <c r="E773" s="139">
        <v>2.0</v>
      </c>
      <c r="F773" s="140">
        <v>5000.0</v>
      </c>
      <c r="G773" s="140">
        <v>10000.0</v>
      </c>
      <c r="H773" s="82"/>
    </row>
    <row r="774" ht="15.75" customHeight="1">
      <c r="A774" s="82"/>
      <c r="B774" s="136">
        <v>46089.81791802083</v>
      </c>
      <c r="C774" s="137">
        <v>0.8173611111111111</v>
      </c>
      <c r="D774" s="138" t="s">
        <v>1892</v>
      </c>
      <c r="E774" s="139">
        <v>2.0</v>
      </c>
      <c r="F774" s="138" t="s">
        <v>1297</v>
      </c>
      <c r="G774" s="138" t="s">
        <v>1406</v>
      </c>
      <c r="H774" s="140">
        <v>10000.0</v>
      </c>
    </row>
    <row r="775" ht="15.75" customHeight="1">
      <c r="A775" s="141" t="s">
        <v>1893</v>
      </c>
      <c r="B775" s="142">
        <v>46090.64125163194</v>
      </c>
      <c r="C775" s="137">
        <v>0.6409722222222223</v>
      </c>
      <c r="D775" s="138" t="s">
        <v>356</v>
      </c>
      <c r="E775" s="139">
        <v>1.0</v>
      </c>
      <c r="F775" s="140">
        <v>3500.0</v>
      </c>
      <c r="G775" s="140">
        <v>3500.0</v>
      </c>
      <c r="H775" s="82"/>
    </row>
    <row r="776" ht="15.75" customHeight="1">
      <c r="A776" s="141" t="s">
        <v>1893</v>
      </c>
      <c r="B776" s="142">
        <v>46090.64125163194</v>
      </c>
      <c r="C776" s="137">
        <v>0.6409722222222223</v>
      </c>
      <c r="D776" s="138" t="s">
        <v>1277</v>
      </c>
      <c r="E776" s="139">
        <v>1.0</v>
      </c>
      <c r="F776" s="140">
        <v>4300.0</v>
      </c>
      <c r="G776" s="140">
        <v>4300.0</v>
      </c>
      <c r="H776" s="82"/>
    </row>
    <row r="777" ht="15.75" customHeight="1">
      <c r="A777" s="141" t="s">
        <v>1893</v>
      </c>
      <c r="B777" s="142">
        <v>46090.64125163194</v>
      </c>
      <c r="C777" s="137">
        <v>0.6409722222222223</v>
      </c>
      <c r="D777" s="138" t="s">
        <v>1894</v>
      </c>
      <c r="E777" s="139">
        <v>0.41</v>
      </c>
      <c r="F777" s="140">
        <v>1640.0</v>
      </c>
      <c r="G777" s="140">
        <v>1640.0</v>
      </c>
      <c r="H777" s="82"/>
    </row>
    <row r="778" ht="15.75" customHeight="1">
      <c r="A778" s="141" t="s">
        <v>1893</v>
      </c>
      <c r="B778" s="142">
        <v>46090.64125163194</v>
      </c>
      <c r="C778" s="137">
        <v>0.6409722222222223</v>
      </c>
      <c r="D778" s="138" t="s">
        <v>1048</v>
      </c>
      <c r="E778" s="139">
        <v>1.0</v>
      </c>
      <c r="F778" s="140">
        <v>2500.0</v>
      </c>
      <c r="G778" s="140">
        <v>2500.0</v>
      </c>
      <c r="H778" s="82"/>
    </row>
    <row r="779" ht="15.75" customHeight="1">
      <c r="A779" s="82"/>
      <c r="B779" s="136">
        <v>46090.64125163194</v>
      </c>
      <c r="C779" s="137">
        <v>0.6409722222222223</v>
      </c>
      <c r="D779" s="138" t="s">
        <v>1895</v>
      </c>
      <c r="E779" s="139">
        <v>4.0</v>
      </c>
      <c r="F779" s="138" t="s">
        <v>1297</v>
      </c>
      <c r="G779" s="138" t="s">
        <v>1406</v>
      </c>
      <c r="H779" s="140">
        <v>11940.0</v>
      </c>
    </row>
    <row r="780" ht="15.75" customHeight="1">
      <c r="A780" s="141" t="s">
        <v>1896</v>
      </c>
      <c r="B780" s="142">
        <v>46090.73307555556</v>
      </c>
      <c r="C780" s="137">
        <v>0.7326388888888888</v>
      </c>
      <c r="D780" s="138" t="s">
        <v>967</v>
      </c>
      <c r="E780" s="139">
        <v>1.0</v>
      </c>
      <c r="F780" s="140">
        <v>1500.0</v>
      </c>
      <c r="G780" s="140">
        <v>1500.0</v>
      </c>
      <c r="H780" s="82"/>
    </row>
    <row r="781" ht="15.75" customHeight="1">
      <c r="A781" s="141" t="s">
        <v>1896</v>
      </c>
      <c r="B781" s="142">
        <v>46090.73307555556</v>
      </c>
      <c r="C781" s="137">
        <v>0.7326388888888888</v>
      </c>
      <c r="D781" s="138" t="s">
        <v>711</v>
      </c>
      <c r="E781" s="139">
        <v>1.0</v>
      </c>
      <c r="F781" s="140">
        <v>2500.0</v>
      </c>
      <c r="G781" s="140">
        <v>2500.0</v>
      </c>
      <c r="H781" s="82"/>
    </row>
    <row r="782" ht="15.75" customHeight="1">
      <c r="A782" s="141" t="s">
        <v>1896</v>
      </c>
      <c r="B782" s="142">
        <v>46090.73307555556</v>
      </c>
      <c r="C782" s="137">
        <v>0.7326388888888888</v>
      </c>
      <c r="D782" s="138" t="s">
        <v>1235</v>
      </c>
      <c r="E782" s="139">
        <v>1.0</v>
      </c>
      <c r="F782" s="140">
        <v>4500.0</v>
      </c>
      <c r="G782" s="140">
        <v>4500.0</v>
      </c>
      <c r="H782" s="82"/>
    </row>
    <row r="783" ht="15.75" customHeight="1">
      <c r="A783" s="82"/>
      <c r="B783" s="136">
        <v>46090.73307555556</v>
      </c>
      <c r="C783" s="137">
        <v>0.7326388888888888</v>
      </c>
      <c r="D783" s="138" t="s">
        <v>1897</v>
      </c>
      <c r="E783" s="139">
        <v>3.0</v>
      </c>
      <c r="F783" s="138" t="s">
        <v>1297</v>
      </c>
      <c r="G783" s="138" t="s">
        <v>1406</v>
      </c>
      <c r="H783" s="140">
        <v>8500.0</v>
      </c>
    </row>
    <row r="784" ht="15.75" customHeight="1">
      <c r="A784" s="141" t="s">
        <v>1898</v>
      </c>
      <c r="B784" s="142">
        <v>46090.771296921295</v>
      </c>
      <c r="C784" s="137">
        <v>0.7708333333333334</v>
      </c>
      <c r="D784" s="138" t="s">
        <v>967</v>
      </c>
      <c r="E784" s="139">
        <v>1.0</v>
      </c>
      <c r="F784" s="140">
        <v>1500.0</v>
      </c>
      <c r="G784" s="140">
        <v>1500.0</v>
      </c>
      <c r="H784" s="82"/>
    </row>
    <row r="785" ht="15.75" customHeight="1">
      <c r="A785" s="141" t="s">
        <v>1898</v>
      </c>
      <c r="B785" s="142">
        <v>46090.771296921295</v>
      </c>
      <c r="C785" s="137">
        <v>0.7708333333333334</v>
      </c>
      <c r="D785" s="138" t="s">
        <v>711</v>
      </c>
      <c r="E785" s="139">
        <v>1.0</v>
      </c>
      <c r="F785" s="140">
        <v>2500.0</v>
      </c>
      <c r="G785" s="140">
        <v>2500.0</v>
      </c>
      <c r="H785" s="82"/>
    </row>
    <row r="786" ht="15.75" customHeight="1">
      <c r="A786" s="141" t="s">
        <v>1898</v>
      </c>
      <c r="B786" s="142">
        <v>46090.771296921295</v>
      </c>
      <c r="C786" s="137">
        <v>0.7708333333333334</v>
      </c>
      <c r="D786" s="138" t="s">
        <v>1235</v>
      </c>
      <c r="E786" s="139">
        <v>1.0</v>
      </c>
      <c r="F786" s="140">
        <v>4500.0</v>
      </c>
      <c r="G786" s="140">
        <v>4500.0</v>
      </c>
      <c r="H786" s="82"/>
    </row>
    <row r="787" ht="15.75" customHeight="1">
      <c r="A787" s="82"/>
      <c r="B787" s="136">
        <v>46090.771296921295</v>
      </c>
      <c r="C787" s="137">
        <v>0.7708333333333334</v>
      </c>
      <c r="D787" s="138" t="s">
        <v>1899</v>
      </c>
      <c r="E787" s="139">
        <v>3.0</v>
      </c>
      <c r="F787" s="138" t="s">
        <v>1297</v>
      </c>
      <c r="G787" s="138" t="s">
        <v>1406</v>
      </c>
      <c r="H787" s="140">
        <v>8500.0</v>
      </c>
    </row>
    <row r="788" ht="15.75" customHeight="1">
      <c r="A788" s="141" t="s">
        <v>1900</v>
      </c>
      <c r="B788" s="142">
        <v>46090.77224121528</v>
      </c>
      <c r="C788" s="137">
        <v>0.7722222222222223</v>
      </c>
      <c r="D788" s="138" t="s">
        <v>82</v>
      </c>
      <c r="E788" s="139">
        <v>1.0</v>
      </c>
      <c r="F788" s="140">
        <v>3500.0</v>
      </c>
      <c r="G788" s="140">
        <v>3500.0</v>
      </c>
      <c r="H788" s="82"/>
    </row>
    <row r="789" ht="15.75" customHeight="1">
      <c r="A789" s="141" t="s">
        <v>1900</v>
      </c>
      <c r="B789" s="142">
        <v>46090.77224121528</v>
      </c>
      <c r="C789" s="137">
        <v>0.7722222222222223</v>
      </c>
      <c r="D789" s="138" t="s">
        <v>1279</v>
      </c>
      <c r="E789" s="139">
        <v>1.0</v>
      </c>
      <c r="F789" s="140">
        <v>3500.0</v>
      </c>
      <c r="G789" s="140">
        <v>3500.0</v>
      </c>
      <c r="H789" s="82"/>
    </row>
    <row r="790" ht="15.75" customHeight="1">
      <c r="A790" s="141" t="s">
        <v>1900</v>
      </c>
      <c r="B790" s="142">
        <v>46090.77224121528</v>
      </c>
      <c r="C790" s="137">
        <v>0.7722222222222223</v>
      </c>
      <c r="D790" s="138" t="s">
        <v>213</v>
      </c>
      <c r="E790" s="139">
        <v>1.0</v>
      </c>
      <c r="F790" s="140">
        <v>3300.0</v>
      </c>
      <c r="G790" s="140">
        <v>3300.0</v>
      </c>
      <c r="H790" s="82"/>
    </row>
    <row r="791" ht="15.75" customHeight="1">
      <c r="A791" s="141" t="s">
        <v>1900</v>
      </c>
      <c r="B791" s="142">
        <v>46090.77224121528</v>
      </c>
      <c r="C791" s="137">
        <v>0.7722222222222223</v>
      </c>
      <c r="D791" s="138" t="s">
        <v>1273</v>
      </c>
      <c r="E791" s="139">
        <v>1.0</v>
      </c>
      <c r="F791" s="140">
        <v>2500.0</v>
      </c>
      <c r="G791" s="140">
        <v>2500.0</v>
      </c>
      <c r="H791" s="82"/>
    </row>
    <row r="792" ht="15.75" customHeight="1">
      <c r="A792" s="82"/>
      <c r="B792" s="136">
        <v>46090.77224121528</v>
      </c>
      <c r="C792" s="137">
        <v>0.7722222222222223</v>
      </c>
      <c r="D792" s="138" t="s">
        <v>1901</v>
      </c>
      <c r="E792" s="139">
        <v>4.0</v>
      </c>
      <c r="F792" s="138" t="s">
        <v>1297</v>
      </c>
      <c r="G792" s="138" t="s">
        <v>1406</v>
      </c>
      <c r="H792" s="140">
        <v>12800.0</v>
      </c>
    </row>
    <row r="793" ht="15.75" customHeight="1">
      <c r="A793" s="141" t="s">
        <v>1902</v>
      </c>
      <c r="B793" s="142">
        <v>46090.7729578125</v>
      </c>
      <c r="C793" s="137">
        <v>0.7729166666666667</v>
      </c>
      <c r="D793" s="138" t="s">
        <v>1903</v>
      </c>
      <c r="E793" s="139">
        <v>0.6</v>
      </c>
      <c r="F793" s="140">
        <v>2100.0</v>
      </c>
      <c r="G793" s="140">
        <v>2100.0</v>
      </c>
      <c r="H793" s="82"/>
    </row>
    <row r="794" ht="15.75" customHeight="1">
      <c r="A794" s="141" t="s">
        <v>1902</v>
      </c>
      <c r="B794" s="142">
        <v>46090.7729578125</v>
      </c>
      <c r="C794" s="137">
        <v>0.7729166666666667</v>
      </c>
      <c r="D794" s="138" t="s">
        <v>1761</v>
      </c>
      <c r="E794" s="139">
        <v>0.34</v>
      </c>
      <c r="F794" s="140">
        <v>1700.0</v>
      </c>
      <c r="G794" s="140">
        <v>1700.0</v>
      </c>
      <c r="H794" s="82"/>
    </row>
    <row r="795" ht="15.75" customHeight="1">
      <c r="A795" s="82"/>
      <c r="B795" s="136">
        <v>46090.7729578125</v>
      </c>
      <c r="C795" s="137">
        <v>0.7729166666666667</v>
      </c>
      <c r="D795" s="138" t="s">
        <v>1904</v>
      </c>
      <c r="E795" s="139">
        <v>2.0</v>
      </c>
      <c r="F795" s="138" t="s">
        <v>1297</v>
      </c>
      <c r="G795" s="138" t="s">
        <v>1406</v>
      </c>
      <c r="H795" s="140">
        <v>3800.0</v>
      </c>
    </row>
    <row r="796" ht="15.75" customHeight="1">
      <c r="A796" s="141" t="s">
        <v>1905</v>
      </c>
      <c r="B796" s="142">
        <v>46090.774654953704</v>
      </c>
      <c r="C796" s="137">
        <v>0.7743055555555556</v>
      </c>
      <c r="D796" s="138" t="s">
        <v>1906</v>
      </c>
      <c r="E796" s="139">
        <v>0.8</v>
      </c>
      <c r="F796" s="140">
        <v>3200.0</v>
      </c>
      <c r="G796" s="140">
        <v>3200.0</v>
      </c>
      <c r="H796" s="82"/>
    </row>
    <row r="797" ht="15.75" customHeight="1">
      <c r="A797" s="141" t="s">
        <v>1905</v>
      </c>
      <c r="B797" s="142">
        <v>46090.774654953704</v>
      </c>
      <c r="C797" s="137">
        <v>0.7743055555555556</v>
      </c>
      <c r="D797" s="138" t="s">
        <v>895</v>
      </c>
      <c r="E797" s="139">
        <v>1.0</v>
      </c>
      <c r="F797" s="140">
        <v>4500.0</v>
      </c>
      <c r="G797" s="140">
        <v>4500.0</v>
      </c>
      <c r="H797" s="82"/>
    </row>
    <row r="798" ht="15.75" customHeight="1">
      <c r="A798" s="141" t="s">
        <v>1905</v>
      </c>
      <c r="B798" s="142">
        <v>46090.774654953704</v>
      </c>
      <c r="C798" s="137">
        <v>0.7743055555555556</v>
      </c>
      <c r="D798" s="138" t="s">
        <v>1474</v>
      </c>
      <c r="E798" s="139">
        <v>2.0</v>
      </c>
      <c r="F798" s="140">
        <v>4200.0</v>
      </c>
      <c r="G798" s="140">
        <v>4200.0</v>
      </c>
      <c r="H798" s="82"/>
    </row>
    <row r="799" ht="15.75" customHeight="1">
      <c r="A799" s="82"/>
      <c r="B799" s="136">
        <v>46090.774654953704</v>
      </c>
      <c r="C799" s="137">
        <v>0.7743055555555556</v>
      </c>
      <c r="D799" s="138" t="s">
        <v>1907</v>
      </c>
      <c r="E799" s="139">
        <v>3.0</v>
      </c>
      <c r="F799" s="138" t="s">
        <v>1297</v>
      </c>
      <c r="G799" s="138" t="s">
        <v>1406</v>
      </c>
      <c r="H799" s="140">
        <v>11900.0</v>
      </c>
    </row>
    <row r="800" ht="15.75" customHeight="1">
      <c r="A800" s="141" t="s">
        <v>1908</v>
      </c>
      <c r="B800" s="142">
        <v>46090.77597502315</v>
      </c>
      <c r="C800" s="137">
        <v>0.7756944444444445</v>
      </c>
      <c r="D800" s="138" t="s">
        <v>1906</v>
      </c>
      <c r="E800" s="139">
        <v>0.8</v>
      </c>
      <c r="F800" s="140">
        <v>3200.0</v>
      </c>
      <c r="G800" s="140">
        <v>3200.0</v>
      </c>
      <c r="H800" s="82"/>
    </row>
    <row r="801" ht="15.75" customHeight="1">
      <c r="A801" s="141" t="s">
        <v>1908</v>
      </c>
      <c r="B801" s="142">
        <v>46090.77597502315</v>
      </c>
      <c r="C801" s="137">
        <v>0.7756944444444445</v>
      </c>
      <c r="D801" s="138" t="s">
        <v>1174</v>
      </c>
      <c r="E801" s="139">
        <v>1.0</v>
      </c>
      <c r="F801" s="140">
        <v>3500.0</v>
      </c>
      <c r="G801" s="140">
        <v>3500.0</v>
      </c>
      <c r="H801" s="82"/>
    </row>
    <row r="802" ht="15.75" customHeight="1">
      <c r="A802" s="141" t="s">
        <v>1908</v>
      </c>
      <c r="B802" s="142">
        <v>46090.77597502315</v>
      </c>
      <c r="C802" s="137">
        <v>0.7756944444444445</v>
      </c>
      <c r="D802" s="138" t="s">
        <v>427</v>
      </c>
      <c r="E802" s="139">
        <v>1.0</v>
      </c>
      <c r="F802" s="140">
        <v>2000.0</v>
      </c>
      <c r="G802" s="140">
        <v>2000.0</v>
      </c>
      <c r="H802" s="82"/>
    </row>
    <row r="803" ht="15.75" customHeight="1">
      <c r="A803" s="82"/>
      <c r="B803" s="136">
        <v>46090.77597502315</v>
      </c>
      <c r="C803" s="137">
        <v>0.7756944444444445</v>
      </c>
      <c r="D803" s="138" t="s">
        <v>1909</v>
      </c>
      <c r="E803" s="139">
        <v>3.0</v>
      </c>
      <c r="F803" s="138" t="s">
        <v>1611</v>
      </c>
      <c r="G803" s="138" t="s">
        <v>1406</v>
      </c>
      <c r="H803" s="140">
        <v>8700.0</v>
      </c>
    </row>
    <row r="804" ht="15.75" customHeight="1">
      <c r="A804" s="141" t="s">
        <v>1910</v>
      </c>
      <c r="B804" s="142">
        <v>46090.77628784723</v>
      </c>
      <c r="C804" s="137">
        <v>0.7756944444444445</v>
      </c>
      <c r="D804" s="138" t="s">
        <v>248</v>
      </c>
      <c r="E804" s="139">
        <v>1.0</v>
      </c>
      <c r="F804" s="140">
        <v>1800.0</v>
      </c>
      <c r="G804" s="140">
        <v>1800.0</v>
      </c>
      <c r="H804" s="82"/>
    </row>
    <row r="805" ht="15.75" customHeight="1">
      <c r="A805" s="82"/>
      <c r="B805" s="136">
        <v>46090.77628784723</v>
      </c>
      <c r="C805" s="137">
        <v>0.7756944444444445</v>
      </c>
      <c r="D805" s="138" t="s">
        <v>1911</v>
      </c>
      <c r="E805" s="139">
        <v>1.0</v>
      </c>
      <c r="F805" s="138" t="s">
        <v>1297</v>
      </c>
      <c r="G805" s="138" t="s">
        <v>1406</v>
      </c>
      <c r="H805" s="140">
        <v>1800.0</v>
      </c>
    </row>
    <row r="806" ht="15.75" customHeight="1">
      <c r="A806" s="141" t="s">
        <v>1912</v>
      </c>
      <c r="B806" s="142">
        <v>46090.778575439814</v>
      </c>
      <c r="C806" s="137">
        <v>0.7784722222222222</v>
      </c>
      <c r="D806" s="138" t="s">
        <v>1271</v>
      </c>
      <c r="E806" s="139">
        <v>1.0</v>
      </c>
      <c r="F806" s="140">
        <v>5000.0</v>
      </c>
      <c r="G806" s="140">
        <v>5000.0</v>
      </c>
      <c r="H806" s="82"/>
    </row>
    <row r="807" ht="15.75" customHeight="1">
      <c r="A807" s="82"/>
      <c r="B807" s="136">
        <v>46090.778575439814</v>
      </c>
      <c r="C807" s="137">
        <v>0.7784722222222222</v>
      </c>
      <c r="D807" s="138" t="s">
        <v>1913</v>
      </c>
      <c r="E807" s="139">
        <v>1.0</v>
      </c>
      <c r="F807" s="138" t="s">
        <v>1297</v>
      </c>
      <c r="G807" s="138" t="s">
        <v>1406</v>
      </c>
      <c r="H807" s="140">
        <v>5000.0</v>
      </c>
    </row>
    <row r="808" ht="15.75" customHeight="1">
      <c r="A808" s="141" t="s">
        <v>1914</v>
      </c>
      <c r="B808" s="142">
        <v>46090.86421605324</v>
      </c>
      <c r="C808" s="137">
        <v>0.8638888888888889</v>
      </c>
      <c r="D808" s="138" t="s">
        <v>1915</v>
      </c>
      <c r="E808" s="139">
        <v>0.43</v>
      </c>
      <c r="F808" s="140">
        <v>3010.0</v>
      </c>
      <c r="G808" s="140">
        <v>3010.0</v>
      </c>
      <c r="H808" s="82"/>
    </row>
    <row r="809" ht="15.75" customHeight="1">
      <c r="A809" s="141" t="s">
        <v>1914</v>
      </c>
      <c r="B809" s="142">
        <v>46090.86421605324</v>
      </c>
      <c r="C809" s="137">
        <v>0.8638888888888889</v>
      </c>
      <c r="D809" s="138" t="s">
        <v>805</v>
      </c>
      <c r="E809" s="139">
        <v>1.0</v>
      </c>
      <c r="F809" s="140">
        <v>3000.0</v>
      </c>
      <c r="G809" s="140">
        <v>3000.0</v>
      </c>
      <c r="H809" s="82"/>
    </row>
    <row r="810" ht="15.75" customHeight="1">
      <c r="A810" s="82"/>
      <c r="B810" s="136">
        <v>46090.86421605324</v>
      </c>
      <c r="C810" s="137">
        <v>0.8638888888888889</v>
      </c>
      <c r="D810" s="138" t="s">
        <v>1916</v>
      </c>
      <c r="E810" s="139">
        <v>2.0</v>
      </c>
      <c r="F810" s="138" t="s">
        <v>1297</v>
      </c>
      <c r="G810" s="138" t="s">
        <v>1406</v>
      </c>
      <c r="H810" s="140">
        <v>6010.0</v>
      </c>
    </row>
    <row r="811" ht="15.75" customHeight="1">
      <c r="A811" s="141" t="s">
        <v>1917</v>
      </c>
      <c r="B811" s="142">
        <v>46090.89710767361</v>
      </c>
      <c r="C811" s="137">
        <v>0.8965277777777778</v>
      </c>
      <c r="D811" s="138" t="s">
        <v>560</v>
      </c>
      <c r="E811" s="139">
        <v>1.0</v>
      </c>
      <c r="F811" s="140">
        <v>3500.0</v>
      </c>
      <c r="G811" s="140">
        <v>3500.0</v>
      </c>
      <c r="H811" s="82"/>
    </row>
    <row r="812" ht="15.75" customHeight="1">
      <c r="A812" s="141" t="s">
        <v>1917</v>
      </c>
      <c r="B812" s="142">
        <v>46090.89710767361</v>
      </c>
      <c r="C812" s="137">
        <v>0.8965277777777778</v>
      </c>
      <c r="D812" s="138" t="s">
        <v>998</v>
      </c>
      <c r="E812" s="139">
        <v>1.0</v>
      </c>
      <c r="F812" s="140">
        <v>4500.0</v>
      </c>
      <c r="G812" s="140">
        <v>4500.0</v>
      </c>
      <c r="H812" s="82"/>
    </row>
    <row r="813" ht="15.75" customHeight="1">
      <c r="A813" s="141" t="s">
        <v>1917</v>
      </c>
      <c r="B813" s="142">
        <v>46090.89710767361</v>
      </c>
      <c r="C813" s="137">
        <v>0.8965277777777778</v>
      </c>
      <c r="D813" s="138" t="s">
        <v>1918</v>
      </c>
      <c r="E813" s="139">
        <v>0.5</v>
      </c>
      <c r="F813" s="140">
        <v>6750.0</v>
      </c>
      <c r="G813" s="140">
        <v>6750.0</v>
      </c>
      <c r="H813" s="82"/>
    </row>
    <row r="814" ht="15.75" customHeight="1">
      <c r="A814" s="82"/>
      <c r="B814" s="136">
        <v>46090.89710767361</v>
      </c>
      <c r="C814" s="137">
        <v>0.8965277777777778</v>
      </c>
      <c r="D814" s="138" t="s">
        <v>1919</v>
      </c>
      <c r="E814" s="139">
        <v>3.0</v>
      </c>
      <c r="F814" s="138" t="s">
        <v>1297</v>
      </c>
      <c r="G814" s="138" t="s">
        <v>1406</v>
      </c>
      <c r="H814" s="140">
        <v>14750.0</v>
      </c>
    </row>
    <row r="815" ht="15.75" customHeight="1">
      <c r="A815" s="141" t="s">
        <v>1920</v>
      </c>
      <c r="B815" s="142">
        <v>46090.90510804398</v>
      </c>
      <c r="C815" s="137">
        <v>0.9048611111111111</v>
      </c>
      <c r="D815" s="138" t="s">
        <v>1273</v>
      </c>
      <c r="E815" s="139">
        <v>2.0</v>
      </c>
      <c r="F815" s="140">
        <v>2500.0</v>
      </c>
      <c r="G815" s="140">
        <v>5000.0</v>
      </c>
      <c r="H815" s="82"/>
    </row>
    <row r="816" ht="15.75" customHeight="1">
      <c r="A816" s="141" t="s">
        <v>1920</v>
      </c>
      <c r="B816" s="142">
        <v>46090.90510804398</v>
      </c>
      <c r="C816" s="137">
        <v>0.9048611111111111</v>
      </c>
      <c r="D816" s="138" t="s">
        <v>797</v>
      </c>
      <c r="E816" s="139">
        <v>1.0</v>
      </c>
      <c r="F816" s="140">
        <v>6500.0</v>
      </c>
      <c r="G816" s="140">
        <v>6500.0</v>
      </c>
      <c r="H816" s="82"/>
    </row>
    <row r="817" ht="15.75" customHeight="1">
      <c r="A817" s="141" t="s">
        <v>1920</v>
      </c>
      <c r="B817" s="142">
        <v>46090.90510804398</v>
      </c>
      <c r="C817" s="137">
        <v>0.9048611111111111</v>
      </c>
      <c r="D817" s="138" t="s">
        <v>1921</v>
      </c>
      <c r="E817" s="139">
        <v>0.975</v>
      </c>
      <c r="F817" s="140">
        <v>15599.0</v>
      </c>
      <c r="G817" s="140">
        <v>15599.0</v>
      </c>
      <c r="H817" s="82"/>
    </row>
    <row r="818" ht="15.75" customHeight="1">
      <c r="A818" s="141" t="s">
        <v>1920</v>
      </c>
      <c r="B818" s="142">
        <v>46090.90510804398</v>
      </c>
      <c r="C818" s="137">
        <v>0.9048611111111111</v>
      </c>
      <c r="D818" s="138" t="s">
        <v>256</v>
      </c>
      <c r="E818" s="139">
        <v>1.0</v>
      </c>
      <c r="F818" s="140">
        <v>2000.0</v>
      </c>
      <c r="G818" s="140">
        <v>2000.0</v>
      </c>
      <c r="H818" s="82"/>
    </row>
    <row r="819" ht="15.75" customHeight="1">
      <c r="A819" s="141" t="s">
        <v>1920</v>
      </c>
      <c r="B819" s="142">
        <v>46090.90510804398</v>
      </c>
      <c r="C819" s="137">
        <v>0.9048611111111111</v>
      </c>
      <c r="D819" s="138" t="s">
        <v>1922</v>
      </c>
      <c r="E819" s="139">
        <v>0.68</v>
      </c>
      <c r="F819" s="140">
        <v>3400.0</v>
      </c>
      <c r="G819" s="140">
        <v>3400.0</v>
      </c>
      <c r="H819" s="82"/>
    </row>
    <row r="820" ht="15.75" customHeight="1">
      <c r="A820" s="141" t="s">
        <v>1920</v>
      </c>
      <c r="B820" s="142">
        <v>46090.90510804398</v>
      </c>
      <c r="C820" s="137">
        <v>0.9048611111111111</v>
      </c>
      <c r="D820" s="138" t="s">
        <v>1923</v>
      </c>
      <c r="E820" s="139">
        <v>0.233</v>
      </c>
      <c r="F820" s="140">
        <v>1282.0</v>
      </c>
      <c r="G820" s="140">
        <v>1282.0</v>
      </c>
      <c r="H820" s="82"/>
    </row>
    <row r="821" ht="15.75" customHeight="1">
      <c r="A821" s="82"/>
      <c r="B821" s="136">
        <v>46090.90510804398</v>
      </c>
      <c r="C821" s="137">
        <v>0.9048611111111111</v>
      </c>
      <c r="D821" s="138" t="s">
        <v>1924</v>
      </c>
      <c r="E821" s="139">
        <v>7.0</v>
      </c>
      <c r="F821" s="138" t="s">
        <v>1669</v>
      </c>
      <c r="G821" s="138" t="s">
        <v>1406</v>
      </c>
      <c r="H821" s="140">
        <v>33781.0</v>
      </c>
    </row>
    <row r="822" ht="15.75" customHeight="1">
      <c r="A822" s="141" t="s">
        <v>1925</v>
      </c>
      <c r="B822" s="142">
        <v>46090.905790150464</v>
      </c>
      <c r="C822" s="137">
        <v>0.9055555555555556</v>
      </c>
      <c r="D822" s="138" t="s">
        <v>640</v>
      </c>
      <c r="E822" s="139">
        <v>1.0</v>
      </c>
      <c r="F822" s="140">
        <v>9000.0</v>
      </c>
      <c r="G822" s="140">
        <v>9000.0</v>
      </c>
      <c r="H822" s="82"/>
    </row>
    <row r="823" ht="15.75" customHeight="1">
      <c r="A823" s="141" t="s">
        <v>1925</v>
      </c>
      <c r="B823" s="142">
        <v>46090.905790150464</v>
      </c>
      <c r="C823" s="137">
        <v>0.9055555555555556</v>
      </c>
      <c r="D823" s="138" t="s">
        <v>550</v>
      </c>
      <c r="E823" s="139">
        <v>2.0</v>
      </c>
      <c r="F823" s="140">
        <v>1500.0</v>
      </c>
      <c r="G823" s="140">
        <v>3000.0</v>
      </c>
      <c r="H823" s="82"/>
    </row>
    <row r="824" ht="15.75" customHeight="1">
      <c r="A824" s="82"/>
      <c r="B824" s="136">
        <v>46090.905790150464</v>
      </c>
      <c r="C824" s="137">
        <v>0.9055555555555556</v>
      </c>
      <c r="D824" s="138" t="s">
        <v>1926</v>
      </c>
      <c r="E824" s="139">
        <v>3.0</v>
      </c>
      <c r="F824" s="138" t="s">
        <v>1297</v>
      </c>
      <c r="G824" s="138" t="s">
        <v>1406</v>
      </c>
      <c r="H824" s="140">
        <v>12000.0</v>
      </c>
    </row>
    <row r="825" ht="15.75" customHeight="1">
      <c r="A825" s="141" t="s">
        <v>1927</v>
      </c>
      <c r="B825" s="142">
        <v>46090.90603991898</v>
      </c>
      <c r="C825" s="137">
        <v>0.9055555555555556</v>
      </c>
      <c r="D825" s="138" t="s">
        <v>635</v>
      </c>
      <c r="E825" s="139">
        <v>1.0</v>
      </c>
      <c r="F825" s="140">
        <v>2100.0</v>
      </c>
      <c r="G825" s="140">
        <v>2100.0</v>
      </c>
      <c r="H825" s="82"/>
    </row>
    <row r="826" ht="15.75" customHeight="1">
      <c r="A826" s="82"/>
      <c r="B826" s="136">
        <v>46090.90603991898</v>
      </c>
      <c r="C826" s="137">
        <v>0.9055555555555556</v>
      </c>
      <c r="D826" s="138" t="s">
        <v>1928</v>
      </c>
      <c r="E826" s="139">
        <v>1.0</v>
      </c>
      <c r="F826" s="138" t="s">
        <v>1297</v>
      </c>
      <c r="G826" s="138" t="s">
        <v>1406</v>
      </c>
      <c r="H826" s="140">
        <v>2100.0</v>
      </c>
    </row>
    <row r="827" ht="15.75" customHeight="1">
      <c r="A827" s="141" t="s">
        <v>1929</v>
      </c>
      <c r="B827" s="142">
        <v>46091.1248402662</v>
      </c>
      <c r="C827" s="137">
        <v>0.12430555555555556</v>
      </c>
      <c r="D827" s="138" t="s">
        <v>82</v>
      </c>
      <c r="E827" s="139">
        <v>1.0</v>
      </c>
      <c r="F827" s="140">
        <v>3500.0</v>
      </c>
      <c r="G827" s="140">
        <v>3500.0</v>
      </c>
      <c r="H827" s="82"/>
    </row>
    <row r="828" ht="15.75" customHeight="1">
      <c r="A828" s="141" t="s">
        <v>1929</v>
      </c>
      <c r="B828" s="142">
        <v>46091.1248402662</v>
      </c>
      <c r="C828" s="137">
        <v>0.12430555555555556</v>
      </c>
      <c r="D828" s="138" t="s">
        <v>213</v>
      </c>
      <c r="E828" s="139">
        <v>1.0</v>
      </c>
      <c r="F828" s="140">
        <v>3300.0</v>
      </c>
      <c r="G828" s="140">
        <v>3300.0</v>
      </c>
      <c r="H828" s="82"/>
    </row>
    <row r="829" ht="15.75" customHeight="1">
      <c r="A829" s="141" t="s">
        <v>1929</v>
      </c>
      <c r="B829" s="142">
        <v>46091.1248402662</v>
      </c>
      <c r="C829" s="137">
        <v>0.12430555555555556</v>
      </c>
      <c r="D829" s="138" t="s">
        <v>967</v>
      </c>
      <c r="E829" s="139">
        <v>1.0</v>
      </c>
      <c r="F829" s="140">
        <v>1500.0</v>
      </c>
      <c r="G829" s="140">
        <v>1500.0</v>
      </c>
      <c r="H829" s="82"/>
    </row>
    <row r="830" ht="15.75" customHeight="1">
      <c r="A830" s="141" t="s">
        <v>1929</v>
      </c>
      <c r="B830" s="142">
        <v>46091.1248402662</v>
      </c>
      <c r="C830" s="137">
        <v>0.12430555555555556</v>
      </c>
      <c r="D830" s="138" t="s">
        <v>797</v>
      </c>
      <c r="E830" s="139">
        <v>1.0</v>
      </c>
      <c r="F830" s="140">
        <v>6500.0</v>
      </c>
      <c r="G830" s="140">
        <v>6500.0</v>
      </c>
      <c r="H830" s="82"/>
    </row>
    <row r="831" ht="15.75" customHeight="1">
      <c r="A831" s="141" t="s">
        <v>1929</v>
      </c>
      <c r="B831" s="142">
        <v>46091.1248402662</v>
      </c>
      <c r="C831" s="137">
        <v>0.12430555555555556</v>
      </c>
      <c r="D831" s="138" t="s">
        <v>1273</v>
      </c>
      <c r="E831" s="139">
        <v>1.0</v>
      </c>
      <c r="F831" s="140">
        <v>2500.0</v>
      </c>
      <c r="G831" s="140">
        <v>2500.0</v>
      </c>
      <c r="H831" s="82"/>
    </row>
    <row r="832" ht="15.75" customHeight="1">
      <c r="A832" s="82"/>
      <c r="B832" s="136">
        <v>46091.1248402662</v>
      </c>
      <c r="C832" s="137">
        <v>0.12430555555555556</v>
      </c>
      <c r="D832" s="138" t="s">
        <v>1930</v>
      </c>
      <c r="E832" s="139">
        <v>5.0</v>
      </c>
      <c r="F832" s="138" t="s">
        <v>1297</v>
      </c>
      <c r="G832" s="138" t="s">
        <v>1406</v>
      </c>
      <c r="H832" s="140">
        <v>17300.0</v>
      </c>
    </row>
    <row r="833" ht="15.75" customHeight="1">
      <c r="A833" s="141" t="s">
        <v>1931</v>
      </c>
      <c r="B833" s="142">
        <v>46091.83899625</v>
      </c>
      <c r="C833" s="137">
        <v>0.8388888888888889</v>
      </c>
      <c r="D833" s="138" t="s">
        <v>112</v>
      </c>
      <c r="E833" s="139">
        <v>1.0</v>
      </c>
      <c r="F833" s="140">
        <v>2000.0</v>
      </c>
      <c r="G833" s="140">
        <v>2000.0</v>
      </c>
      <c r="H833" s="82"/>
    </row>
    <row r="834" ht="15.75" customHeight="1">
      <c r="A834" s="141" t="s">
        <v>1931</v>
      </c>
      <c r="B834" s="142">
        <v>46091.83899625</v>
      </c>
      <c r="C834" s="137">
        <v>0.8388888888888889</v>
      </c>
      <c r="D834" s="138" t="s">
        <v>447</v>
      </c>
      <c r="E834" s="139">
        <v>1.0</v>
      </c>
      <c r="F834" s="140">
        <v>3000.0</v>
      </c>
      <c r="G834" s="140">
        <v>3000.0</v>
      </c>
      <c r="H834" s="82"/>
    </row>
    <row r="835" ht="15.75" customHeight="1">
      <c r="A835" s="141" t="s">
        <v>1931</v>
      </c>
      <c r="B835" s="142">
        <v>46091.83899625</v>
      </c>
      <c r="C835" s="137">
        <v>0.8388888888888889</v>
      </c>
      <c r="D835" s="138" t="s">
        <v>1271</v>
      </c>
      <c r="E835" s="139">
        <v>1.0</v>
      </c>
      <c r="F835" s="140">
        <v>5000.0</v>
      </c>
      <c r="G835" s="140">
        <v>5000.0</v>
      </c>
      <c r="H835" s="82"/>
    </row>
    <row r="836" ht="15.75" customHeight="1">
      <c r="A836" s="82"/>
      <c r="B836" s="136">
        <v>46091.83899625</v>
      </c>
      <c r="C836" s="137">
        <v>0.8388888888888889</v>
      </c>
      <c r="D836" s="138" t="s">
        <v>1932</v>
      </c>
      <c r="E836" s="139">
        <v>3.0</v>
      </c>
      <c r="F836" s="138" t="s">
        <v>1297</v>
      </c>
      <c r="G836" s="138" t="s">
        <v>1720</v>
      </c>
      <c r="H836" s="140">
        <v>10000.0</v>
      </c>
    </row>
    <row r="837" ht="15.75" customHeight="1">
      <c r="A837" s="141" t="s">
        <v>1933</v>
      </c>
      <c r="B837" s="142">
        <v>46091.84309607639</v>
      </c>
      <c r="C837" s="137">
        <v>0.8430555555555556</v>
      </c>
      <c r="D837" s="138" t="s">
        <v>1934</v>
      </c>
      <c r="E837" s="139">
        <v>0.4</v>
      </c>
      <c r="F837" s="140">
        <v>2200.0</v>
      </c>
      <c r="G837" s="140">
        <v>2200.0</v>
      </c>
      <c r="H837" s="82"/>
    </row>
    <row r="838" ht="15.75" customHeight="1">
      <c r="A838" s="141" t="s">
        <v>1933</v>
      </c>
      <c r="B838" s="142">
        <v>46091.84309607639</v>
      </c>
      <c r="C838" s="137">
        <v>0.8430555555555556</v>
      </c>
      <c r="D838" s="138" t="s">
        <v>1459</v>
      </c>
      <c r="E838" s="139">
        <v>0.15</v>
      </c>
      <c r="F838" s="140">
        <v>1050.0</v>
      </c>
      <c r="G838" s="140">
        <v>1050.0</v>
      </c>
      <c r="H838" s="82"/>
    </row>
    <row r="839" ht="15.75" customHeight="1">
      <c r="A839" s="141" t="s">
        <v>1933</v>
      </c>
      <c r="B839" s="142">
        <v>46091.84309607639</v>
      </c>
      <c r="C839" s="137">
        <v>0.8430555555555556</v>
      </c>
      <c r="D839" s="138" t="s">
        <v>107</v>
      </c>
      <c r="E839" s="139">
        <v>2.0</v>
      </c>
      <c r="F839" s="140">
        <v>4500.0</v>
      </c>
      <c r="G839" s="140">
        <v>9000.0</v>
      </c>
      <c r="H839" s="82"/>
    </row>
    <row r="840" ht="15.75" customHeight="1">
      <c r="A840" s="141" t="s">
        <v>1933</v>
      </c>
      <c r="B840" s="142">
        <v>46091.84309607639</v>
      </c>
      <c r="C840" s="137">
        <v>0.8430555555555556</v>
      </c>
      <c r="D840" s="138" t="s">
        <v>1235</v>
      </c>
      <c r="E840" s="139">
        <v>1.0</v>
      </c>
      <c r="F840" s="140">
        <v>4500.0</v>
      </c>
      <c r="G840" s="140">
        <v>4500.0</v>
      </c>
      <c r="H840" s="82"/>
    </row>
    <row r="841" ht="15.75" customHeight="1">
      <c r="A841" s="141" t="s">
        <v>1933</v>
      </c>
      <c r="B841" s="142">
        <v>46091.84309607639</v>
      </c>
      <c r="C841" s="137">
        <v>0.8430555555555556</v>
      </c>
      <c r="D841" s="138" t="s">
        <v>466</v>
      </c>
      <c r="E841" s="139">
        <v>1.0</v>
      </c>
      <c r="F841" s="140">
        <v>2300.0</v>
      </c>
      <c r="G841" s="140">
        <v>2300.0</v>
      </c>
      <c r="H841" s="82"/>
    </row>
    <row r="842" ht="15.75" customHeight="1">
      <c r="A842" s="82"/>
      <c r="B842" s="136">
        <v>46091.84309607639</v>
      </c>
      <c r="C842" s="137">
        <v>0.8430555555555556</v>
      </c>
      <c r="D842" s="138" t="s">
        <v>1935</v>
      </c>
      <c r="E842" s="139">
        <v>6.0</v>
      </c>
      <c r="F842" s="138" t="s">
        <v>1611</v>
      </c>
      <c r="G842" s="138" t="s">
        <v>1720</v>
      </c>
      <c r="H842" s="140">
        <v>19050.0</v>
      </c>
    </row>
    <row r="843" ht="15.75" customHeight="1">
      <c r="A843" s="141" t="s">
        <v>1936</v>
      </c>
      <c r="B843" s="142">
        <v>46091.84528517361</v>
      </c>
      <c r="C843" s="137">
        <v>0.8451388888888889</v>
      </c>
      <c r="D843" s="138" t="s">
        <v>1937</v>
      </c>
      <c r="E843" s="139">
        <v>0.4</v>
      </c>
      <c r="F843" s="140">
        <v>1040.0</v>
      </c>
      <c r="G843" s="140">
        <v>1040.0</v>
      </c>
      <c r="H843" s="82"/>
    </row>
    <row r="844" ht="15.75" customHeight="1">
      <c r="A844" s="141" t="s">
        <v>1936</v>
      </c>
      <c r="B844" s="142">
        <v>46091.84528517361</v>
      </c>
      <c r="C844" s="137">
        <v>0.8451388888888889</v>
      </c>
      <c r="D844" s="138" t="s">
        <v>1938</v>
      </c>
      <c r="E844" s="139">
        <v>1.0</v>
      </c>
      <c r="F844" s="140">
        <v>2100.0</v>
      </c>
      <c r="G844" s="140">
        <v>2100.0</v>
      </c>
      <c r="H844" s="82"/>
    </row>
    <row r="845" ht="15.75" customHeight="1">
      <c r="A845" s="141" t="s">
        <v>1936</v>
      </c>
      <c r="B845" s="142">
        <v>46091.84528517361</v>
      </c>
      <c r="C845" s="137">
        <v>0.8451388888888889</v>
      </c>
      <c r="D845" s="138" t="s">
        <v>719</v>
      </c>
      <c r="E845" s="139">
        <v>1.0</v>
      </c>
      <c r="F845" s="140">
        <v>5800.0</v>
      </c>
      <c r="G845" s="140">
        <v>5800.0</v>
      </c>
      <c r="H845" s="82"/>
    </row>
    <row r="846" ht="15.75" customHeight="1">
      <c r="A846" s="141" t="s">
        <v>1936</v>
      </c>
      <c r="B846" s="142">
        <v>46091.84528517361</v>
      </c>
      <c r="C846" s="137">
        <v>0.8451388888888889</v>
      </c>
      <c r="D846" s="138" t="s">
        <v>635</v>
      </c>
      <c r="E846" s="139">
        <v>1.0</v>
      </c>
      <c r="F846" s="140">
        <v>2100.0</v>
      </c>
      <c r="G846" s="140">
        <v>2100.0</v>
      </c>
      <c r="H846" s="82"/>
    </row>
    <row r="847" ht="15.75" customHeight="1">
      <c r="A847" s="82"/>
      <c r="B847" s="136">
        <v>46091.84528517361</v>
      </c>
      <c r="C847" s="137">
        <v>0.8451388888888889</v>
      </c>
      <c r="D847" s="138" t="s">
        <v>1939</v>
      </c>
      <c r="E847" s="139">
        <v>4.0</v>
      </c>
      <c r="F847" s="138" t="s">
        <v>1297</v>
      </c>
      <c r="G847" s="138" t="s">
        <v>1720</v>
      </c>
      <c r="H847" s="140">
        <v>11040.0</v>
      </c>
    </row>
    <row r="848" ht="15.75" customHeight="1">
      <c r="A848" s="141" t="s">
        <v>1940</v>
      </c>
      <c r="B848" s="142">
        <v>46091.84838835648</v>
      </c>
      <c r="C848" s="137">
        <v>0.8479166666666667</v>
      </c>
      <c r="D848" s="138" t="s">
        <v>236</v>
      </c>
      <c r="E848" s="139">
        <v>2.0</v>
      </c>
      <c r="F848" s="140">
        <v>1500.0</v>
      </c>
      <c r="G848" s="140">
        <v>3000.0</v>
      </c>
      <c r="H848" s="82"/>
    </row>
    <row r="849" ht="15.75" customHeight="1">
      <c r="A849" s="82"/>
      <c r="B849" s="136">
        <v>46091.84838835648</v>
      </c>
      <c r="C849" s="137">
        <v>0.8479166666666667</v>
      </c>
      <c r="D849" s="138" t="s">
        <v>1941</v>
      </c>
      <c r="E849" s="139">
        <v>2.0</v>
      </c>
      <c r="F849" s="138" t="s">
        <v>1669</v>
      </c>
      <c r="G849" s="138" t="s">
        <v>1720</v>
      </c>
      <c r="H849" s="140">
        <v>3000.0</v>
      </c>
    </row>
    <row r="850" ht="15.75" customHeight="1">
      <c r="A850" s="141" t="s">
        <v>1942</v>
      </c>
      <c r="B850" s="142">
        <v>46091.84916439815</v>
      </c>
      <c r="C850" s="137">
        <v>0.8486111111111111</v>
      </c>
      <c r="D850" s="138" t="s">
        <v>1205</v>
      </c>
      <c r="E850" s="139">
        <v>3.0</v>
      </c>
      <c r="F850" s="140">
        <v>2500.0</v>
      </c>
      <c r="G850" s="140">
        <v>7500.0</v>
      </c>
      <c r="H850" s="82"/>
    </row>
    <row r="851" ht="15.75" customHeight="1">
      <c r="A851" s="141" t="s">
        <v>1942</v>
      </c>
      <c r="B851" s="142">
        <v>46091.84916439815</v>
      </c>
      <c r="C851" s="137">
        <v>0.8486111111111111</v>
      </c>
      <c r="D851" s="138" t="s">
        <v>1275</v>
      </c>
      <c r="E851" s="139">
        <v>2.0</v>
      </c>
      <c r="F851" s="140">
        <v>1000.0</v>
      </c>
      <c r="G851" s="140">
        <v>2000.0</v>
      </c>
      <c r="H851" s="82"/>
    </row>
    <row r="852" ht="15.75" customHeight="1">
      <c r="A852" s="82"/>
      <c r="B852" s="136">
        <v>46091.84916439815</v>
      </c>
      <c r="C852" s="137">
        <v>0.8486111111111111</v>
      </c>
      <c r="D852" s="138" t="s">
        <v>1943</v>
      </c>
      <c r="E852" s="139">
        <v>5.0</v>
      </c>
      <c r="F852" s="138" t="s">
        <v>1297</v>
      </c>
      <c r="G852" s="138" t="s">
        <v>1720</v>
      </c>
      <c r="H852" s="140">
        <v>9500.0</v>
      </c>
    </row>
    <row r="853" ht="15.75" customHeight="1">
      <c r="A853" s="141" t="s">
        <v>1944</v>
      </c>
      <c r="B853" s="142">
        <v>46091.90384939815</v>
      </c>
      <c r="C853" s="137">
        <v>0.9034722222222222</v>
      </c>
      <c r="D853" s="138" t="s">
        <v>1273</v>
      </c>
      <c r="E853" s="139">
        <v>1.0</v>
      </c>
      <c r="F853" s="140">
        <v>2500.0</v>
      </c>
      <c r="G853" s="140">
        <v>2500.0</v>
      </c>
      <c r="H853" s="82"/>
    </row>
    <row r="854" ht="15.75" customHeight="1">
      <c r="A854" s="141" t="s">
        <v>1944</v>
      </c>
      <c r="B854" s="142">
        <v>46091.90384939815</v>
      </c>
      <c r="C854" s="137">
        <v>0.9034722222222222</v>
      </c>
      <c r="D854" s="138" t="s">
        <v>139</v>
      </c>
      <c r="E854" s="139">
        <v>1.0</v>
      </c>
      <c r="F854" s="140">
        <v>2600.0</v>
      </c>
      <c r="G854" s="140">
        <v>2600.0</v>
      </c>
      <c r="H854" s="82"/>
    </row>
    <row r="855" ht="15.75" customHeight="1">
      <c r="A855" s="82"/>
      <c r="B855" s="136">
        <v>46091.90384939815</v>
      </c>
      <c r="C855" s="137">
        <v>0.9034722222222222</v>
      </c>
      <c r="D855" s="138" t="s">
        <v>1945</v>
      </c>
      <c r="E855" s="139">
        <v>2.0</v>
      </c>
      <c r="F855" s="138" t="s">
        <v>1297</v>
      </c>
      <c r="G855" s="138" t="s">
        <v>1720</v>
      </c>
      <c r="H855" s="140">
        <v>5100.0</v>
      </c>
    </row>
    <row r="856" ht="15.75" customHeight="1">
      <c r="A856" s="141" t="s">
        <v>1946</v>
      </c>
      <c r="B856" s="142">
        <v>46091.90972481482</v>
      </c>
      <c r="C856" s="137">
        <v>0.9097222222222222</v>
      </c>
      <c r="D856" s="138" t="s">
        <v>891</v>
      </c>
      <c r="E856" s="139">
        <v>2.0</v>
      </c>
      <c r="F856" s="140">
        <v>3000.0</v>
      </c>
      <c r="G856" s="140">
        <v>6000.0</v>
      </c>
      <c r="H856" s="82"/>
    </row>
    <row r="857" ht="15.75" customHeight="1">
      <c r="A857" s="82"/>
      <c r="B857" s="136">
        <v>46091.90972481482</v>
      </c>
      <c r="C857" s="137">
        <v>0.9097222222222222</v>
      </c>
      <c r="D857" s="138" t="s">
        <v>1947</v>
      </c>
      <c r="E857" s="139">
        <v>2.0</v>
      </c>
      <c r="F857" s="138" t="s">
        <v>1297</v>
      </c>
      <c r="G857" s="138" t="s">
        <v>1720</v>
      </c>
      <c r="H857" s="140">
        <v>6000.0</v>
      </c>
    </row>
    <row r="858" ht="15.75" customHeight="1">
      <c r="A858" s="141" t="s">
        <v>1948</v>
      </c>
      <c r="B858" s="142">
        <v>46091.970724583334</v>
      </c>
      <c r="C858" s="137">
        <v>0.9701388888888889</v>
      </c>
      <c r="D858" s="138" t="s">
        <v>1949</v>
      </c>
      <c r="E858" s="139">
        <v>0.714</v>
      </c>
      <c r="F858" s="140">
        <v>2499.0</v>
      </c>
      <c r="G858" s="140">
        <v>2499.0</v>
      </c>
      <c r="H858" s="82"/>
    </row>
    <row r="859" ht="15.75" customHeight="1">
      <c r="A859" s="141" t="s">
        <v>1948</v>
      </c>
      <c r="B859" s="142">
        <v>46091.970724583334</v>
      </c>
      <c r="C859" s="137">
        <v>0.9701388888888889</v>
      </c>
      <c r="D859" s="138" t="s">
        <v>1950</v>
      </c>
      <c r="E859" s="139">
        <v>0.136</v>
      </c>
      <c r="F859" s="140">
        <v>748.0</v>
      </c>
      <c r="G859" s="140">
        <v>748.0</v>
      </c>
      <c r="H859" s="82"/>
    </row>
    <row r="860" ht="15.75" customHeight="1">
      <c r="A860" s="141" t="s">
        <v>1948</v>
      </c>
      <c r="B860" s="142">
        <v>46091.970724583334</v>
      </c>
      <c r="C860" s="137">
        <v>0.9701388888888889</v>
      </c>
      <c r="D860" s="138" t="s">
        <v>1951</v>
      </c>
      <c r="E860" s="139">
        <v>0.14</v>
      </c>
      <c r="F860" s="140">
        <v>980.0</v>
      </c>
      <c r="G860" s="140">
        <v>980.0</v>
      </c>
      <c r="H860" s="82"/>
    </row>
    <row r="861" ht="15.75" customHeight="1">
      <c r="A861" s="141" t="s">
        <v>1948</v>
      </c>
      <c r="B861" s="142">
        <v>46091.970724583334</v>
      </c>
      <c r="C861" s="137">
        <v>0.9701388888888889</v>
      </c>
      <c r="D861" s="138" t="s">
        <v>536</v>
      </c>
      <c r="E861" s="139">
        <v>1.0</v>
      </c>
      <c r="F861" s="140">
        <v>6700.0</v>
      </c>
      <c r="G861" s="140">
        <v>6700.0</v>
      </c>
      <c r="H861" s="82"/>
    </row>
    <row r="862" ht="15.75" customHeight="1">
      <c r="A862" s="82"/>
      <c r="B862" s="136">
        <v>46091.970724583334</v>
      </c>
      <c r="C862" s="137">
        <v>0.9701388888888889</v>
      </c>
      <c r="D862" s="138" t="s">
        <v>1952</v>
      </c>
      <c r="E862" s="139">
        <v>4.0</v>
      </c>
      <c r="F862" s="138" t="s">
        <v>1297</v>
      </c>
      <c r="G862" s="138" t="s">
        <v>1406</v>
      </c>
      <c r="H862" s="140">
        <v>10927.0</v>
      </c>
    </row>
    <row r="863" ht="15.75" customHeight="1">
      <c r="A863" s="141" t="s">
        <v>1953</v>
      </c>
      <c r="B863" s="142">
        <v>46091.97868681713</v>
      </c>
      <c r="C863" s="137">
        <v>0.9784722222222222</v>
      </c>
      <c r="D863" s="138" t="s">
        <v>1564</v>
      </c>
      <c r="E863" s="139">
        <v>1.0</v>
      </c>
      <c r="F863" s="140">
        <v>4000.0</v>
      </c>
      <c r="G863" s="140">
        <v>4000.0</v>
      </c>
      <c r="H863" s="82"/>
    </row>
    <row r="864" ht="15.75" customHeight="1">
      <c r="A864" s="141" t="s">
        <v>1953</v>
      </c>
      <c r="B864" s="142">
        <v>46091.97868681713</v>
      </c>
      <c r="C864" s="137">
        <v>0.9784722222222222</v>
      </c>
      <c r="D864" s="138" t="s">
        <v>544</v>
      </c>
      <c r="E864" s="139">
        <v>1.0</v>
      </c>
      <c r="F864" s="140">
        <v>7200.0</v>
      </c>
      <c r="G864" s="140">
        <v>7200.0</v>
      </c>
      <c r="H864" s="82"/>
    </row>
    <row r="865" ht="15.75" customHeight="1">
      <c r="A865" s="141" t="s">
        <v>1953</v>
      </c>
      <c r="B865" s="142">
        <v>46091.97868681713</v>
      </c>
      <c r="C865" s="137">
        <v>0.9784722222222222</v>
      </c>
      <c r="D865" s="138" t="s">
        <v>1271</v>
      </c>
      <c r="E865" s="139">
        <v>1.0</v>
      </c>
      <c r="F865" s="140">
        <v>5000.0</v>
      </c>
      <c r="G865" s="140">
        <v>5000.0</v>
      </c>
      <c r="H865" s="82"/>
    </row>
    <row r="866" ht="15.75" customHeight="1">
      <c r="A866" s="82"/>
      <c r="B866" s="136">
        <v>46091.97868681713</v>
      </c>
      <c r="C866" s="137">
        <v>0.9784722222222222</v>
      </c>
      <c r="D866" s="138" t="s">
        <v>1954</v>
      </c>
      <c r="E866" s="139">
        <v>3.0</v>
      </c>
      <c r="F866" s="138" t="s">
        <v>1297</v>
      </c>
      <c r="G866" s="138" t="s">
        <v>1406</v>
      </c>
      <c r="H866" s="140">
        <v>16200.0</v>
      </c>
    </row>
    <row r="867" ht="15.75" customHeight="1">
      <c r="A867" s="141" t="s">
        <v>1955</v>
      </c>
      <c r="B867" s="142">
        <v>46091.9814684375</v>
      </c>
      <c r="C867" s="137">
        <v>0.98125</v>
      </c>
      <c r="D867" s="138" t="s">
        <v>1564</v>
      </c>
      <c r="E867" s="139">
        <v>1.0</v>
      </c>
      <c r="F867" s="140">
        <v>4000.0</v>
      </c>
      <c r="G867" s="140">
        <v>4000.0</v>
      </c>
      <c r="H867" s="82"/>
    </row>
    <row r="868" ht="15.75" customHeight="1">
      <c r="A868" s="141" t="s">
        <v>1955</v>
      </c>
      <c r="B868" s="142">
        <v>46091.9814684375</v>
      </c>
      <c r="C868" s="137">
        <v>0.98125</v>
      </c>
      <c r="D868" s="138" t="s">
        <v>721</v>
      </c>
      <c r="E868" s="139">
        <v>1.0</v>
      </c>
      <c r="F868" s="140">
        <v>4500.0</v>
      </c>
      <c r="G868" s="140">
        <v>4500.0</v>
      </c>
      <c r="H868" s="82"/>
    </row>
    <row r="869" ht="15.75" customHeight="1">
      <c r="A869" s="82"/>
      <c r="B869" s="136">
        <v>46091.9814684375</v>
      </c>
      <c r="C869" s="137">
        <v>0.98125</v>
      </c>
      <c r="D869" s="138" t="s">
        <v>1956</v>
      </c>
      <c r="E869" s="139">
        <v>2.0</v>
      </c>
      <c r="F869" s="138" t="s">
        <v>1297</v>
      </c>
      <c r="G869" s="138" t="s">
        <v>1406</v>
      </c>
      <c r="H869" s="140">
        <v>8500.0</v>
      </c>
    </row>
    <row r="870" ht="15.75" customHeight="1">
      <c r="A870" s="141" t="s">
        <v>1957</v>
      </c>
      <c r="B870" s="142">
        <v>46092.52111314815</v>
      </c>
      <c r="C870" s="137">
        <v>0.5208333333333334</v>
      </c>
      <c r="D870" s="138" t="s">
        <v>1673</v>
      </c>
      <c r="E870" s="139">
        <v>0.75</v>
      </c>
      <c r="F870" s="140">
        <v>3000.0</v>
      </c>
      <c r="G870" s="140">
        <v>3000.0</v>
      </c>
      <c r="H870" s="82"/>
    </row>
    <row r="871" ht="15.75" customHeight="1">
      <c r="A871" s="141" t="s">
        <v>1957</v>
      </c>
      <c r="B871" s="142">
        <v>46092.52111314815</v>
      </c>
      <c r="C871" s="137">
        <v>0.5208333333333334</v>
      </c>
      <c r="D871" s="138" t="s">
        <v>1048</v>
      </c>
      <c r="E871" s="139">
        <v>1.0</v>
      </c>
      <c r="F871" s="140">
        <v>2500.0</v>
      </c>
      <c r="G871" s="140">
        <v>2500.0</v>
      </c>
      <c r="H871" s="82"/>
    </row>
    <row r="872" ht="15.75" customHeight="1">
      <c r="A872" s="141" t="s">
        <v>1957</v>
      </c>
      <c r="B872" s="142">
        <v>46092.52111314815</v>
      </c>
      <c r="C872" s="137">
        <v>0.5208333333333334</v>
      </c>
      <c r="D872" s="138" t="s">
        <v>998</v>
      </c>
      <c r="E872" s="139">
        <v>1.0</v>
      </c>
      <c r="F872" s="140">
        <v>4500.0</v>
      </c>
      <c r="G872" s="140">
        <v>4500.0</v>
      </c>
      <c r="H872" s="82"/>
    </row>
    <row r="873" ht="15.75" customHeight="1">
      <c r="A873" s="82"/>
      <c r="B873" s="136">
        <v>46092.52111314815</v>
      </c>
      <c r="C873" s="137">
        <v>0.5208333333333334</v>
      </c>
      <c r="D873" s="138" t="s">
        <v>1958</v>
      </c>
      <c r="E873" s="139">
        <v>3.0</v>
      </c>
      <c r="F873" s="138" t="s">
        <v>1297</v>
      </c>
      <c r="G873" s="138" t="s">
        <v>1406</v>
      </c>
      <c r="H873" s="140">
        <v>10000.0</v>
      </c>
    </row>
    <row r="874" ht="15.75" customHeight="1">
      <c r="A874" s="141" t="s">
        <v>1959</v>
      </c>
      <c r="B874" s="142">
        <v>46092.52170803241</v>
      </c>
      <c r="C874" s="137">
        <v>0.5215277777777778</v>
      </c>
      <c r="D874" s="138" t="s">
        <v>363</v>
      </c>
      <c r="E874" s="139">
        <v>1.0</v>
      </c>
      <c r="F874" s="140">
        <v>2000.0</v>
      </c>
      <c r="G874" s="140">
        <v>2000.0</v>
      </c>
      <c r="H874" s="82"/>
    </row>
    <row r="875" ht="15.75" customHeight="1">
      <c r="A875" s="82"/>
      <c r="B875" s="136">
        <v>46092.52170803241</v>
      </c>
      <c r="C875" s="137">
        <v>0.5215277777777778</v>
      </c>
      <c r="D875" s="138" t="s">
        <v>1960</v>
      </c>
      <c r="E875" s="139">
        <v>1.0</v>
      </c>
      <c r="F875" s="138" t="s">
        <v>1297</v>
      </c>
      <c r="G875" s="138" t="s">
        <v>1406</v>
      </c>
      <c r="H875" s="140">
        <v>2000.0</v>
      </c>
    </row>
    <row r="876" ht="15.75" customHeight="1">
      <c r="A876" s="141" t="s">
        <v>1961</v>
      </c>
      <c r="B876" s="142">
        <v>46092.52393674769</v>
      </c>
      <c r="C876" s="137">
        <v>0.5236111111111111</v>
      </c>
      <c r="D876" s="138" t="s">
        <v>1962</v>
      </c>
      <c r="E876" s="139">
        <v>0.143</v>
      </c>
      <c r="F876" s="140">
        <v>1001.0</v>
      </c>
      <c r="G876" s="140">
        <v>1001.0</v>
      </c>
      <c r="H876" s="82"/>
    </row>
    <row r="877" ht="15.75" customHeight="1">
      <c r="A877" s="82"/>
      <c r="B877" s="136">
        <v>46092.52393674769</v>
      </c>
      <c r="C877" s="137">
        <v>0.5236111111111111</v>
      </c>
      <c r="D877" s="138" t="s">
        <v>1963</v>
      </c>
      <c r="E877" s="139">
        <v>1.0</v>
      </c>
      <c r="F877" s="138" t="s">
        <v>1297</v>
      </c>
      <c r="G877" s="138" t="s">
        <v>1406</v>
      </c>
      <c r="H877" s="140">
        <v>1001.0</v>
      </c>
    </row>
    <row r="878" ht="15.75" customHeight="1">
      <c r="A878" s="141" t="s">
        <v>1964</v>
      </c>
      <c r="B878" s="142">
        <v>46092.58088138889</v>
      </c>
      <c r="C878" s="137">
        <v>0.5805555555555556</v>
      </c>
      <c r="D878" s="138" t="s">
        <v>325</v>
      </c>
      <c r="E878" s="139">
        <v>2.0</v>
      </c>
      <c r="F878" s="140">
        <v>125.0</v>
      </c>
      <c r="G878" s="140">
        <v>250.0</v>
      </c>
      <c r="H878" s="82"/>
    </row>
    <row r="879" ht="15.75" customHeight="1">
      <c r="A879" s="141" t="s">
        <v>1964</v>
      </c>
      <c r="B879" s="142">
        <v>46092.58088138889</v>
      </c>
      <c r="C879" s="137">
        <v>0.5805555555555556</v>
      </c>
      <c r="D879" s="138" t="s">
        <v>327</v>
      </c>
      <c r="E879" s="139">
        <v>2.0</v>
      </c>
      <c r="F879" s="140">
        <v>125.0</v>
      </c>
      <c r="G879" s="140">
        <v>250.0</v>
      </c>
      <c r="H879" s="82"/>
    </row>
    <row r="880" ht="15.75" customHeight="1">
      <c r="A880" s="141" t="s">
        <v>1964</v>
      </c>
      <c r="B880" s="142">
        <v>46092.58088138889</v>
      </c>
      <c r="C880" s="137">
        <v>0.5805555555555556</v>
      </c>
      <c r="D880" s="138" t="s">
        <v>1275</v>
      </c>
      <c r="E880" s="139">
        <v>1.0</v>
      </c>
      <c r="F880" s="140">
        <v>1000.0</v>
      </c>
      <c r="G880" s="140">
        <v>1000.0</v>
      </c>
      <c r="H880" s="82"/>
    </row>
    <row r="881" ht="15.75" customHeight="1">
      <c r="A881" s="141" t="s">
        <v>1964</v>
      </c>
      <c r="B881" s="142">
        <v>46092.58088138889</v>
      </c>
      <c r="C881" s="137">
        <v>0.5805555555555556</v>
      </c>
      <c r="D881" s="138" t="s">
        <v>501</v>
      </c>
      <c r="E881" s="139">
        <v>1.0</v>
      </c>
      <c r="F881" s="140">
        <v>1000.0</v>
      </c>
      <c r="G881" s="140">
        <v>1000.0</v>
      </c>
      <c r="H881" s="82"/>
    </row>
    <row r="882" ht="15.75" customHeight="1">
      <c r="A882" s="141" t="s">
        <v>1964</v>
      </c>
      <c r="B882" s="142">
        <v>46092.58088138889</v>
      </c>
      <c r="C882" s="137">
        <v>0.5805555555555556</v>
      </c>
      <c r="D882" s="138" t="s">
        <v>497</v>
      </c>
      <c r="E882" s="139">
        <v>2.0</v>
      </c>
      <c r="F882" s="140">
        <v>800.0</v>
      </c>
      <c r="G882" s="140">
        <v>1600.0</v>
      </c>
      <c r="H882" s="82"/>
    </row>
    <row r="883" ht="15.75" customHeight="1">
      <c r="A883" s="82"/>
      <c r="B883" s="136">
        <v>46092.58088138889</v>
      </c>
      <c r="C883" s="137">
        <v>0.5805555555555556</v>
      </c>
      <c r="D883" s="138" t="s">
        <v>1965</v>
      </c>
      <c r="E883" s="139">
        <v>8.0</v>
      </c>
      <c r="F883" s="138" t="s">
        <v>1297</v>
      </c>
      <c r="G883" s="138" t="s">
        <v>1406</v>
      </c>
      <c r="H883" s="140">
        <v>4100.0</v>
      </c>
    </row>
    <row r="884" ht="15.75" customHeight="1">
      <c r="A884" s="141" t="s">
        <v>1966</v>
      </c>
      <c r="B884" s="142">
        <v>46092.586106689814</v>
      </c>
      <c r="C884" s="137">
        <v>0.5854166666666667</v>
      </c>
      <c r="D884" s="138" t="s">
        <v>998</v>
      </c>
      <c r="E884" s="139">
        <v>1.0</v>
      </c>
      <c r="F884" s="140">
        <v>4500.0</v>
      </c>
      <c r="G884" s="140">
        <v>4500.0</v>
      </c>
      <c r="H884" s="82"/>
    </row>
    <row r="885" ht="15.75" customHeight="1">
      <c r="A885" s="82"/>
      <c r="B885" s="136">
        <v>46092.586106689814</v>
      </c>
      <c r="C885" s="137">
        <v>0.5854166666666667</v>
      </c>
      <c r="D885" s="138" t="s">
        <v>1967</v>
      </c>
      <c r="E885" s="139">
        <v>1.0</v>
      </c>
      <c r="F885" s="138" t="s">
        <v>1297</v>
      </c>
      <c r="G885" s="138" t="s">
        <v>1406</v>
      </c>
      <c r="H885" s="140">
        <v>4500.0</v>
      </c>
    </row>
    <row r="886" ht="15.75" customHeight="1">
      <c r="A886" s="141" t="s">
        <v>1968</v>
      </c>
      <c r="B886" s="142">
        <v>46092.62061878473</v>
      </c>
      <c r="C886" s="137">
        <v>0.6201388888888889</v>
      </c>
      <c r="D886" s="138" t="s">
        <v>1515</v>
      </c>
      <c r="E886" s="139">
        <v>0.5</v>
      </c>
      <c r="F886" s="140">
        <v>2000.0</v>
      </c>
      <c r="G886" s="140">
        <v>2000.0</v>
      </c>
      <c r="H886" s="82"/>
    </row>
    <row r="887" ht="15.75" customHeight="1">
      <c r="A887" s="141" t="s">
        <v>1968</v>
      </c>
      <c r="B887" s="142">
        <v>46092.62061878473</v>
      </c>
      <c r="C887" s="137">
        <v>0.6201388888888889</v>
      </c>
      <c r="D887" s="138" t="s">
        <v>72</v>
      </c>
      <c r="E887" s="139">
        <v>1.0</v>
      </c>
      <c r="F887" s="140">
        <v>2000.0</v>
      </c>
      <c r="G887" s="140">
        <v>2000.0</v>
      </c>
      <c r="H887" s="82"/>
    </row>
    <row r="888" ht="15.75" customHeight="1">
      <c r="A888" s="82"/>
      <c r="B888" s="136">
        <v>46092.62061878473</v>
      </c>
      <c r="C888" s="137">
        <v>0.6201388888888889</v>
      </c>
      <c r="D888" s="138" t="s">
        <v>1969</v>
      </c>
      <c r="E888" s="139">
        <v>2.0</v>
      </c>
      <c r="F888" s="138" t="s">
        <v>1297</v>
      </c>
      <c r="G888" s="138" t="s">
        <v>1406</v>
      </c>
      <c r="H888" s="140">
        <v>4000.0</v>
      </c>
    </row>
    <row r="889" ht="15.75" customHeight="1">
      <c r="A889" s="82"/>
      <c r="B889" s="82"/>
      <c r="C889" s="82"/>
      <c r="D889" s="82"/>
      <c r="E889" s="143"/>
      <c r="F889" s="82"/>
      <c r="G889" s="82"/>
      <c r="H889" s="82"/>
    </row>
    <row r="890" ht="15.75" customHeight="1">
      <c r="A890" s="82"/>
      <c r="B890" s="82"/>
      <c r="C890" s="82"/>
      <c r="D890" s="82"/>
      <c r="E890" s="143"/>
      <c r="F890" s="82"/>
      <c r="G890" s="82"/>
      <c r="H890" s="82"/>
    </row>
    <row r="891" ht="15.75" customHeight="1">
      <c r="A891" s="82"/>
      <c r="B891" s="82"/>
      <c r="C891" s="82"/>
      <c r="D891" s="82"/>
      <c r="E891" s="143"/>
      <c r="F891" s="82"/>
      <c r="G891" s="82"/>
      <c r="H891" s="82"/>
    </row>
    <row r="892" ht="15.75" customHeight="1">
      <c r="A892" s="82"/>
      <c r="B892" s="82"/>
      <c r="C892" s="82"/>
      <c r="D892" s="82"/>
      <c r="E892" s="143"/>
      <c r="F892" s="82"/>
      <c r="G892" s="82"/>
      <c r="H892" s="82"/>
    </row>
    <row r="893" ht="15.75" customHeight="1">
      <c r="A893" s="82"/>
      <c r="B893" s="82"/>
      <c r="C893" s="82"/>
      <c r="D893" s="82"/>
      <c r="E893" s="143"/>
      <c r="F893" s="82"/>
      <c r="G893" s="82"/>
      <c r="H893" s="82"/>
    </row>
    <row r="894" ht="15.75" customHeight="1">
      <c r="A894" s="82"/>
      <c r="B894" s="82"/>
      <c r="C894" s="82"/>
      <c r="D894" s="82"/>
      <c r="E894" s="143"/>
      <c r="F894" s="82"/>
      <c r="G894" s="82"/>
      <c r="H894" s="82"/>
    </row>
    <row r="895" ht="15.75" customHeight="1">
      <c r="A895" s="82"/>
      <c r="B895" s="82"/>
      <c r="C895" s="82"/>
      <c r="D895" s="82"/>
      <c r="E895" s="143"/>
      <c r="F895" s="82"/>
      <c r="G895" s="82"/>
      <c r="H895" s="82"/>
    </row>
    <row r="896" ht="15.75" customHeight="1">
      <c r="A896" s="82"/>
      <c r="B896" s="82"/>
      <c r="C896" s="82"/>
      <c r="D896" s="82"/>
      <c r="E896" s="143"/>
      <c r="F896" s="82"/>
      <c r="G896" s="82"/>
      <c r="H896" s="82"/>
    </row>
    <row r="897" ht="15.75" customHeight="1">
      <c r="A897" s="82"/>
      <c r="B897" s="82"/>
      <c r="C897" s="82"/>
      <c r="D897" s="82"/>
      <c r="E897" s="143"/>
      <c r="F897" s="82"/>
      <c r="G897" s="82"/>
      <c r="H897" s="82"/>
    </row>
    <row r="898" ht="15.75" customHeight="1">
      <c r="A898" s="82"/>
      <c r="B898" s="82"/>
      <c r="C898" s="82"/>
      <c r="D898" s="82"/>
      <c r="E898" s="143"/>
      <c r="F898" s="82"/>
      <c r="G898" s="82"/>
      <c r="H898" s="82"/>
    </row>
    <row r="899" ht="15.75" customHeight="1">
      <c r="A899" s="82"/>
      <c r="B899" s="82"/>
      <c r="C899" s="82"/>
      <c r="D899" s="82"/>
      <c r="E899" s="143"/>
      <c r="F899" s="82"/>
      <c r="G899" s="82"/>
      <c r="H899" s="82"/>
    </row>
    <row r="900" ht="15.75" customHeight="1">
      <c r="A900" s="82"/>
      <c r="B900" s="82"/>
      <c r="C900" s="82"/>
      <c r="D900" s="82"/>
      <c r="E900" s="143"/>
      <c r="F900" s="82"/>
      <c r="G900" s="82"/>
      <c r="H900" s="82"/>
    </row>
    <row r="901" ht="15.75" customHeight="1">
      <c r="A901" s="82"/>
      <c r="B901" s="82"/>
      <c r="C901" s="82"/>
      <c r="D901" s="82"/>
      <c r="E901" s="143"/>
      <c r="F901" s="82"/>
      <c r="G901" s="82"/>
      <c r="H901" s="82"/>
    </row>
    <row r="902" ht="15.75" customHeight="1">
      <c r="A902" s="82"/>
      <c r="B902" s="82"/>
      <c r="C902" s="82"/>
      <c r="D902" s="82"/>
      <c r="E902" s="143"/>
      <c r="F902" s="82"/>
      <c r="G902" s="82"/>
      <c r="H902" s="82"/>
    </row>
    <row r="903" ht="15.75" customHeight="1">
      <c r="A903" s="82"/>
      <c r="B903" s="82"/>
      <c r="C903" s="82"/>
      <c r="D903" s="82"/>
      <c r="E903" s="143"/>
      <c r="F903" s="82"/>
      <c r="G903" s="82"/>
      <c r="H903" s="82"/>
    </row>
    <row r="904" ht="15.75" customHeight="1">
      <c r="A904" s="82"/>
      <c r="B904" s="82"/>
      <c r="C904" s="82"/>
      <c r="D904" s="82"/>
      <c r="E904" s="143"/>
      <c r="F904" s="82"/>
      <c r="G904" s="82"/>
      <c r="H904" s="82"/>
    </row>
    <row r="905" ht="15.75" customHeight="1">
      <c r="A905" s="82"/>
      <c r="B905" s="82"/>
      <c r="C905" s="82"/>
      <c r="D905" s="82"/>
      <c r="E905" s="143"/>
      <c r="F905" s="82"/>
      <c r="G905" s="82"/>
      <c r="H905" s="82"/>
    </row>
    <row r="906" ht="15.75" customHeight="1">
      <c r="A906" s="82"/>
      <c r="B906" s="82"/>
      <c r="C906" s="82"/>
      <c r="D906" s="82"/>
      <c r="E906" s="143"/>
      <c r="F906" s="82"/>
      <c r="G906" s="82"/>
      <c r="H906" s="82"/>
    </row>
    <row r="907" ht="15.75" customHeight="1">
      <c r="A907" s="82"/>
      <c r="B907" s="82"/>
      <c r="C907" s="82"/>
      <c r="D907" s="82"/>
      <c r="E907" s="143"/>
      <c r="F907" s="82"/>
      <c r="G907" s="82"/>
      <c r="H907" s="82"/>
    </row>
    <row r="908" ht="15.75" customHeight="1">
      <c r="A908" s="82"/>
      <c r="B908" s="82"/>
      <c r="C908" s="82"/>
      <c r="D908" s="82"/>
      <c r="E908" s="143"/>
      <c r="F908" s="82"/>
      <c r="G908" s="82"/>
      <c r="H908" s="82"/>
    </row>
    <row r="909" ht="15.75" customHeight="1">
      <c r="A909" s="82"/>
      <c r="B909" s="82"/>
      <c r="C909" s="82"/>
      <c r="D909" s="82"/>
      <c r="E909" s="143"/>
      <c r="F909" s="82"/>
      <c r="G909" s="82"/>
      <c r="H909" s="82"/>
    </row>
    <row r="910" ht="15.75" customHeight="1">
      <c r="A910" s="82"/>
      <c r="B910" s="82"/>
      <c r="C910" s="82"/>
      <c r="D910" s="82"/>
      <c r="E910" s="143"/>
      <c r="F910" s="82"/>
      <c r="G910" s="82"/>
      <c r="H910" s="82"/>
    </row>
    <row r="911" ht="15.75" customHeight="1">
      <c r="A911" s="82"/>
      <c r="B911" s="82"/>
      <c r="C911" s="82"/>
      <c r="D911" s="82"/>
      <c r="E911" s="143"/>
      <c r="F911" s="82"/>
      <c r="G911" s="82"/>
      <c r="H911" s="82"/>
    </row>
    <row r="912" ht="15.75" customHeight="1">
      <c r="A912" s="82"/>
      <c r="B912" s="82"/>
      <c r="C912" s="82"/>
      <c r="D912" s="82"/>
      <c r="E912" s="143"/>
      <c r="F912" s="82"/>
      <c r="G912" s="82"/>
      <c r="H912" s="82"/>
    </row>
    <row r="913" ht="15.75" customHeight="1">
      <c r="A913" s="82"/>
      <c r="B913" s="82"/>
      <c r="C913" s="82"/>
      <c r="D913" s="82"/>
      <c r="E913" s="143"/>
      <c r="F913" s="82"/>
      <c r="G913" s="82"/>
      <c r="H913" s="82"/>
    </row>
    <row r="914" ht="15.75" customHeight="1">
      <c r="A914" s="82"/>
      <c r="B914" s="82"/>
      <c r="C914" s="82"/>
      <c r="D914" s="82"/>
      <c r="E914" s="143"/>
      <c r="F914" s="82"/>
      <c r="G914" s="82"/>
      <c r="H914" s="82"/>
    </row>
    <row r="915" ht="15.75" customHeight="1">
      <c r="A915" s="82"/>
      <c r="B915" s="82"/>
      <c r="C915" s="82"/>
      <c r="D915" s="82"/>
      <c r="E915" s="143"/>
      <c r="F915" s="82"/>
      <c r="G915" s="82"/>
      <c r="H915" s="82"/>
    </row>
    <row r="916" ht="15.75" customHeight="1">
      <c r="A916" s="82"/>
      <c r="B916" s="82"/>
      <c r="C916" s="82"/>
      <c r="D916" s="82"/>
      <c r="E916" s="143"/>
      <c r="F916" s="82"/>
      <c r="G916" s="82"/>
      <c r="H916" s="82"/>
    </row>
    <row r="917" ht="15.75" customHeight="1">
      <c r="A917" s="82"/>
      <c r="B917" s="82"/>
      <c r="C917" s="82"/>
      <c r="D917" s="82"/>
      <c r="E917" s="143"/>
      <c r="F917" s="82"/>
      <c r="G917" s="82"/>
      <c r="H917" s="82"/>
    </row>
    <row r="918" ht="15.75" customHeight="1">
      <c r="A918" s="82"/>
      <c r="B918" s="82"/>
      <c r="C918" s="82"/>
      <c r="D918" s="82"/>
      <c r="E918" s="143"/>
      <c r="F918" s="82"/>
      <c r="G918" s="82"/>
      <c r="H918" s="82"/>
    </row>
    <row r="919" ht="15.75" customHeight="1">
      <c r="A919" s="82"/>
      <c r="B919" s="82"/>
      <c r="C919" s="82"/>
      <c r="D919" s="82"/>
      <c r="E919" s="143"/>
      <c r="F919" s="82"/>
      <c r="G919" s="82"/>
      <c r="H919" s="82"/>
    </row>
    <row r="920" ht="15.75" customHeight="1">
      <c r="A920" s="82"/>
      <c r="B920" s="82"/>
      <c r="C920" s="82"/>
      <c r="D920" s="82"/>
      <c r="E920" s="143"/>
      <c r="F920" s="82"/>
      <c r="G920" s="82"/>
      <c r="H920" s="82"/>
    </row>
    <row r="921" ht="15.75" customHeight="1">
      <c r="A921" s="82"/>
      <c r="B921" s="82"/>
      <c r="C921" s="82"/>
      <c r="D921" s="82"/>
      <c r="E921" s="143"/>
      <c r="F921" s="82"/>
      <c r="G921" s="82"/>
      <c r="H921" s="82"/>
    </row>
    <row r="922" ht="15.75" customHeight="1">
      <c r="A922" s="82"/>
      <c r="B922" s="82"/>
      <c r="C922" s="82"/>
      <c r="D922" s="82"/>
      <c r="E922" s="143"/>
      <c r="F922" s="82"/>
      <c r="G922" s="82"/>
      <c r="H922" s="82"/>
    </row>
    <row r="923" ht="15.75" customHeight="1">
      <c r="A923" s="82"/>
      <c r="B923" s="82"/>
      <c r="C923" s="82"/>
      <c r="D923" s="82"/>
      <c r="E923" s="143"/>
      <c r="F923" s="82"/>
      <c r="G923" s="82"/>
      <c r="H923" s="82"/>
    </row>
    <row r="924" ht="15.75" customHeight="1">
      <c r="A924" s="82"/>
      <c r="B924" s="82"/>
      <c r="C924" s="82"/>
      <c r="D924" s="82"/>
      <c r="E924" s="143"/>
      <c r="F924" s="82"/>
      <c r="G924" s="82"/>
      <c r="H924" s="82"/>
    </row>
    <row r="925" ht="15.75" customHeight="1">
      <c r="A925" s="82"/>
      <c r="B925" s="82"/>
      <c r="C925" s="82"/>
      <c r="D925" s="82"/>
      <c r="E925" s="143"/>
      <c r="F925" s="82"/>
      <c r="G925" s="82"/>
      <c r="H925" s="82"/>
    </row>
    <row r="926" ht="15.75" customHeight="1">
      <c r="A926" s="82"/>
      <c r="B926" s="82"/>
      <c r="C926" s="82"/>
      <c r="D926" s="82"/>
      <c r="E926" s="143"/>
      <c r="F926" s="82"/>
      <c r="G926" s="82"/>
      <c r="H926" s="82"/>
    </row>
    <row r="927" ht="15.75" customHeight="1">
      <c r="A927" s="82"/>
      <c r="B927" s="82"/>
      <c r="C927" s="82"/>
      <c r="D927" s="82"/>
      <c r="E927" s="143"/>
      <c r="F927" s="82"/>
      <c r="G927" s="82"/>
      <c r="H927" s="82"/>
    </row>
    <row r="928" ht="15.75" customHeight="1">
      <c r="A928" s="82"/>
      <c r="B928" s="82"/>
      <c r="C928" s="82"/>
      <c r="D928" s="82"/>
      <c r="E928" s="143"/>
      <c r="F928" s="82"/>
      <c r="G928" s="82"/>
      <c r="H928" s="82"/>
    </row>
    <row r="929" ht="15.75" customHeight="1">
      <c r="A929" s="82"/>
      <c r="B929" s="82"/>
      <c r="C929" s="82"/>
      <c r="D929" s="82"/>
      <c r="E929" s="143"/>
      <c r="F929" s="82"/>
      <c r="G929" s="82"/>
      <c r="H929" s="82"/>
    </row>
    <row r="930" ht="15.75" customHeight="1">
      <c r="A930" s="82"/>
      <c r="B930" s="82"/>
      <c r="C930" s="82"/>
      <c r="D930" s="82"/>
      <c r="E930" s="143"/>
      <c r="F930" s="82"/>
      <c r="G930" s="82"/>
      <c r="H930" s="82"/>
    </row>
    <row r="931" ht="15.75" customHeight="1">
      <c r="A931" s="82"/>
      <c r="B931" s="82"/>
      <c r="C931" s="82"/>
      <c r="D931" s="82"/>
      <c r="E931" s="143"/>
      <c r="F931" s="82"/>
      <c r="G931" s="82"/>
      <c r="H931" s="82"/>
    </row>
    <row r="932" ht="15.75" customHeight="1">
      <c r="A932" s="82"/>
      <c r="B932" s="82"/>
      <c r="C932" s="82"/>
      <c r="D932" s="82"/>
      <c r="E932" s="143"/>
      <c r="F932" s="82"/>
      <c r="G932" s="82"/>
      <c r="H932" s="82"/>
    </row>
    <row r="933" ht="15.75" customHeight="1">
      <c r="A933" s="82"/>
      <c r="B933" s="82"/>
      <c r="C933" s="82"/>
      <c r="D933" s="82"/>
      <c r="E933" s="143"/>
      <c r="F933" s="82"/>
      <c r="G933" s="82"/>
      <c r="H933" s="82"/>
    </row>
    <row r="934" ht="15.75" customHeight="1">
      <c r="A934" s="82"/>
      <c r="B934" s="82"/>
      <c r="C934" s="82"/>
      <c r="D934" s="82"/>
      <c r="E934" s="143"/>
      <c r="F934" s="82"/>
      <c r="G934" s="82"/>
      <c r="H934" s="82"/>
    </row>
    <row r="935" ht="15.75" customHeight="1">
      <c r="A935" s="82"/>
      <c r="B935" s="82"/>
      <c r="C935" s="82"/>
      <c r="D935" s="82"/>
      <c r="E935" s="143"/>
      <c r="F935" s="82"/>
      <c r="G935" s="82"/>
      <c r="H935" s="82"/>
    </row>
    <row r="936" ht="15.75" customHeight="1">
      <c r="A936" s="82"/>
      <c r="B936" s="82"/>
      <c r="C936" s="82"/>
      <c r="D936" s="82"/>
      <c r="E936" s="143"/>
      <c r="F936" s="82"/>
      <c r="G936" s="82"/>
      <c r="H936" s="82"/>
    </row>
    <row r="937" ht="15.75" customHeight="1">
      <c r="A937" s="82"/>
      <c r="B937" s="82"/>
      <c r="C937" s="82"/>
      <c r="D937" s="82"/>
      <c r="E937" s="143"/>
      <c r="F937" s="82"/>
      <c r="G937" s="82"/>
      <c r="H937" s="82"/>
    </row>
    <row r="938" ht="15.75" customHeight="1">
      <c r="A938" s="82"/>
      <c r="B938" s="82"/>
      <c r="C938" s="82"/>
      <c r="D938" s="82"/>
      <c r="E938" s="143"/>
      <c r="F938" s="82"/>
      <c r="G938" s="82"/>
      <c r="H938" s="82"/>
    </row>
    <row r="939" ht="15.75" customHeight="1">
      <c r="A939" s="82"/>
      <c r="B939" s="82"/>
      <c r="C939" s="82"/>
      <c r="D939" s="82"/>
      <c r="E939" s="143"/>
      <c r="F939" s="82"/>
      <c r="G939" s="82"/>
      <c r="H939" s="82"/>
    </row>
    <row r="940" ht="15.75" customHeight="1">
      <c r="A940" s="82"/>
      <c r="B940" s="82"/>
      <c r="C940" s="82"/>
      <c r="D940" s="82"/>
      <c r="E940" s="143"/>
      <c r="F940" s="82"/>
      <c r="G940" s="82"/>
      <c r="H940" s="82"/>
    </row>
    <row r="941" ht="15.75" customHeight="1">
      <c r="A941" s="82"/>
      <c r="B941" s="82"/>
      <c r="C941" s="82"/>
      <c r="D941" s="82"/>
      <c r="E941" s="143"/>
      <c r="F941" s="82"/>
      <c r="G941" s="82"/>
      <c r="H941" s="82"/>
    </row>
    <row r="942" ht="15.75" customHeight="1">
      <c r="A942" s="82"/>
      <c r="B942" s="82"/>
      <c r="C942" s="82"/>
      <c r="D942" s="82"/>
      <c r="E942" s="143"/>
      <c r="F942" s="82"/>
      <c r="G942" s="82"/>
      <c r="H942" s="82"/>
    </row>
    <row r="943" ht="15.75" customHeight="1">
      <c r="A943" s="82"/>
      <c r="B943" s="82"/>
      <c r="C943" s="82"/>
      <c r="D943" s="82"/>
      <c r="E943" s="143"/>
      <c r="F943" s="82"/>
      <c r="G943" s="82"/>
      <c r="H943" s="82"/>
    </row>
    <row r="944" ht="15.75" customHeight="1">
      <c r="A944" s="82"/>
      <c r="B944" s="82"/>
      <c r="C944" s="82"/>
      <c r="D944" s="82"/>
      <c r="E944" s="143"/>
      <c r="F944" s="82"/>
      <c r="G944" s="82"/>
      <c r="H944" s="82"/>
    </row>
    <row r="945" ht="15.75" customHeight="1">
      <c r="A945" s="82"/>
      <c r="B945" s="82"/>
      <c r="C945" s="82"/>
      <c r="D945" s="82"/>
      <c r="E945" s="143"/>
      <c r="F945" s="82"/>
      <c r="G945" s="82"/>
      <c r="H945" s="82"/>
    </row>
    <row r="946" ht="15.75" customHeight="1">
      <c r="A946" s="82"/>
      <c r="B946" s="82"/>
      <c r="C946" s="82"/>
      <c r="D946" s="82"/>
      <c r="E946" s="143"/>
      <c r="F946" s="82"/>
      <c r="G946" s="82"/>
      <c r="H946" s="82"/>
    </row>
    <row r="947" ht="15.75" customHeight="1">
      <c r="A947" s="82"/>
      <c r="B947" s="82"/>
      <c r="C947" s="82"/>
      <c r="D947" s="82"/>
      <c r="E947" s="143"/>
      <c r="F947" s="82"/>
      <c r="G947" s="82"/>
      <c r="H947" s="82"/>
    </row>
    <row r="948" ht="15.75" customHeight="1">
      <c r="A948" s="82"/>
      <c r="B948" s="82"/>
      <c r="C948" s="82"/>
      <c r="D948" s="82"/>
      <c r="E948" s="143"/>
      <c r="F948" s="82"/>
      <c r="G948" s="82"/>
      <c r="H948" s="82"/>
    </row>
    <row r="949" ht="15.75" customHeight="1">
      <c r="A949" s="82"/>
      <c r="B949" s="82"/>
      <c r="C949" s="82"/>
      <c r="D949" s="82"/>
      <c r="E949" s="143"/>
      <c r="F949" s="82"/>
      <c r="G949" s="82"/>
      <c r="H949" s="82"/>
    </row>
    <row r="950" ht="15.75" customHeight="1">
      <c r="A950" s="82"/>
      <c r="B950" s="82"/>
      <c r="C950" s="82"/>
      <c r="D950" s="82"/>
      <c r="E950" s="143"/>
      <c r="F950" s="82"/>
      <c r="G950" s="82"/>
      <c r="H950" s="82"/>
    </row>
    <row r="951" ht="15.75" customHeight="1">
      <c r="A951" s="82"/>
      <c r="B951" s="82"/>
      <c r="C951" s="82"/>
      <c r="D951" s="82"/>
      <c r="E951" s="143"/>
      <c r="F951" s="82"/>
      <c r="G951" s="82"/>
      <c r="H951" s="82"/>
    </row>
    <row r="952" ht="15.75" customHeight="1">
      <c r="A952" s="82"/>
      <c r="B952" s="82"/>
      <c r="C952" s="82"/>
      <c r="D952" s="82"/>
      <c r="E952" s="143"/>
      <c r="F952" s="82"/>
      <c r="G952" s="82"/>
      <c r="H952" s="82"/>
    </row>
    <row r="953" ht="15.75" customHeight="1">
      <c r="A953" s="82"/>
      <c r="B953" s="82"/>
      <c r="C953" s="82"/>
      <c r="D953" s="82"/>
      <c r="E953" s="143"/>
      <c r="F953" s="82"/>
      <c r="G953" s="82"/>
      <c r="H953" s="82"/>
    </row>
    <row r="954" ht="15.75" customHeight="1">
      <c r="A954" s="82"/>
      <c r="B954" s="82"/>
      <c r="C954" s="82"/>
      <c r="D954" s="82"/>
      <c r="E954" s="143"/>
      <c r="F954" s="82"/>
      <c r="G954" s="82"/>
      <c r="H954" s="82"/>
    </row>
    <row r="955" ht="15.75" customHeight="1">
      <c r="A955" s="82"/>
      <c r="B955" s="82"/>
      <c r="C955" s="82"/>
      <c r="D955" s="82"/>
      <c r="E955" s="143"/>
      <c r="F955" s="82"/>
      <c r="G955" s="82"/>
      <c r="H955" s="82"/>
    </row>
    <row r="956" ht="15.75" customHeight="1">
      <c r="A956" s="82"/>
      <c r="B956" s="82"/>
      <c r="C956" s="82"/>
      <c r="D956" s="82"/>
      <c r="E956" s="143"/>
      <c r="F956" s="82"/>
      <c r="G956" s="82"/>
      <c r="H956" s="82"/>
    </row>
    <row r="957" ht="15.75" customHeight="1">
      <c r="A957" s="82"/>
      <c r="B957" s="82"/>
      <c r="C957" s="82"/>
      <c r="D957" s="82"/>
      <c r="E957" s="143"/>
      <c r="F957" s="82"/>
      <c r="G957" s="82"/>
      <c r="H957" s="82"/>
    </row>
    <row r="958" ht="15.75" customHeight="1">
      <c r="A958" s="82"/>
      <c r="B958" s="82"/>
      <c r="C958" s="82"/>
      <c r="D958" s="82"/>
      <c r="E958" s="143"/>
      <c r="F958" s="82"/>
      <c r="G958" s="82"/>
      <c r="H958" s="82"/>
    </row>
    <row r="959" ht="15.75" customHeight="1">
      <c r="A959" s="82"/>
      <c r="B959" s="82"/>
      <c r="C959" s="82"/>
      <c r="D959" s="82"/>
      <c r="E959" s="143"/>
      <c r="F959" s="82"/>
      <c r="G959" s="82"/>
      <c r="H959" s="82"/>
    </row>
    <row r="960" ht="15.75" customHeight="1">
      <c r="A960" s="82"/>
      <c r="B960" s="82"/>
      <c r="C960" s="82"/>
      <c r="D960" s="82"/>
      <c r="E960" s="143"/>
      <c r="F960" s="82"/>
      <c r="G960" s="82"/>
      <c r="H960" s="82"/>
    </row>
    <row r="961" ht="15.75" customHeight="1">
      <c r="A961" s="82"/>
      <c r="B961" s="82"/>
      <c r="C961" s="82"/>
      <c r="D961" s="82"/>
      <c r="E961" s="143"/>
      <c r="F961" s="82"/>
      <c r="G961" s="82"/>
      <c r="H961" s="82"/>
    </row>
    <row r="962" ht="15.75" customHeight="1">
      <c r="A962" s="82"/>
      <c r="B962" s="82"/>
      <c r="C962" s="82"/>
      <c r="D962" s="82"/>
      <c r="E962" s="143"/>
      <c r="F962" s="82"/>
      <c r="G962" s="82"/>
      <c r="H962" s="82"/>
    </row>
    <row r="963" ht="15.75" customHeight="1">
      <c r="A963" s="82"/>
      <c r="B963" s="82"/>
      <c r="C963" s="82"/>
      <c r="D963" s="82"/>
      <c r="E963" s="143"/>
      <c r="F963" s="82"/>
      <c r="G963" s="82"/>
      <c r="H963" s="82"/>
    </row>
    <row r="964" ht="15.75" customHeight="1">
      <c r="A964" s="82"/>
      <c r="B964" s="82"/>
      <c r="C964" s="82"/>
      <c r="D964" s="82"/>
      <c r="E964" s="143"/>
      <c r="F964" s="82"/>
      <c r="G964" s="82"/>
      <c r="H964" s="82"/>
    </row>
    <row r="965" ht="15.75" customHeight="1">
      <c r="A965" s="82"/>
      <c r="B965" s="82"/>
      <c r="C965" s="82"/>
      <c r="D965" s="82"/>
      <c r="E965" s="143"/>
      <c r="F965" s="82"/>
      <c r="G965" s="82"/>
      <c r="H965" s="82"/>
    </row>
    <row r="966" ht="15.75" customHeight="1">
      <c r="A966" s="82"/>
      <c r="B966" s="82"/>
      <c r="C966" s="82"/>
      <c r="D966" s="82"/>
      <c r="E966" s="143"/>
      <c r="F966" s="82"/>
      <c r="G966" s="82"/>
      <c r="H966" s="82"/>
    </row>
    <row r="967" ht="15.75" customHeight="1">
      <c r="A967" s="82"/>
      <c r="B967" s="82"/>
      <c r="C967" s="82"/>
      <c r="D967" s="82"/>
      <c r="E967" s="143"/>
      <c r="F967" s="82"/>
      <c r="G967" s="82"/>
      <c r="H967" s="82"/>
    </row>
    <row r="968" ht="15.75" customHeight="1">
      <c r="A968" s="82"/>
      <c r="B968" s="82"/>
      <c r="C968" s="82"/>
      <c r="D968" s="82"/>
      <c r="E968" s="143"/>
      <c r="F968" s="82"/>
      <c r="G968" s="82"/>
      <c r="H968" s="82"/>
    </row>
    <row r="969" ht="15.75" customHeight="1">
      <c r="A969" s="82"/>
      <c r="B969" s="82"/>
      <c r="C969" s="82"/>
      <c r="D969" s="82"/>
      <c r="E969" s="143"/>
      <c r="F969" s="82"/>
      <c r="G969" s="82"/>
      <c r="H969" s="82"/>
    </row>
    <row r="970" ht="15.75" customHeight="1">
      <c r="A970" s="82"/>
      <c r="B970" s="82"/>
      <c r="C970" s="82"/>
      <c r="D970" s="82"/>
      <c r="E970" s="143"/>
      <c r="F970" s="82"/>
      <c r="G970" s="82"/>
      <c r="H970" s="82"/>
    </row>
    <row r="971" ht="15.75" customHeight="1">
      <c r="A971" s="82"/>
      <c r="B971" s="82"/>
      <c r="C971" s="82"/>
      <c r="D971" s="82"/>
      <c r="E971" s="143"/>
      <c r="F971" s="82"/>
      <c r="G971" s="82"/>
      <c r="H971" s="82"/>
    </row>
    <row r="972" ht="15.75" customHeight="1">
      <c r="A972" s="82"/>
      <c r="B972" s="82"/>
      <c r="C972" s="82"/>
      <c r="D972" s="82"/>
      <c r="E972" s="143"/>
      <c r="F972" s="82"/>
      <c r="G972" s="82"/>
      <c r="H972" s="82"/>
    </row>
    <row r="973" ht="15.75" customHeight="1">
      <c r="A973" s="82"/>
      <c r="B973" s="82"/>
      <c r="C973" s="82"/>
      <c r="D973" s="82"/>
      <c r="E973" s="143"/>
      <c r="F973" s="82"/>
      <c r="G973" s="82"/>
      <c r="H973" s="82"/>
    </row>
    <row r="974" ht="15.75" customHeight="1">
      <c r="A974" s="82"/>
      <c r="B974" s="82"/>
      <c r="C974" s="82"/>
      <c r="D974" s="82"/>
      <c r="E974" s="143"/>
      <c r="F974" s="82"/>
      <c r="G974" s="82"/>
      <c r="H974" s="82"/>
    </row>
    <row r="975" ht="15.75" customHeight="1">
      <c r="A975" s="82"/>
      <c r="B975" s="82"/>
      <c r="C975" s="82"/>
      <c r="D975" s="82"/>
      <c r="E975" s="143"/>
      <c r="F975" s="82"/>
      <c r="G975" s="82"/>
      <c r="H975" s="82"/>
    </row>
    <row r="976" ht="15.75" customHeight="1">
      <c r="A976" s="82"/>
      <c r="B976" s="82"/>
      <c r="C976" s="82"/>
      <c r="D976" s="82"/>
      <c r="E976" s="143"/>
      <c r="F976" s="82"/>
      <c r="G976" s="82"/>
      <c r="H976" s="82"/>
    </row>
    <row r="977" ht="15.75" customHeight="1">
      <c r="A977" s="82"/>
      <c r="B977" s="82"/>
      <c r="C977" s="82"/>
      <c r="D977" s="82"/>
      <c r="E977" s="143"/>
      <c r="F977" s="82"/>
      <c r="G977" s="82"/>
      <c r="H977" s="82"/>
    </row>
    <row r="978" ht="15.75" customHeight="1">
      <c r="A978" s="82"/>
      <c r="B978" s="82"/>
      <c r="C978" s="82"/>
      <c r="D978" s="82"/>
      <c r="E978" s="143"/>
      <c r="F978" s="82"/>
      <c r="G978" s="82"/>
      <c r="H978" s="82"/>
    </row>
    <row r="979" ht="15.75" customHeight="1">
      <c r="A979" s="82"/>
      <c r="B979" s="82"/>
      <c r="C979" s="82"/>
      <c r="D979" s="82"/>
      <c r="E979" s="143"/>
      <c r="F979" s="82"/>
      <c r="G979" s="82"/>
      <c r="H979" s="82"/>
    </row>
    <row r="980" ht="15.75" customHeight="1">
      <c r="A980" s="82"/>
      <c r="B980" s="82"/>
      <c r="C980" s="82"/>
      <c r="D980" s="82"/>
      <c r="E980" s="143"/>
      <c r="F980" s="82"/>
      <c r="G980" s="82"/>
      <c r="H980" s="82"/>
    </row>
    <row r="981" ht="15.75" customHeight="1">
      <c r="A981" s="82"/>
      <c r="B981" s="82"/>
      <c r="C981" s="82"/>
      <c r="D981" s="82"/>
      <c r="E981" s="143"/>
      <c r="F981" s="82"/>
      <c r="G981" s="82"/>
      <c r="H981" s="82"/>
    </row>
    <row r="982" ht="15.75" customHeight="1">
      <c r="A982" s="82"/>
      <c r="B982" s="82"/>
      <c r="C982" s="82"/>
      <c r="D982" s="82"/>
      <c r="E982" s="143"/>
      <c r="F982" s="82"/>
      <c r="G982" s="82"/>
      <c r="H982" s="82"/>
    </row>
    <row r="983" ht="15.75" customHeight="1">
      <c r="A983" s="82"/>
      <c r="B983" s="82"/>
      <c r="C983" s="82"/>
      <c r="D983" s="82"/>
      <c r="E983" s="143"/>
      <c r="F983" s="82"/>
      <c r="G983" s="82"/>
      <c r="H983" s="82"/>
    </row>
    <row r="984" ht="15.75" customHeight="1">
      <c r="A984" s="82"/>
      <c r="B984" s="82"/>
      <c r="C984" s="82"/>
      <c r="D984" s="82"/>
      <c r="E984" s="143"/>
      <c r="F984" s="82"/>
      <c r="G984" s="82"/>
      <c r="H984" s="82"/>
    </row>
    <row r="985" ht="15.75" customHeight="1">
      <c r="A985" s="82"/>
      <c r="B985" s="82"/>
      <c r="C985" s="82"/>
      <c r="D985" s="82"/>
      <c r="E985" s="143"/>
      <c r="F985" s="82"/>
      <c r="G985" s="82"/>
      <c r="H985" s="82"/>
    </row>
    <row r="986" ht="15.75" customHeight="1">
      <c r="A986" s="82"/>
      <c r="B986" s="82"/>
      <c r="C986" s="82"/>
      <c r="D986" s="82"/>
      <c r="E986" s="143"/>
      <c r="F986" s="82"/>
      <c r="G986" s="82"/>
      <c r="H986" s="82"/>
    </row>
    <row r="987" ht="15.75" customHeight="1">
      <c r="A987" s="82"/>
      <c r="B987" s="82"/>
      <c r="C987" s="82"/>
      <c r="D987" s="82"/>
      <c r="E987" s="143"/>
      <c r="F987" s="82"/>
      <c r="G987" s="82"/>
      <c r="H987" s="82"/>
    </row>
    <row r="988" ht="15.75" customHeight="1">
      <c r="A988" s="82"/>
      <c r="B988" s="82"/>
      <c r="C988" s="82"/>
      <c r="D988" s="82"/>
      <c r="E988" s="143"/>
      <c r="F988" s="82"/>
      <c r="G988" s="82"/>
      <c r="H988" s="82"/>
    </row>
    <row r="989" ht="15.75" customHeight="1">
      <c r="A989" s="82"/>
      <c r="B989" s="82"/>
      <c r="C989" s="82"/>
      <c r="D989" s="82"/>
      <c r="E989" s="143"/>
      <c r="F989" s="82"/>
      <c r="G989" s="82"/>
      <c r="H989" s="82"/>
    </row>
    <row r="990" ht="15.75" customHeight="1">
      <c r="A990" s="82"/>
      <c r="B990" s="82"/>
      <c r="C990" s="82"/>
      <c r="D990" s="82"/>
      <c r="E990" s="143"/>
      <c r="F990" s="82"/>
      <c r="G990" s="82"/>
      <c r="H990" s="82"/>
    </row>
    <row r="991" ht="15.75" customHeight="1">
      <c r="A991" s="82"/>
      <c r="B991" s="82"/>
      <c r="C991" s="82"/>
      <c r="D991" s="82"/>
      <c r="E991" s="143"/>
      <c r="F991" s="82"/>
      <c r="G991" s="82"/>
      <c r="H991" s="82"/>
    </row>
    <row r="992" ht="15.75" customHeight="1">
      <c r="A992" s="82"/>
      <c r="B992" s="82"/>
      <c r="C992" s="82"/>
      <c r="D992" s="82"/>
      <c r="E992" s="143"/>
      <c r="F992" s="82"/>
      <c r="G992" s="82"/>
      <c r="H992" s="82"/>
    </row>
    <row r="993" ht="15.75" customHeight="1">
      <c r="A993" s="82"/>
      <c r="B993" s="82"/>
      <c r="C993" s="82"/>
      <c r="D993" s="82"/>
      <c r="E993" s="143"/>
      <c r="F993" s="82"/>
      <c r="G993" s="82"/>
      <c r="H993" s="82"/>
    </row>
    <row r="994" ht="15.75" customHeight="1">
      <c r="A994" s="82"/>
      <c r="B994" s="82"/>
      <c r="C994" s="82"/>
      <c r="D994" s="82"/>
      <c r="E994" s="143"/>
      <c r="F994" s="82"/>
      <c r="G994" s="82"/>
      <c r="H994" s="82"/>
    </row>
    <row r="995" ht="15.75" customHeight="1">
      <c r="A995" s="82"/>
      <c r="B995" s="82"/>
      <c r="C995" s="82"/>
      <c r="D995" s="82"/>
      <c r="E995" s="143"/>
      <c r="F995" s="82"/>
      <c r="G995" s="82"/>
      <c r="H995" s="82"/>
    </row>
    <row r="996" ht="15.75" customHeight="1">
      <c r="A996" s="82"/>
      <c r="B996" s="82"/>
      <c r="C996" s="82"/>
      <c r="D996" s="82"/>
      <c r="E996" s="143"/>
      <c r="F996" s="82"/>
      <c r="G996" s="82"/>
      <c r="H996" s="82"/>
    </row>
    <row r="997" ht="15.75" customHeight="1">
      <c r="A997" s="82"/>
      <c r="B997" s="82"/>
      <c r="C997" s="82"/>
      <c r="D997" s="82"/>
      <c r="E997" s="143"/>
      <c r="F997" s="82"/>
      <c r="G997" s="82"/>
      <c r="H997" s="82"/>
    </row>
    <row r="998" ht="15.75" customHeight="1">
      <c r="A998" s="82"/>
      <c r="B998" s="82"/>
      <c r="C998" s="82"/>
      <c r="D998" s="82"/>
      <c r="E998" s="143"/>
      <c r="F998" s="82"/>
      <c r="G998" s="82"/>
      <c r="H998" s="82"/>
    </row>
    <row r="999" ht="15.75" customHeight="1">
      <c r="A999" s="82"/>
      <c r="B999" s="82"/>
      <c r="C999" s="82"/>
      <c r="D999" s="82"/>
      <c r="E999" s="143"/>
      <c r="F999" s="82"/>
      <c r="G999" s="82"/>
      <c r="H999" s="82"/>
    </row>
    <row r="1000" ht="15.75" customHeight="1">
      <c r="A1000" s="82"/>
      <c r="B1000" s="82"/>
      <c r="C1000" s="82"/>
      <c r="D1000" s="82"/>
      <c r="E1000" s="143"/>
      <c r="F1000" s="82"/>
      <c r="G1000" s="82"/>
      <c r="H1000" s="8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4.25"/>
    <col customWidth="1" min="2" max="3" width="5.63"/>
    <col customWidth="1" min="4" max="4" width="4.0"/>
    <col customWidth="1" min="5" max="8" width="5.63"/>
    <col customWidth="1" min="9" max="9" width="33.13"/>
    <col customWidth="1" min="10" max="26" width="101.63"/>
  </cols>
  <sheetData>
    <row r="1">
      <c r="A1" s="144" t="s">
        <v>1970</v>
      </c>
      <c r="B1" s="145"/>
      <c r="C1" s="145"/>
      <c r="D1" s="145"/>
      <c r="E1" s="145"/>
      <c r="F1" s="145"/>
      <c r="G1" s="145"/>
      <c r="H1" s="145"/>
      <c r="I1" s="146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>
      <c r="A2" s="148" t="s">
        <v>1971</v>
      </c>
      <c r="B2" s="148" t="s">
        <v>1972</v>
      </c>
      <c r="C2" s="148" t="s">
        <v>1973</v>
      </c>
      <c r="D2" s="148" t="s">
        <v>1974</v>
      </c>
      <c r="E2" s="148" t="s">
        <v>1975</v>
      </c>
      <c r="F2" s="148" t="s">
        <v>1976</v>
      </c>
      <c r="G2" s="148" t="s">
        <v>1977</v>
      </c>
      <c r="H2" s="148" t="s">
        <v>1978</v>
      </c>
      <c r="I2" s="149" t="s">
        <v>1979</v>
      </c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>
      <c r="A3" s="150" t="s">
        <v>1980</v>
      </c>
      <c r="B3" s="151"/>
      <c r="C3" s="151"/>
      <c r="D3" s="151"/>
      <c r="E3" s="151"/>
      <c r="F3" s="151"/>
      <c r="G3" s="151"/>
      <c r="H3" s="151"/>
      <c r="I3" s="152"/>
      <c r="J3" s="153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>
      <c r="A4" s="154" t="s">
        <v>1981</v>
      </c>
      <c r="B4" s="155" t="s">
        <v>1982</v>
      </c>
      <c r="C4" s="156" t="s">
        <v>1982</v>
      </c>
      <c r="D4" s="157">
        <v>0.4791666666666667</v>
      </c>
      <c r="E4" s="156" t="s">
        <v>1982</v>
      </c>
      <c r="F4" s="157">
        <v>0.4791666666666667</v>
      </c>
      <c r="G4" s="156" t="s">
        <v>1982</v>
      </c>
      <c r="H4" s="156" t="s">
        <v>1982</v>
      </c>
      <c r="I4" s="158" t="s">
        <v>1983</v>
      </c>
      <c r="J4" s="153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>
      <c r="A5" s="159" t="s">
        <v>1984</v>
      </c>
      <c r="B5" s="156" t="s">
        <v>1985</v>
      </c>
      <c r="C5" s="156" t="s">
        <v>1985</v>
      </c>
      <c r="D5" s="156" t="s">
        <v>1985</v>
      </c>
      <c r="E5" s="156" t="s">
        <v>1985</v>
      </c>
      <c r="F5" s="155" t="s">
        <v>1985</v>
      </c>
      <c r="G5" s="155" t="s">
        <v>1985</v>
      </c>
      <c r="H5" s="156" t="s">
        <v>1985</v>
      </c>
      <c r="I5" s="158" t="s">
        <v>1986</v>
      </c>
      <c r="J5" s="153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>
      <c r="A6" s="150" t="s">
        <v>1987</v>
      </c>
      <c r="B6" s="160"/>
      <c r="C6" s="151"/>
      <c r="D6" s="160"/>
      <c r="E6" s="151"/>
      <c r="F6" s="160"/>
      <c r="G6" s="160"/>
      <c r="H6" s="151"/>
      <c r="I6" s="152"/>
      <c r="J6" s="153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>
      <c r="A7" s="161" t="s">
        <v>1988</v>
      </c>
      <c r="B7" s="162">
        <v>21.0</v>
      </c>
      <c r="C7" s="162">
        <v>21.0</v>
      </c>
      <c r="D7" s="162">
        <v>19.0</v>
      </c>
      <c r="E7" s="162">
        <v>21.0</v>
      </c>
      <c r="F7" s="162">
        <v>21.0</v>
      </c>
      <c r="G7" s="162">
        <v>21.0</v>
      </c>
      <c r="H7" s="162">
        <v>21.0</v>
      </c>
      <c r="I7" s="163" t="s">
        <v>1989</v>
      </c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>
      <c r="A8" s="161" t="s">
        <v>1990</v>
      </c>
      <c r="B8" s="162">
        <v>22.0</v>
      </c>
      <c r="C8" s="162">
        <v>22.0</v>
      </c>
      <c r="D8" s="162">
        <v>23.0</v>
      </c>
      <c r="E8" s="162">
        <v>22.0</v>
      </c>
      <c r="F8" s="162">
        <v>22.0</v>
      </c>
      <c r="G8" s="162">
        <v>22.0</v>
      </c>
      <c r="H8" s="162">
        <v>22.0</v>
      </c>
      <c r="I8" s="163" t="s">
        <v>1991</v>
      </c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>
      <c r="A9" s="161" t="s">
        <v>1992</v>
      </c>
      <c r="B9" s="164">
        <v>0.0</v>
      </c>
      <c r="C9" s="164">
        <v>0.0</v>
      </c>
      <c r="D9" s="164">
        <v>0.0</v>
      </c>
      <c r="E9" s="164">
        <v>0.0</v>
      </c>
      <c r="F9" s="164">
        <v>1.0</v>
      </c>
      <c r="G9" s="164">
        <v>0.0</v>
      </c>
      <c r="H9" s="164">
        <v>1.0</v>
      </c>
      <c r="I9" s="163" t="s">
        <v>1993</v>
      </c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>
      <c r="A10" s="165" t="s">
        <v>1994</v>
      </c>
      <c r="B10" s="160"/>
      <c r="C10" s="160"/>
      <c r="D10" s="160"/>
      <c r="E10" s="160"/>
      <c r="F10" s="160"/>
      <c r="G10" s="160"/>
      <c r="H10" s="160"/>
      <c r="I10" s="166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>
      <c r="A11" s="167" t="s">
        <v>1988</v>
      </c>
      <c r="B11" s="168"/>
      <c r="C11" s="168"/>
      <c r="D11" s="169">
        <v>19.0</v>
      </c>
      <c r="E11" s="168"/>
      <c r="F11" s="169">
        <v>19.0</v>
      </c>
      <c r="G11" s="169">
        <v>19.0</v>
      </c>
      <c r="H11" s="168"/>
      <c r="I11" s="163" t="s">
        <v>1989</v>
      </c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>
      <c r="A12" s="167" t="s">
        <v>1990</v>
      </c>
      <c r="B12" s="168"/>
      <c r="C12" s="168"/>
      <c r="D12" s="169">
        <v>22.0</v>
      </c>
      <c r="E12" s="168"/>
      <c r="F12" s="169">
        <v>22.0</v>
      </c>
      <c r="G12" s="169">
        <v>22.0</v>
      </c>
      <c r="H12" s="168"/>
      <c r="I12" s="163" t="s">
        <v>1991</v>
      </c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>
      <c r="A13" s="167" t="s">
        <v>1995</v>
      </c>
      <c r="B13" s="170">
        <v>0.0</v>
      </c>
      <c r="C13" s="170">
        <v>0.0</v>
      </c>
      <c r="D13" s="170">
        <v>0.0</v>
      </c>
      <c r="E13" s="170">
        <v>0.0</v>
      </c>
      <c r="F13" s="170">
        <v>1.0</v>
      </c>
      <c r="G13" s="170">
        <v>0.0</v>
      </c>
      <c r="H13" s="170">
        <v>1.0</v>
      </c>
      <c r="I13" s="163" t="s">
        <v>1993</v>
      </c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>
      <c r="A14" s="165" t="s">
        <v>1996</v>
      </c>
      <c r="B14" s="171"/>
      <c r="C14" s="171"/>
      <c r="D14" s="171"/>
      <c r="E14" s="171"/>
      <c r="F14" s="171"/>
      <c r="G14" s="171"/>
      <c r="H14" s="171"/>
      <c r="I14" s="166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>
      <c r="A15" s="172" t="s">
        <v>1988</v>
      </c>
      <c r="B15" s="173">
        <v>19.0</v>
      </c>
      <c r="C15" s="173">
        <v>19.0</v>
      </c>
      <c r="D15" s="173">
        <v>19.0</v>
      </c>
      <c r="E15" s="173">
        <v>19.0</v>
      </c>
      <c r="F15" s="173">
        <v>19.0</v>
      </c>
      <c r="G15" s="173">
        <v>19.0</v>
      </c>
      <c r="H15" s="173">
        <v>19.0</v>
      </c>
      <c r="I15" s="163" t="s">
        <v>1989</v>
      </c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>
      <c r="A16" s="172" t="s">
        <v>1990</v>
      </c>
      <c r="B16" s="173">
        <v>22.0</v>
      </c>
      <c r="C16" s="173">
        <v>22.0</v>
      </c>
      <c r="D16" s="173">
        <v>22.0</v>
      </c>
      <c r="E16" s="173">
        <v>22.0</v>
      </c>
      <c r="F16" s="173">
        <v>22.0</v>
      </c>
      <c r="G16" s="173">
        <v>22.0</v>
      </c>
      <c r="H16" s="173">
        <v>22.0</v>
      </c>
      <c r="I16" s="163" t="s">
        <v>1991</v>
      </c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>
      <c r="A17" s="172" t="s">
        <v>1997</v>
      </c>
      <c r="B17" s="174">
        <v>1.0</v>
      </c>
      <c r="C17" s="174">
        <v>1.0</v>
      </c>
      <c r="D17" s="174">
        <v>1.0</v>
      </c>
      <c r="E17" s="174">
        <v>0.0</v>
      </c>
      <c r="F17" s="174">
        <v>1.0</v>
      </c>
      <c r="G17" s="174">
        <v>0.0</v>
      </c>
      <c r="H17" s="174">
        <v>1.0</v>
      </c>
      <c r="I17" s="163" t="s">
        <v>1993</v>
      </c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>
      <c r="A18" s="165" t="s">
        <v>1998</v>
      </c>
      <c r="B18" s="160"/>
      <c r="C18" s="160"/>
      <c r="D18" s="160"/>
      <c r="E18" s="160"/>
      <c r="F18" s="160"/>
      <c r="G18" s="160"/>
      <c r="H18" s="160"/>
      <c r="I18" s="166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>
      <c r="A19" s="175" t="s">
        <v>1988</v>
      </c>
      <c r="B19" s="176">
        <v>21.0</v>
      </c>
      <c r="C19" s="176">
        <v>21.0</v>
      </c>
      <c r="D19" s="176">
        <v>19.0</v>
      </c>
      <c r="E19" s="176">
        <v>21.0</v>
      </c>
      <c r="F19" s="176">
        <v>21.0</v>
      </c>
      <c r="G19" s="176">
        <v>21.0</v>
      </c>
      <c r="H19" s="176">
        <v>21.0</v>
      </c>
      <c r="I19" s="163" t="s">
        <v>1989</v>
      </c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>
      <c r="A20" s="175" t="s">
        <v>1990</v>
      </c>
      <c r="B20" s="176">
        <v>22.0</v>
      </c>
      <c r="C20" s="176">
        <v>22.0</v>
      </c>
      <c r="D20" s="176">
        <v>22.0</v>
      </c>
      <c r="E20" s="176">
        <v>22.0</v>
      </c>
      <c r="F20" s="176">
        <v>22.0</v>
      </c>
      <c r="G20" s="176">
        <v>22.0</v>
      </c>
      <c r="H20" s="176">
        <v>22.0</v>
      </c>
      <c r="I20" s="163" t="s">
        <v>1991</v>
      </c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ht="21.75" customHeight="1">
      <c r="A21" s="177" t="s">
        <v>1999</v>
      </c>
      <c r="B21" s="178">
        <v>0.0</v>
      </c>
      <c r="C21" s="178">
        <v>1.0</v>
      </c>
      <c r="D21" s="178">
        <v>0.0</v>
      </c>
      <c r="E21" s="178">
        <v>0.0</v>
      </c>
      <c r="F21" s="178">
        <v>1.0</v>
      </c>
      <c r="G21" s="178">
        <v>0.0</v>
      </c>
      <c r="H21" s="178">
        <v>1.0</v>
      </c>
      <c r="I21" s="163" t="s">
        <v>1993</v>
      </c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>
      <c r="A23" s="179" t="s">
        <v>2000</v>
      </c>
      <c r="B23" s="145"/>
      <c r="C23" s="145"/>
      <c r="D23" s="145"/>
      <c r="E23" s="145"/>
      <c r="F23" s="145"/>
      <c r="G23" s="145"/>
      <c r="H23" s="145"/>
      <c r="I23" s="146"/>
    </row>
    <row r="24">
      <c r="A24" s="180" t="s">
        <v>2001</v>
      </c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31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5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</row>
    <row r="243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</row>
    <row r="244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</row>
    <row r="245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</row>
    <row r="246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</row>
    <row r="247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</row>
    <row r="248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</row>
    <row r="249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</row>
    <row r="250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</row>
    <row r="25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</row>
    <row r="252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</row>
    <row r="253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</row>
    <row r="254">
      <c r="A254" s="147"/>
      <c r="B254" s="147"/>
      <c r="C254" s="147"/>
      <c r="D254" s="147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</row>
    <row r="255">
      <c r="A255" s="147"/>
      <c r="B255" s="147"/>
      <c r="C255" s="147"/>
      <c r="D255" s="147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</row>
    <row r="256">
      <c r="A256" s="147"/>
      <c r="B256" s="147"/>
      <c r="C256" s="147"/>
      <c r="D256" s="147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</row>
    <row r="257">
      <c r="A257" s="147"/>
      <c r="B257" s="147"/>
      <c r="C257" s="147"/>
      <c r="D257" s="147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</row>
    <row r="258">
      <c r="A258" s="147"/>
      <c r="B258" s="147"/>
      <c r="C258" s="147"/>
      <c r="D258" s="147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</row>
    <row r="259">
      <c r="A259" s="147"/>
      <c r="B259" s="147"/>
      <c r="C259" s="147"/>
      <c r="D259" s="147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</row>
    <row r="260">
      <c r="A260" s="147"/>
      <c r="B260" s="147"/>
      <c r="C260" s="147"/>
      <c r="D260" s="147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</row>
    <row r="261">
      <c r="A261" s="147"/>
      <c r="B261" s="147"/>
      <c r="C261" s="147"/>
      <c r="D261" s="147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</row>
    <row r="262">
      <c r="A262" s="147"/>
      <c r="B262" s="147"/>
      <c r="C262" s="147"/>
      <c r="D262" s="147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</row>
    <row r="263">
      <c r="A263" s="147"/>
      <c r="B263" s="147"/>
      <c r="C263" s="147"/>
      <c r="D263" s="147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</row>
    <row r="264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</row>
    <row r="265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</row>
    <row r="266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</row>
    <row r="267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</row>
    <row r="268">
      <c r="A268" s="147"/>
      <c r="B268" s="147"/>
      <c r="C268" s="147"/>
      <c r="D268" s="147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</row>
    <row r="269">
      <c r="A269" s="147"/>
      <c r="B269" s="147"/>
      <c r="C269" s="147"/>
      <c r="D269" s="147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</row>
    <row r="270">
      <c r="A270" s="147"/>
      <c r="B270" s="147"/>
      <c r="C270" s="147"/>
      <c r="D270" s="147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</row>
    <row r="271">
      <c r="A271" s="147"/>
      <c r="B271" s="147"/>
      <c r="C271" s="147"/>
      <c r="D271" s="147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</row>
    <row r="272">
      <c r="A272" s="147"/>
      <c r="B272" s="147"/>
      <c r="C272" s="147"/>
      <c r="D272" s="147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</row>
    <row r="273">
      <c r="A273" s="147"/>
      <c r="B273" s="147"/>
      <c r="C273" s="147"/>
      <c r="D273" s="147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</row>
    <row r="274">
      <c r="A274" s="147"/>
      <c r="B274" s="147"/>
      <c r="C274" s="147"/>
      <c r="D274" s="147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</row>
    <row r="275">
      <c r="A275" s="147"/>
      <c r="B275" s="147"/>
      <c r="C275" s="147"/>
      <c r="D275" s="147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</row>
    <row r="276">
      <c r="A276" s="147"/>
      <c r="B276" s="147"/>
      <c r="C276" s="147"/>
      <c r="D276" s="147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</row>
    <row r="277">
      <c r="A277" s="147"/>
      <c r="B277" s="147"/>
      <c r="C277" s="147"/>
      <c r="D277" s="147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</row>
    <row r="278">
      <c r="A278" s="147"/>
      <c r="B278" s="147"/>
      <c r="C278" s="147"/>
      <c r="D278" s="147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</row>
    <row r="279">
      <c r="A279" s="147"/>
      <c r="B279" s="147"/>
      <c r="C279" s="147"/>
      <c r="D279" s="147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</row>
    <row r="280">
      <c r="A280" s="147"/>
      <c r="B280" s="147"/>
      <c r="C280" s="147"/>
      <c r="D280" s="147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</row>
    <row r="281">
      <c r="A281" s="147"/>
      <c r="B281" s="147"/>
      <c r="C281" s="147"/>
      <c r="D281" s="147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</row>
    <row r="282">
      <c r="A282" s="147"/>
      <c r="B282" s="147"/>
      <c r="C282" s="147"/>
      <c r="D282" s="147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</row>
    <row r="283">
      <c r="A283" s="147"/>
      <c r="B283" s="147"/>
      <c r="C283" s="147"/>
      <c r="D283" s="147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</row>
    <row r="284">
      <c r="A284" s="147"/>
      <c r="B284" s="147"/>
      <c r="C284" s="147"/>
      <c r="D284" s="147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</row>
    <row r="285">
      <c r="A285" s="147"/>
      <c r="B285" s="147"/>
      <c r="C285" s="147"/>
      <c r="D285" s="147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</row>
    <row r="286">
      <c r="A286" s="147"/>
      <c r="B286" s="147"/>
      <c r="C286" s="147"/>
      <c r="D286" s="147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</row>
    <row r="287">
      <c r="A287" s="147"/>
      <c r="B287" s="147"/>
      <c r="C287" s="147"/>
      <c r="D287" s="147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</row>
    <row r="288">
      <c r="A288" s="147"/>
      <c r="B288" s="147"/>
      <c r="C288" s="147"/>
      <c r="D288" s="147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</row>
    <row r="289">
      <c r="A289" s="147"/>
      <c r="B289" s="147"/>
      <c r="C289" s="147"/>
      <c r="D289" s="147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</row>
    <row r="290">
      <c r="A290" s="147"/>
      <c r="B290" s="147"/>
      <c r="C290" s="147"/>
      <c r="D290" s="147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</row>
    <row r="291">
      <c r="A291" s="147"/>
      <c r="B291" s="147"/>
      <c r="C291" s="147"/>
      <c r="D291" s="147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</row>
    <row r="292">
      <c r="A292" s="147"/>
      <c r="B292" s="147"/>
      <c r="C292" s="147"/>
      <c r="D292" s="147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</row>
    <row r="293">
      <c r="A293" s="147"/>
      <c r="B293" s="147"/>
      <c r="C293" s="147"/>
      <c r="D293" s="147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</row>
    <row r="294">
      <c r="A294" s="147"/>
      <c r="B294" s="147"/>
      <c r="C294" s="147"/>
      <c r="D294" s="147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</row>
    <row r="295">
      <c r="A295" s="147"/>
      <c r="B295" s="147"/>
      <c r="C295" s="147"/>
      <c r="D295" s="147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</row>
    <row r="296">
      <c r="A296" s="147"/>
      <c r="B296" s="147"/>
      <c r="C296" s="147"/>
      <c r="D296" s="147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</row>
    <row r="297">
      <c r="A297" s="147"/>
      <c r="B297" s="147"/>
      <c r="C297" s="147"/>
      <c r="D297" s="147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</row>
    <row r="298">
      <c r="A298" s="147"/>
      <c r="B298" s="147"/>
      <c r="C298" s="147"/>
      <c r="D298" s="147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</row>
    <row r="299">
      <c r="A299" s="147"/>
      <c r="B299" s="147"/>
      <c r="C299" s="147"/>
      <c r="D299" s="147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</row>
    <row r="300">
      <c r="A300" s="147"/>
      <c r="B300" s="147"/>
      <c r="C300" s="147"/>
      <c r="D300" s="147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</row>
    <row r="301">
      <c r="A301" s="147"/>
      <c r="B301" s="147"/>
      <c r="C301" s="147"/>
      <c r="D301" s="147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</row>
    <row r="302">
      <c r="A302" s="147"/>
      <c r="B302" s="147"/>
      <c r="C302" s="147"/>
      <c r="D302" s="147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</row>
    <row r="303">
      <c r="A303" s="147"/>
      <c r="B303" s="147"/>
      <c r="C303" s="147"/>
      <c r="D303" s="147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</row>
    <row r="304">
      <c r="A304" s="147"/>
      <c r="B304" s="147"/>
      <c r="C304" s="147"/>
      <c r="D304" s="147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</row>
    <row r="305">
      <c r="A305" s="147"/>
      <c r="B305" s="147"/>
      <c r="C305" s="147"/>
      <c r="D305" s="147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</row>
    <row r="306">
      <c r="A306" s="147"/>
      <c r="B306" s="147"/>
      <c r="C306" s="147"/>
      <c r="D306" s="147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</row>
    <row r="307">
      <c r="A307" s="147"/>
      <c r="B307" s="147"/>
      <c r="C307" s="147"/>
      <c r="D307" s="147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</row>
    <row r="308">
      <c r="A308" s="147"/>
      <c r="B308" s="147"/>
      <c r="C308" s="147"/>
      <c r="D308" s="147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</row>
    <row r="309">
      <c r="A309" s="147"/>
      <c r="B309" s="147"/>
      <c r="C309" s="147"/>
      <c r="D309" s="147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</row>
    <row r="310">
      <c r="A310" s="147"/>
      <c r="B310" s="147"/>
      <c r="C310" s="147"/>
      <c r="D310" s="147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</row>
    <row r="311">
      <c r="A311" s="147"/>
      <c r="B311" s="147"/>
      <c r="C311" s="147"/>
      <c r="D311" s="147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</row>
    <row r="312">
      <c r="A312" s="147"/>
      <c r="B312" s="147"/>
      <c r="C312" s="147"/>
      <c r="D312" s="147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</row>
    <row r="313">
      <c r="A313" s="147"/>
      <c r="B313" s="147"/>
      <c r="C313" s="147"/>
      <c r="D313" s="147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</row>
    <row r="314">
      <c r="A314" s="147"/>
      <c r="B314" s="147"/>
      <c r="C314" s="147"/>
      <c r="D314" s="147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</row>
    <row r="315">
      <c r="A315" s="147"/>
      <c r="B315" s="147"/>
      <c r="C315" s="147"/>
      <c r="D315" s="147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</row>
    <row r="316">
      <c r="A316" s="147"/>
      <c r="B316" s="147"/>
      <c r="C316" s="147"/>
      <c r="D316" s="147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</row>
    <row r="317">
      <c r="A317" s="147"/>
      <c r="B317" s="147"/>
      <c r="C317" s="147"/>
      <c r="D317" s="147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</row>
    <row r="318">
      <c r="A318" s="147"/>
      <c r="B318" s="147"/>
      <c r="C318" s="147"/>
      <c r="D318" s="147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</row>
    <row r="319">
      <c r="A319" s="147"/>
      <c r="B319" s="147"/>
      <c r="C319" s="147"/>
      <c r="D319" s="147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</row>
    <row r="320">
      <c r="A320" s="147"/>
      <c r="B320" s="147"/>
      <c r="C320" s="147"/>
      <c r="D320" s="147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</row>
    <row r="321">
      <c r="A321" s="147"/>
      <c r="B321" s="147"/>
      <c r="C321" s="147"/>
      <c r="D321" s="147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</row>
    <row r="322">
      <c r="A322" s="147"/>
      <c r="B322" s="147"/>
      <c r="C322" s="147"/>
      <c r="D322" s="147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</row>
    <row r="323">
      <c r="A323" s="147"/>
      <c r="B323" s="147"/>
      <c r="C323" s="147"/>
      <c r="D323" s="147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</row>
    <row r="324">
      <c r="A324" s="147"/>
      <c r="B324" s="147"/>
      <c r="C324" s="147"/>
      <c r="D324" s="147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</row>
    <row r="325">
      <c r="A325" s="147"/>
      <c r="B325" s="147"/>
      <c r="C325" s="147"/>
      <c r="D325" s="147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</row>
    <row r="326">
      <c r="A326" s="147"/>
      <c r="B326" s="147"/>
      <c r="C326" s="147"/>
      <c r="D326" s="147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</row>
    <row r="327">
      <c r="A327" s="147"/>
      <c r="B327" s="147"/>
      <c r="C327" s="147"/>
      <c r="D327" s="147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</row>
    <row r="328">
      <c r="A328" s="147"/>
      <c r="B328" s="147"/>
      <c r="C328" s="147"/>
      <c r="D328" s="147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</row>
    <row r="329">
      <c r="A329" s="147"/>
      <c r="B329" s="147"/>
      <c r="C329" s="147"/>
      <c r="D329" s="147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</row>
    <row r="330">
      <c r="A330" s="147"/>
      <c r="B330" s="147"/>
      <c r="C330" s="147"/>
      <c r="D330" s="147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</row>
    <row r="331">
      <c r="A331" s="147"/>
      <c r="B331" s="147"/>
      <c r="C331" s="147"/>
      <c r="D331" s="147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</row>
    <row r="332">
      <c r="A332" s="147"/>
      <c r="B332" s="147"/>
      <c r="C332" s="147"/>
      <c r="D332" s="147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</row>
    <row r="333">
      <c r="A333" s="147"/>
      <c r="B333" s="147"/>
      <c r="C333" s="147"/>
      <c r="D333" s="147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</row>
    <row r="334">
      <c r="A334" s="147"/>
      <c r="B334" s="147"/>
      <c r="C334" s="147"/>
      <c r="D334" s="147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</row>
    <row r="335">
      <c r="A335" s="147"/>
      <c r="B335" s="147"/>
      <c r="C335" s="147"/>
      <c r="D335" s="147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</row>
    <row r="336">
      <c r="A336" s="147"/>
      <c r="B336" s="147"/>
      <c r="C336" s="147"/>
      <c r="D336" s="147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</row>
    <row r="337">
      <c r="A337" s="147"/>
      <c r="B337" s="147"/>
      <c r="C337" s="147"/>
      <c r="D337" s="147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</row>
    <row r="338">
      <c r="A338" s="147"/>
      <c r="B338" s="147"/>
      <c r="C338" s="147"/>
      <c r="D338" s="147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</row>
    <row r="339">
      <c r="A339" s="147"/>
      <c r="B339" s="147"/>
      <c r="C339" s="147"/>
      <c r="D339" s="147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</row>
    <row r="340">
      <c r="A340" s="147"/>
      <c r="B340" s="147"/>
      <c r="C340" s="147"/>
      <c r="D340" s="147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</row>
    <row r="341">
      <c r="A341" s="147"/>
      <c r="B341" s="147"/>
      <c r="C341" s="147"/>
      <c r="D341" s="147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</row>
    <row r="342">
      <c r="A342" s="147"/>
      <c r="B342" s="147"/>
      <c r="C342" s="147"/>
      <c r="D342" s="147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</row>
    <row r="343">
      <c r="A343" s="147"/>
      <c r="B343" s="147"/>
      <c r="C343" s="147"/>
      <c r="D343" s="147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</row>
    <row r="344">
      <c r="A344" s="147"/>
      <c r="B344" s="147"/>
      <c r="C344" s="147"/>
      <c r="D344" s="147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</row>
    <row r="345">
      <c r="A345" s="147"/>
      <c r="B345" s="147"/>
      <c r="C345" s="147"/>
      <c r="D345" s="147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</row>
    <row r="346">
      <c r="A346" s="147"/>
      <c r="B346" s="147"/>
      <c r="C346" s="147"/>
      <c r="D346" s="147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</row>
    <row r="347">
      <c r="A347" s="147"/>
      <c r="B347" s="147"/>
      <c r="C347" s="147"/>
      <c r="D347" s="147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</row>
    <row r="348">
      <c r="A348" s="147"/>
      <c r="B348" s="147"/>
      <c r="C348" s="147"/>
      <c r="D348" s="147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</row>
    <row r="349">
      <c r="A349" s="147"/>
      <c r="B349" s="147"/>
      <c r="C349" s="147"/>
      <c r="D349" s="147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</row>
    <row r="350">
      <c r="A350" s="147"/>
      <c r="B350" s="147"/>
      <c r="C350" s="147"/>
      <c r="D350" s="147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</row>
    <row r="351">
      <c r="A351" s="147"/>
      <c r="B351" s="147"/>
      <c r="C351" s="147"/>
      <c r="D351" s="147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</row>
    <row r="352">
      <c r="A352" s="147"/>
      <c r="B352" s="147"/>
      <c r="C352" s="147"/>
      <c r="D352" s="147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</row>
    <row r="353">
      <c r="A353" s="147"/>
      <c r="B353" s="147"/>
      <c r="C353" s="147"/>
      <c r="D353" s="147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</row>
    <row r="354">
      <c r="A354" s="147"/>
      <c r="B354" s="147"/>
      <c r="C354" s="147"/>
      <c r="D354" s="147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</row>
    <row r="355">
      <c r="A355" s="147"/>
      <c r="B355" s="147"/>
      <c r="C355" s="147"/>
      <c r="D355" s="147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</row>
    <row r="356">
      <c r="A356" s="147"/>
      <c r="B356" s="147"/>
      <c r="C356" s="147"/>
      <c r="D356" s="147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</row>
    <row r="357">
      <c r="A357" s="147"/>
      <c r="B357" s="147"/>
      <c r="C357" s="147"/>
      <c r="D357" s="147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</row>
    <row r="358">
      <c r="A358" s="147"/>
      <c r="B358" s="147"/>
      <c r="C358" s="147"/>
      <c r="D358" s="147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</row>
    <row r="359">
      <c r="A359" s="147"/>
      <c r="B359" s="147"/>
      <c r="C359" s="147"/>
      <c r="D359" s="147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</row>
    <row r="360">
      <c r="A360" s="147"/>
      <c r="B360" s="147"/>
      <c r="C360" s="147"/>
      <c r="D360" s="147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</row>
    <row r="361">
      <c r="A361" s="147"/>
      <c r="B361" s="147"/>
      <c r="C361" s="147"/>
      <c r="D361" s="147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</row>
    <row r="362">
      <c r="A362" s="147"/>
      <c r="B362" s="147"/>
      <c r="C362" s="147"/>
      <c r="D362" s="147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</row>
    <row r="363">
      <c r="A363" s="147"/>
      <c r="B363" s="147"/>
      <c r="C363" s="147"/>
      <c r="D363" s="147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</row>
    <row r="364">
      <c r="A364" s="147"/>
      <c r="B364" s="147"/>
      <c r="C364" s="147"/>
      <c r="D364" s="147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</row>
    <row r="365">
      <c r="A365" s="147"/>
      <c r="B365" s="147"/>
      <c r="C365" s="147"/>
      <c r="D365" s="147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</row>
    <row r="366">
      <c r="A366" s="147"/>
      <c r="B366" s="147"/>
      <c r="C366" s="147"/>
      <c r="D366" s="147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</row>
    <row r="367">
      <c r="A367" s="147"/>
      <c r="B367" s="147"/>
      <c r="C367" s="147"/>
      <c r="D367" s="147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</row>
    <row r="368">
      <c r="A368" s="147"/>
      <c r="B368" s="147"/>
      <c r="C368" s="147"/>
      <c r="D368" s="147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</row>
    <row r="369">
      <c r="A369" s="147"/>
      <c r="B369" s="147"/>
      <c r="C369" s="147"/>
      <c r="D369" s="147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</row>
    <row r="370">
      <c r="A370" s="147"/>
      <c r="B370" s="147"/>
      <c r="C370" s="147"/>
      <c r="D370" s="147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</row>
    <row r="371">
      <c r="A371" s="147"/>
      <c r="B371" s="147"/>
      <c r="C371" s="147"/>
      <c r="D371" s="147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</row>
    <row r="372">
      <c r="A372" s="147"/>
      <c r="B372" s="147"/>
      <c r="C372" s="147"/>
      <c r="D372" s="147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</row>
    <row r="373">
      <c r="A373" s="147"/>
      <c r="B373" s="147"/>
      <c r="C373" s="147"/>
      <c r="D373" s="147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</row>
    <row r="374">
      <c r="A374" s="147"/>
      <c r="B374" s="147"/>
      <c r="C374" s="147"/>
      <c r="D374" s="147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</row>
    <row r="375">
      <c r="A375" s="147"/>
      <c r="B375" s="147"/>
      <c r="C375" s="147"/>
      <c r="D375" s="147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</row>
    <row r="376">
      <c r="A376" s="147"/>
      <c r="B376" s="147"/>
      <c r="C376" s="147"/>
      <c r="D376" s="147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</row>
    <row r="377">
      <c r="A377" s="147"/>
      <c r="B377" s="147"/>
      <c r="C377" s="147"/>
      <c r="D377" s="147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</row>
    <row r="378">
      <c r="A378" s="147"/>
      <c r="B378" s="147"/>
      <c r="C378" s="147"/>
      <c r="D378" s="147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</row>
    <row r="379">
      <c r="A379" s="147"/>
      <c r="B379" s="147"/>
      <c r="C379" s="147"/>
      <c r="D379" s="147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</row>
    <row r="380">
      <c r="A380" s="147"/>
      <c r="B380" s="147"/>
      <c r="C380" s="147"/>
      <c r="D380" s="147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</row>
    <row r="381">
      <c r="A381" s="147"/>
      <c r="B381" s="147"/>
      <c r="C381" s="147"/>
      <c r="D381" s="147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</row>
    <row r="382">
      <c r="A382" s="147"/>
      <c r="B382" s="147"/>
      <c r="C382" s="147"/>
      <c r="D382" s="147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</row>
    <row r="383">
      <c r="A383" s="147"/>
      <c r="B383" s="147"/>
      <c r="C383" s="147"/>
      <c r="D383" s="147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</row>
    <row r="384">
      <c r="A384" s="147"/>
      <c r="B384" s="147"/>
      <c r="C384" s="147"/>
      <c r="D384" s="147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</row>
    <row r="385">
      <c r="A385" s="147"/>
      <c r="B385" s="147"/>
      <c r="C385" s="147"/>
      <c r="D385" s="147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</row>
    <row r="386">
      <c r="A386" s="147"/>
      <c r="B386" s="147"/>
      <c r="C386" s="147"/>
      <c r="D386" s="147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</row>
    <row r="387">
      <c r="A387" s="147"/>
      <c r="B387" s="147"/>
      <c r="C387" s="147"/>
      <c r="D387" s="147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</row>
    <row r="388">
      <c r="A388" s="147"/>
      <c r="B388" s="147"/>
      <c r="C388" s="147"/>
      <c r="D388" s="147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</row>
    <row r="389">
      <c r="A389" s="147"/>
      <c r="B389" s="147"/>
      <c r="C389" s="147"/>
      <c r="D389" s="147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</row>
    <row r="390">
      <c r="A390" s="147"/>
      <c r="B390" s="147"/>
      <c r="C390" s="147"/>
      <c r="D390" s="147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</row>
    <row r="391">
      <c r="A391" s="147"/>
      <c r="B391" s="147"/>
      <c r="C391" s="147"/>
      <c r="D391" s="147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</row>
    <row r="392">
      <c r="A392" s="147"/>
      <c r="B392" s="147"/>
      <c r="C392" s="147"/>
      <c r="D392" s="147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</row>
    <row r="393">
      <c r="A393" s="147"/>
      <c r="B393" s="147"/>
      <c r="C393" s="147"/>
      <c r="D393" s="147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</row>
    <row r="394">
      <c r="A394" s="147"/>
      <c r="B394" s="147"/>
      <c r="C394" s="147"/>
      <c r="D394" s="147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</row>
    <row r="395">
      <c r="A395" s="147"/>
      <c r="B395" s="147"/>
      <c r="C395" s="147"/>
      <c r="D395" s="147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</row>
    <row r="396">
      <c r="A396" s="147"/>
      <c r="B396" s="147"/>
      <c r="C396" s="147"/>
      <c r="D396" s="147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</row>
    <row r="397">
      <c r="A397" s="147"/>
      <c r="B397" s="147"/>
      <c r="C397" s="147"/>
      <c r="D397" s="147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</row>
    <row r="398">
      <c r="A398" s="147"/>
      <c r="B398" s="147"/>
      <c r="C398" s="147"/>
      <c r="D398" s="147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</row>
    <row r="399">
      <c r="A399" s="147"/>
      <c r="B399" s="147"/>
      <c r="C399" s="147"/>
      <c r="D399" s="147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</row>
    <row r="400">
      <c r="A400" s="147"/>
      <c r="B400" s="147"/>
      <c r="C400" s="147"/>
      <c r="D400" s="147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</row>
    <row r="401">
      <c r="A401" s="147"/>
      <c r="B401" s="147"/>
      <c r="C401" s="147"/>
      <c r="D401" s="147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</row>
    <row r="402">
      <c r="A402" s="147"/>
      <c r="B402" s="147"/>
      <c r="C402" s="147"/>
      <c r="D402" s="147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</row>
    <row r="403">
      <c r="A403" s="147"/>
      <c r="B403" s="147"/>
      <c r="C403" s="147"/>
      <c r="D403" s="147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</row>
    <row r="404">
      <c r="A404" s="147"/>
      <c r="B404" s="147"/>
      <c r="C404" s="147"/>
      <c r="D404" s="147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</row>
    <row r="405">
      <c r="A405" s="147"/>
      <c r="B405" s="147"/>
      <c r="C405" s="147"/>
      <c r="D405" s="147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</row>
    <row r="406">
      <c r="A406" s="147"/>
      <c r="B406" s="147"/>
      <c r="C406" s="147"/>
      <c r="D406" s="147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</row>
    <row r="407">
      <c r="A407" s="147"/>
      <c r="B407" s="147"/>
      <c r="C407" s="147"/>
      <c r="D407" s="147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</row>
    <row r="408">
      <c r="A408" s="147"/>
      <c r="B408" s="147"/>
      <c r="C408" s="147"/>
      <c r="D408" s="147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</row>
    <row r="409">
      <c r="A409" s="147"/>
      <c r="B409" s="147"/>
      <c r="C409" s="147"/>
      <c r="D409" s="147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</row>
    <row r="410">
      <c r="A410" s="147"/>
      <c r="B410" s="147"/>
      <c r="C410" s="147"/>
      <c r="D410" s="147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</row>
    <row r="411">
      <c r="A411" s="147"/>
      <c r="B411" s="147"/>
      <c r="C411" s="147"/>
      <c r="D411" s="147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</row>
    <row r="412">
      <c r="A412" s="147"/>
      <c r="B412" s="147"/>
      <c r="C412" s="147"/>
      <c r="D412" s="147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</row>
    <row r="413">
      <c r="A413" s="147"/>
      <c r="B413" s="147"/>
      <c r="C413" s="147"/>
      <c r="D413" s="147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</row>
    <row r="414">
      <c r="A414" s="147"/>
      <c r="B414" s="147"/>
      <c r="C414" s="147"/>
      <c r="D414" s="147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</row>
    <row r="415">
      <c r="A415" s="147"/>
      <c r="B415" s="147"/>
      <c r="C415" s="147"/>
      <c r="D415" s="147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</row>
    <row r="416">
      <c r="A416" s="147"/>
      <c r="B416" s="147"/>
      <c r="C416" s="147"/>
      <c r="D416" s="147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</row>
    <row r="417">
      <c r="A417" s="147"/>
      <c r="B417" s="147"/>
      <c r="C417" s="147"/>
      <c r="D417" s="147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</row>
    <row r="418">
      <c r="A418" s="147"/>
      <c r="B418" s="147"/>
      <c r="C418" s="147"/>
      <c r="D418" s="147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</row>
    <row r="419">
      <c r="A419" s="147"/>
      <c r="B419" s="147"/>
      <c r="C419" s="147"/>
      <c r="D419" s="147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</row>
    <row r="420">
      <c r="A420" s="147"/>
      <c r="B420" s="147"/>
      <c r="C420" s="147"/>
      <c r="D420" s="147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</row>
    <row r="421">
      <c r="A421" s="147"/>
      <c r="B421" s="147"/>
      <c r="C421" s="147"/>
      <c r="D421" s="147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</row>
    <row r="422">
      <c r="A422" s="147"/>
      <c r="B422" s="147"/>
      <c r="C422" s="147"/>
      <c r="D422" s="147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</row>
    <row r="423">
      <c r="A423" s="147"/>
      <c r="B423" s="147"/>
      <c r="C423" s="147"/>
      <c r="D423" s="147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</row>
    <row r="424">
      <c r="A424" s="147"/>
      <c r="B424" s="147"/>
      <c r="C424" s="147"/>
      <c r="D424" s="147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</row>
    <row r="425">
      <c r="A425" s="147"/>
      <c r="B425" s="147"/>
      <c r="C425" s="147"/>
      <c r="D425" s="147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</row>
    <row r="426">
      <c r="A426" s="147"/>
      <c r="B426" s="147"/>
      <c r="C426" s="147"/>
      <c r="D426" s="147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</row>
    <row r="427">
      <c r="A427" s="147"/>
      <c r="B427" s="147"/>
      <c r="C427" s="147"/>
      <c r="D427" s="147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</row>
    <row r="428">
      <c r="A428" s="147"/>
      <c r="B428" s="147"/>
      <c r="C428" s="147"/>
      <c r="D428" s="147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</row>
    <row r="429">
      <c r="A429" s="147"/>
      <c r="B429" s="147"/>
      <c r="C429" s="147"/>
      <c r="D429" s="147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</row>
    <row r="430">
      <c r="A430" s="147"/>
      <c r="B430" s="147"/>
      <c r="C430" s="147"/>
      <c r="D430" s="147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</row>
    <row r="431">
      <c r="A431" s="147"/>
      <c r="B431" s="147"/>
      <c r="C431" s="147"/>
      <c r="D431" s="147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</row>
    <row r="432">
      <c r="A432" s="147"/>
      <c r="B432" s="147"/>
      <c r="C432" s="147"/>
      <c r="D432" s="147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</row>
    <row r="433">
      <c r="A433" s="147"/>
      <c r="B433" s="147"/>
      <c r="C433" s="147"/>
      <c r="D433" s="147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</row>
    <row r="434">
      <c r="A434" s="147"/>
      <c r="B434" s="147"/>
      <c r="C434" s="147"/>
      <c r="D434" s="147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</row>
    <row r="435">
      <c r="A435" s="147"/>
      <c r="B435" s="147"/>
      <c r="C435" s="147"/>
      <c r="D435" s="147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</row>
    <row r="436">
      <c r="A436" s="147"/>
      <c r="B436" s="147"/>
      <c r="C436" s="147"/>
      <c r="D436" s="147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</row>
    <row r="437">
      <c r="A437" s="147"/>
      <c r="B437" s="147"/>
      <c r="C437" s="147"/>
      <c r="D437" s="147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</row>
    <row r="438">
      <c r="A438" s="147"/>
      <c r="B438" s="147"/>
      <c r="C438" s="147"/>
      <c r="D438" s="147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</row>
    <row r="439">
      <c r="A439" s="147"/>
      <c r="B439" s="147"/>
      <c r="C439" s="147"/>
      <c r="D439" s="147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</row>
    <row r="440">
      <c r="A440" s="147"/>
      <c r="B440" s="147"/>
      <c r="C440" s="147"/>
      <c r="D440" s="147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</row>
    <row r="441">
      <c r="A441" s="147"/>
      <c r="B441" s="147"/>
      <c r="C441" s="147"/>
      <c r="D441" s="147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</row>
    <row r="442">
      <c r="A442" s="147"/>
      <c r="B442" s="147"/>
      <c r="C442" s="147"/>
      <c r="D442" s="147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</row>
    <row r="443">
      <c r="A443" s="147"/>
      <c r="B443" s="147"/>
      <c r="C443" s="147"/>
      <c r="D443" s="147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</row>
    <row r="444">
      <c r="A444" s="147"/>
      <c r="B444" s="147"/>
      <c r="C444" s="147"/>
      <c r="D444" s="147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</row>
    <row r="445">
      <c r="A445" s="147"/>
      <c r="B445" s="147"/>
      <c r="C445" s="147"/>
      <c r="D445" s="147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</row>
    <row r="446">
      <c r="A446" s="147"/>
      <c r="B446" s="147"/>
      <c r="C446" s="147"/>
      <c r="D446" s="147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</row>
    <row r="447">
      <c r="A447" s="147"/>
      <c r="B447" s="147"/>
      <c r="C447" s="147"/>
      <c r="D447" s="147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</row>
    <row r="448">
      <c r="A448" s="147"/>
      <c r="B448" s="147"/>
      <c r="C448" s="147"/>
      <c r="D448" s="147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</row>
    <row r="449">
      <c r="A449" s="147"/>
      <c r="B449" s="147"/>
      <c r="C449" s="147"/>
      <c r="D449" s="147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</row>
    <row r="450">
      <c r="A450" s="147"/>
      <c r="B450" s="147"/>
      <c r="C450" s="147"/>
      <c r="D450" s="147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</row>
    <row r="451">
      <c r="A451" s="147"/>
      <c r="B451" s="147"/>
      <c r="C451" s="147"/>
      <c r="D451" s="147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</row>
    <row r="452">
      <c r="A452" s="147"/>
      <c r="B452" s="147"/>
      <c r="C452" s="147"/>
      <c r="D452" s="147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</row>
    <row r="453">
      <c r="A453" s="147"/>
      <c r="B453" s="147"/>
      <c r="C453" s="147"/>
      <c r="D453" s="147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</row>
    <row r="454">
      <c r="A454" s="147"/>
      <c r="B454" s="147"/>
      <c r="C454" s="147"/>
      <c r="D454" s="147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</row>
    <row r="455">
      <c r="A455" s="147"/>
      <c r="B455" s="147"/>
      <c r="C455" s="147"/>
      <c r="D455" s="147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</row>
    <row r="456">
      <c r="A456" s="147"/>
      <c r="B456" s="147"/>
      <c r="C456" s="147"/>
      <c r="D456" s="147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</row>
    <row r="457">
      <c r="A457" s="147"/>
      <c r="B457" s="147"/>
      <c r="C457" s="147"/>
      <c r="D457" s="147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</row>
    <row r="458">
      <c r="A458" s="147"/>
      <c r="B458" s="147"/>
      <c r="C458" s="147"/>
      <c r="D458" s="147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</row>
    <row r="459">
      <c r="A459" s="147"/>
      <c r="B459" s="147"/>
      <c r="C459" s="147"/>
      <c r="D459" s="147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</row>
    <row r="460">
      <c r="A460" s="147"/>
      <c r="B460" s="147"/>
      <c r="C460" s="147"/>
      <c r="D460" s="147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</row>
    <row r="461">
      <c r="A461" s="147"/>
      <c r="B461" s="147"/>
      <c r="C461" s="147"/>
      <c r="D461" s="147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</row>
    <row r="462">
      <c r="A462" s="147"/>
      <c r="B462" s="147"/>
      <c r="C462" s="147"/>
      <c r="D462" s="147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</row>
    <row r="463">
      <c r="A463" s="147"/>
      <c r="B463" s="147"/>
      <c r="C463" s="147"/>
      <c r="D463" s="147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</row>
    <row r="464">
      <c r="A464" s="147"/>
      <c r="B464" s="147"/>
      <c r="C464" s="147"/>
      <c r="D464" s="147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</row>
    <row r="465">
      <c r="A465" s="147"/>
      <c r="B465" s="147"/>
      <c r="C465" s="147"/>
      <c r="D465" s="147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</row>
    <row r="466">
      <c r="A466" s="147"/>
      <c r="B466" s="147"/>
      <c r="C466" s="147"/>
      <c r="D466" s="147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</row>
    <row r="467">
      <c r="A467" s="147"/>
      <c r="B467" s="147"/>
      <c r="C467" s="147"/>
      <c r="D467" s="147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</row>
    <row r="468">
      <c r="A468" s="147"/>
      <c r="B468" s="147"/>
      <c r="C468" s="147"/>
      <c r="D468" s="147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</row>
    <row r="469">
      <c r="A469" s="147"/>
      <c r="B469" s="147"/>
      <c r="C469" s="147"/>
      <c r="D469" s="147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</row>
    <row r="470">
      <c r="A470" s="147"/>
      <c r="B470" s="147"/>
      <c r="C470" s="147"/>
      <c r="D470" s="147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</row>
    <row r="471">
      <c r="A471" s="147"/>
      <c r="B471" s="147"/>
      <c r="C471" s="147"/>
      <c r="D471" s="147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</row>
    <row r="472">
      <c r="A472" s="147"/>
      <c r="B472" s="147"/>
      <c r="C472" s="147"/>
      <c r="D472" s="147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</row>
    <row r="473">
      <c r="A473" s="147"/>
      <c r="B473" s="147"/>
      <c r="C473" s="147"/>
      <c r="D473" s="147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</row>
    <row r="474">
      <c r="A474" s="147"/>
      <c r="B474" s="147"/>
      <c r="C474" s="147"/>
      <c r="D474" s="147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</row>
    <row r="475">
      <c r="A475" s="147"/>
      <c r="B475" s="147"/>
      <c r="C475" s="147"/>
      <c r="D475" s="147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</row>
    <row r="476">
      <c r="A476" s="147"/>
      <c r="B476" s="147"/>
      <c r="C476" s="147"/>
      <c r="D476" s="147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</row>
    <row r="477">
      <c r="A477" s="147"/>
      <c r="B477" s="147"/>
      <c r="C477" s="147"/>
      <c r="D477" s="147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</row>
    <row r="478">
      <c r="A478" s="147"/>
      <c r="B478" s="147"/>
      <c r="C478" s="147"/>
      <c r="D478" s="147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</row>
    <row r="479">
      <c r="A479" s="147"/>
      <c r="B479" s="147"/>
      <c r="C479" s="147"/>
      <c r="D479" s="147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</row>
    <row r="480">
      <c r="A480" s="147"/>
      <c r="B480" s="147"/>
      <c r="C480" s="147"/>
      <c r="D480" s="147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</row>
    <row r="481">
      <c r="A481" s="147"/>
      <c r="B481" s="147"/>
      <c r="C481" s="147"/>
      <c r="D481" s="147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</row>
    <row r="482">
      <c r="A482" s="147"/>
      <c r="B482" s="147"/>
      <c r="C482" s="147"/>
      <c r="D482" s="147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</row>
    <row r="483">
      <c r="A483" s="147"/>
      <c r="B483" s="147"/>
      <c r="C483" s="147"/>
      <c r="D483" s="147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</row>
    <row r="484">
      <c r="A484" s="147"/>
      <c r="B484" s="147"/>
      <c r="C484" s="147"/>
      <c r="D484" s="147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</row>
    <row r="485">
      <c r="A485" s="147"/>
      <c r="B485" s="147"/>
      <c r="C485" s="147"/>
      <c r="D485" s="147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</row>
    <row r="486">
      <c r="A486" s="147"/>
      <c r="B486" s="147"/>
      <c r="C486" s="147"/>
      <c r="D486" s="147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</row>
    <row r="487">
      <c r="A487" s="147"/>
      <c r="B487" s="147"/>
      <c r="C487" s="147"/>
      <c r="D487" s="147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</row>
    <row r="488">
      <c r="A488" s="147"/>
      <c r="B488" s="147"/>
      <c r="C488" s="147"/>
      <c r="D488" s="147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</row>
    <row r="489">
      <c r="A489" s="147"/>
      <c r="B489" s="147"/>
      <c r="C489" s="147"/>
      <c r="D489" s="147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</row>
    <row r="490">
      <c r="A490" s="147"/>
      <c r="B490" s="147"/>
      <c r="C490" s="147"/>
      <c r="D490" s="147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</row>
    <row r="491">
      <c r="A491" s="147"/>
      <c r="B491" s="147"/>
      <c r="C491" s="147"/>
      <c r="D491" s="147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</row>
    <row r="492">
      <c r="A492" s="147"/>
      <c r="B492" s="147"/>
      <c r="C492" s="147"/>
      <c r="D492" s="147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</row>
    <row r="493">
      <c r="A493" s="147"/>
      <c r="B493" s="147"/>
      <c r="C493" s="147"/>
      <c r="D493" s="147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</row>
    <row r="494">
      <c r="A494" s="147"/>
      <c r="B494" s="147"/>
      <c r="C494" s="147"/>
      <c r="D494" s="147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</row>
    <row r="495">
      <c r="A495" s="147"/>
      <c r="B495" s="147"/>
      <c r="C495" s="147"/>
      <c r="D495" s="147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</row>
    <row r="496">
      <c r="A496" s="147"/>
      <c r="B496" s="147"/>
      <c r="C496" s="147"/>
      <c r="D496" s="147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</row>
    <row r="497">
      <c r="A497" s="147"/>
      <c r="B497" s="147"/>
      <c r="C497" s="147"/>
      <c r="D497" s="147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</row>
    <row r="498">
      <c r="A498" s="147"/>
      <c r="B498" s="147"/>
      <c r="C498" s="147"/>
      <c r="D498" s="147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</row>
    <row r="499">
      <c r="A499" s="147"/>
      <c r="B499" s="147"/>
      <c r="C499" s="147"/>
      <c r="D499" s="147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</row>
    <row r="500">
      <c r="A500" s="147"/>
      <c r="B500" s="147"/>
      <c r="C500" s="147"/>
      <c r="D500" s="147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</row>
    <row r="501">
      <c r="A501" s="147"/>
      <c r="B501" s="147"/>
      <c r="C501" s="147"/>
      <c r="D501" s="147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</row>
    <row r="502">
      <c r="A502" s="147"/>
      <c r="B502" s="147"/>
      <c r="C502" s="147"/>
      <c r="D502" s="147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</row>
    <row r="503">
      <c r="A503" s="147"/>
      <c r="B503" s="147"/>
      <c r="C503" s="147"/>
      <c r="D503" s="147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</row>
    <row r="504">
      <c r="A504" s="147"/>
      <c r="B504" s="147"/>
      <c r="C504" s="147"/>
      <c r="D504" s="147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</row>
    <row r="505">
      <c r="A505" s="147"/>
      <c r="B505" s="147"/>
      <c r="C505" s="147"/>
      <c r="D505" s="147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</row>
    <row r="506">
      <c r="A506" s="147"/>
      <c r="B506" s="147"/>
      <c r="C506" s="147"/>
      <c r="D506" s="147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</row>
    <row r="507">
      <c r="A507" s="147"/>
      <c r="B507" s="147"/>
      <c r="C507" s="147"/>
      <c r="D507" s="147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</row>
    <row r="508">
      <c r="A508" s="147"/>
      <c r="B508" s="147"/>
      <c r="C508" s="147"/>
      <c r="D508" s="147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</row>
    <row r="509">
      <c r="A509" s="147"/>
      <c r="B509" s="147"/>
      <c r="C509" s="147"/>
      <c r="D509" s="147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</row>
    <row r="510">
      <c r="A510" s="147"/>
      <c r="B510" s="147"/>
      <c r="C510" s="147"/>
      <c r="D510" s="147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</row>
    <row r="511">
      <c r="A511" s="147"/>
      <c r="B511" s="147"/>
      <c r="C511" s="147"/>
      <c r="D511" s="147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</row>
    <row r="512">
      <c r="A512" s="147"/>
      <c r="B512" s="147"/>
      <c r="C512" s="147"/>
      <c r="D512" s="147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</row>
    <row r="513">
      <c r="A513" s="147"/>
      <c r="B513" s="147"/>
      <c r="C513" s="147"/>
      <c r="D513" s="147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</row>
    <row r="514">
      <c r="A514" s="147"/>
      <c r="B514" s="147"/>
      <c r="C514" s="147"/>
      <c r="D514" s="147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</row>
    <row r="515">
      <c r="A515" s="147"/>
      <c r="B515" s="147"/>
      <c r="C515" s="147"/>
      <c r="D515" s="147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</row>
    <row r="516">
      <c r="A516" s="147"/>
      <c r="B516" s="147"/>
      <c r="C516" s="147"/>
      <c r="D516" s="147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</row>
    <row r="517">
      <c r="A517" s="147"/>
      <c r="B517" s="147"/>
      <c r="C517" s="147"/>
      <c r="D517" s="147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</row>
    <row r="518">
      <c r="A518" s="147"/>
      <c r="B518" s="147"/>
      <c r="C518" s="147"/>
      <c r="D518" s="147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</row>
    <row r="519">
      <c r="A519" s="147"/>
      <c r="B519" s="147"/>
      <c r="C519" s="147"/>
      <c r="D519" s="147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</row>
    <row r="520">
      <c r="A520" s="147"/>
      <c r="B520" s="147"/>
      <c r="C520" s="147"/>
      <c r="D520" s="147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</row>
    <row r="521">
      <c r="A521" s="147"/>
      <c r="B521" s="147"/>
      <c r="C521" s="147"/>
      <c r="D521" s="147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</row>
    <row r="522">
      <c r="A522" s="147"/>
      <c r="B522" s="147"/>
      <c r="C522" s="147"/>
      <c r="D522" s="147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</row>
    <row r="523">
      <c r="A523" s="147"/>
      <c r="B523" s="147"/>
      <c r="C523" s="147"/>
      <c r="D523" s="147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</row>
    <row r="524">
      <c r="A524" s="147"/>
      <c r="B524" s="147"/>
      <c r="C524" s="147"/>
      <c r="D524" s="147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</row>
    <row r="525">
      <c r="A525" s="147"/>
      <c r="B525" s="147"/>
      <c r="C525" s="147"/>
      <c r="D525" s="147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</row>
    <row r="526">
      <c r="A526" s="147"/>
      <c r="B526" s="147"/>
      <c r="C526" s="147"/>
      <c r="D526" s="147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</row>
    <row r="527">
      <c r="A527" s="147"/>
      <c r="B527" s="147"/>
      <c r="C527" s="147"/>
      <c r="D527" s="147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</row>
    <row r="528">
      <c r="A528" s="147"/>
      <c r="B528" s="147"/>
      <c r="C528" s="147"/>
      <c r="D528" s="147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</row>
    <row r="529">
      <c r="A529" s="147"/>
      <c r="B529" s="147"/>
      <c r="C529" s="147"/>
      <c r="D529" s="147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</row>
    <row r="530">
      <c r="A530" s="147"/>
      <c r="B530" s="147"/>
      <c r="C530" s="147"/>
      <c r="D530" s="147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</row>
    <row r="531">
      <c r="A531" s="147"/>
      <c r="B531" s="147"/>
      <c r="C531" s="147"/>
      <c r="D531" s="147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</row>
    <row r="532">
      <c r="A532" s="147"/>
      <c r="B532" s="147"/>
      <c r="C532" s="147"/>
      <c r="D532" s="147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</row>
    <row r="533">
      <c r="A533" s="147"/>
      <c r="B533" s="147"/>
      <c r="C533" s="147"/>
      <c r="D533" s="147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</row>
    <row r="534">
      <c r="A534" s="147"/>
      <c r="B534" s="147"/>
      <c r="C534" s="147"/>
      <c r="D534" s="147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</row>
    <row r="535">
      <c r="A535" s="147"/>
      <c r="B535" s="147"/>
      <c r="C535" s="147"/>
      <c r="D535" s="147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</row>
    <row r="536">
      <c r="A536" s="147"/>
      <c r="B536" s="147"/>
      <c r="C536" s="147"/>
      <c r="D536" s="147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</row>
    <row r="537">
      <c r="A537" s="147"/>
      <c r="B537" s="147"/>
      <c r="C537" s="147"/>
      <c r="D537" s="147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</row>
    <row r="538">
      <c r="A538" s="147"/>
      <c r="B538" s="147"/>
      <c r="C538" s="147"/>
      <c r="D538" s="147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</row>
    <row r="539">
      <c r="A539" s="147"/>
      <c r="B539" s="147"/>
      <c r="C539" s="147"/>
      <c r="D539" s="147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</row>
    <row r="540">
      <c r="A540" s="147"/>
      <c r="B540" s="147"/>
      <c r="C540" s="147"/>
      <c r="D540" s="147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</row>
    <row r="541">
      <c r="A541" s="147"/>
      <c r="B541" s="147"/>
      <c r="C541" s="147"/>
      <c r="D541" s="147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</row>
    <row r="542">
      <c r="A542" s="147"/>
      <c r="B542" s="147"/>
      <c r="C542" s="147"/>
      <c r="D542" s="147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</row>
    <row r="543">
      <c r="A543" s="147"/>
      <c r="B543" s="147"/>
      <c r="C543" s="147"/>
      <c r="D543" s="147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</row>
    <row r="544">
      <c r="A544" s="147"/>
      <c r="B544" s="147"/>
      <c r="C544" s="147"/>
      <c r="D544" s="147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</row>
    <row r="545">
      <c r="A545" s="147"/>
      <c r="B545" s="147"/>
      <c r="C545" s="147"/>
      <c r="D545" s="147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</row>
    <row r="546">
      <c r="A546" s="147"/>
      <c r="B546" s="147"/>
      <c r="C546" s="147"/>
      <c r="D546" s="147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</row>
    <row r="547">
      <c r="A547" s="147"/>
      <c r="B547" s="147"/>
      <c r="C547" s="147"/>
      <c r="D547" s="147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</row>
    <row r="548">
      <c r="A548" s="147"/>
      <c r="B548" s="147"/>
      <c r="C548" s="147"/>
      <c r="D548" s="147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</row>
    <row r="549">
      <c r="A549" s="147"/>
      <c r="B549" s="147"/>
      <c r="C549" s="147"/>
      <c r="D549" s="147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</row>
    <row r="550">
      <c r="A550" s="147"/>
      <c r="B550" s="147"/>
      <c r="C550" s="147"/>
      <c r="D550" s="147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</row>
    <row r="551">
      <c r="A551" s="147"/>
      <c r="B551" s="147"/>
      <c r="C551" s="147"/>
      <c r="D551" s="147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</row>
    <row r="552">
      <c r="A552" s="147"/>
      <c r="B552" s="147"/>
      <c r="C552" s="147"/>
      <c r="D552" s="147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</row>
    <row r="553">
      <c r="A553" s="147"/>
      <c r="B553" s="147"/>
      <c r="C553" s="147"/>
      <c r="D553" s="147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</row>
    <row r="554">
      <c r="A554" s="147"/>
      <c r="B554" s="147"/>
      <c r="C554" s="147"/>
      <c r="D554" s="147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</row>
    <row r="555">
      <c r="A555" s="147"/>
      <c r="B555" s="147"/>
      <c r="C555" s="147"/>
      <c r="D555" s="147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</row>
    <row r="556">
      <c r="A556" s="147"/>
      <c r="B556" s="147"/>
      <c r="C556" s="147"/>
      <c r="D556" s="147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</row>
    <row r="557">
      <c r="A557" s="147"/>
      <c r="B557" s="147"/>
      <c r="C557" s="147"/>
      <c r="D557" s="147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</row>
    <row r="558">
      <c r="A558" s="147"/>
      <c r="B558" s="147"/>
      <c r="C558" s="147"/>
      <c r="D558" s="147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</row>
    <row r="559">
      <c r="A559" s="147"/>
      <c r="B559" s="147"/>
      <c r="C559" s="147"/>
      <c r="D559" s="147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</row>
    <row r="560">
      <c r="A560" s="147"/>
      <c r="B560" s="147"/>
      <c r="C560" s="147"/>
      <c r="D560" s="147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</row>
    <row r="561">
      <c r="A561" s="147"/>
      <c r="B561" s="147"/>
      <c r="C561" s="147"/>
      <c r="D561" s="147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</row>
    <row r="562">
      <c r="A562" s="147"/>
      <c r="B562" s="147"/>
      <c r="C562" s="147"/>
      <c r="D562" s="147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</row>
    <row r="563">
      <c r="A563" s="147"/>
      <c r="B563" s="147"/>
      <c r="C563" s="147"/>
      <c r="D563" s="147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</row>
    <row r="564">
      <c r="A564" s="147"/>
      <c r="B564" s="147"/>
      <c r="C564" s="147"/>
      <c r="D564" s="147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</row>
    <row r="565">
      <c r="A565" s="147"/>
      <c r="B565" s="147"/>
      <c r="C565" s="147"/>
      <c r="D565" s="147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</row>
    <row r="566">
      <c r="A566" s="147"/>
      <c r="B566" s="147"/>
      <c r="C566" s="147"/>
      <c r="D566" s="147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</row>
    <row r="567">
      <c r="A567" s="147"/>
      <c r="B567" s="147"/>
      <c r="C567" s="147"/>
      <c r="D567" s="147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</row>
    <row r="568">
      <c r="A568" s="147"/>
      <c r="B568" s="147"/>
      <c r="C568" s="147"/>
      <c r="D568" s="147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</row>
    <row r="569">
      <c r="A569" s="147"/>
      <c r="B569" s="147"/>
      <c r="C569" s="147"/>
      <c r="D569" s="147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</row>
    <row r="570">
      <c r="A570" s="147"/>
      <c r="B570" s="147"/>
      <c r="C570" s="147"/>
      <c r="D570" s="147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</row>
    <row r="571">
      <c r="A571" s="147"/>
      <c r="B571" s="147"/>
      <c r="C571" s="147"/>
      <c r="D571" s="147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</row>
    <row r="572">
      <c r="A572" s="147"/>
      <c r="B572" s="147"/>
      <c r="C572" s="147"/>
      <c r="D572" s="147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</row>
    <row r="573">
      <c r="A573" s="147"/>
      <c r="B573" s="147"/>
      <c r="C573" s="147"/>
      <c r="D573" s="147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</row>
    <row r="574">
      <c r="A574" s="147"/>
      <c r="B574" s="147"/>
      <c r="C574" s="147"/>
      <c r="D574" s="147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</row>
    <row r="575">
      <c r="A575" s="147"/>
      <c r="B575" s="147"/>
      <c r="C575" s="147"/>
      <c r="D575" s="147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</row>
    <row r="576">
      <c r="A576" s="147"/>
      <c r="B576" s="147"/>
      <c r="C576" s="147"/>
      <c r="D576" s="147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</row>
    <row r="577">
      <c r="A577" s="147"/>
      <c r="B577" s="147"/>
      <c r="C577" s="147"/>
      <c r="D577" s="147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</row>
    <row r="578">
      <c r="A578" s="147"/>
      <c r="B578" s="147"/>
      <c r="C578" s="147"/>
      <c r="D578" s="147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</row>
    <row r="579">
      <c r="A579" s="147"/>
      <c r="B579" s="147"/>
      <c r="C579" s="147"/>
      <c r="D579" s="147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</row>
    <row r="580">
      <c r="A580" s="147"/>
      <c r="B580" s="147"/>
      <c r="C580" s="147"/>
      <c r="D580" s="147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</row>
    <row r="581">
      <c r="A581" s="147"/>
      <c r="B581" s="147"/>
      <c r="C581" s="147"/>
      <c r="D581" s="147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</row>
    <row r="582">
      <c r="A582" s="147"/>
      <c r="B582" s="147"/>
      <c r="C582" s="147"/>
      <c r="D582" s="147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</row>
    <row r="583">
      <c r="A583" s="147"/>
      <c r="B583" s="147"/>
      <c r="C583" s="147"/>
      <c r="D583" s="147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</row>
    <row r="584">
      <c r="A584" s="147"/>
      <c r="B584" s="147"/>
      <c r="C584" s="147"/>
      <c r="D584" s="147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</row>
    <row r="585">
      <c r="A585" s="147"/>
      <c r="B585" s="147"/>
      <c r="C585" s="147"/>
      <c r="D585" s="147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</row>
    <row r="586">
      <c r="A586" s="147"/>
      <c r="B586" s="147"/>
      <c r="C586" s="147"/>
      <c r="D586" s="147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</row>
    <row r="587">
      <c r="A587" s="147"/>
      <c r="B587" s="147"/>
      <c r="C587" s="147"/>
      <c r="D587" s="147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</row>
    <row r="588">
      <c r="A588" s="147"/>
      <c r="B588" s="147"/>
      <c r="C588" s="147"/>
      <c r="D588" s="147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</row>
    <row r="589">
      <c r="A589" s="147"/>
      <c r="B589" s="147"/>
      <c r="C589" s="147"/>
      <c r="D589" s="147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</row>
    <row r="590">
      <c r="A590" s="147"/>
      <c r="B590" s="147"/>
      <c r="C590" s="147"/>
      <c r="D590" s="147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</row>
    <row r="591">
      <c r="A591" s="147"/>
      <c r="B591" s="147"/>
      <c r="C591" s="147"/>
      <c r="D591" s="147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</row>
    <row r="592">
      <c r="A592" s="147"/>
      <c r="B592" s="147"/>
      <c r="C592" s="147"/>
      <c r="D592" s="147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</row>
    <row r="593">
      <c r="A593" s="147"/>
      <c r="B593" s="147"/>
      <c r="C593" s="147"/>
      <c r="D593" s="147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</row>
    <row r="594">
      <c r="A594" s="147"/>
      <c r="B594" s="147"/>
      <c r="C594" s="147"/>
      <c r="D594" s="147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</row>
    <row r="595">
      <c r="A595" s="147"/>
      <c r="B595" s="147"/>
      <c r="C595" s="147"/>
      <c r="D595" s="147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</row>
    <row r="596">
      <c r="A596" s="147"/>
      <c r="B596" s="147"/>
      <c r="C596" s="147"/>
      <c r="D596" s="147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</row>
    <row r="597">
      <c r="A597" s="147"/>
      <c r="B597" s="147"/>
      <c r="C597" s="147"/>
      <c r="D597" s="147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</row>
    <row r="598">
      <c r="A598" s="147"/>
      <c r="B598" s="147"/>
      <c r="C598" s="147"/>
      <c r="D598" s="147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</row>
    <row r="599">
      <c r="A599" s="147"/>
      <c r="B599" s="147"/>
      <c r="C599" s="147"/>
      <c r="D599" s="147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</row>
    <row r="600">
      <c r="A600" s="147"/>
      <c r="B600" s="147"/>
      <c r="C600" s="147"/>
      <c r="D600" s="147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</row>
    <row r="601">
      <c r="A601" s="147"/>
      <c r="B601" s="147"/>
      <c r="C601" s="147"/>
      <c r="D601" s="147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</row>
    <row r="602">
      <c r="A602" s="147"/>
      <c r="B602" s="147"/>
      <c r="C602" s="147"/>
      <c r="D602" s="147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</row>
    <row r="603">
      <c r="A603" s="147"/>
      <c r="B603" s="147"/>
      <c r="C603" s="147"/>
      <c r="D603" s="147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</row>
    <row r="604">
      <c r="A604" s="147"/>
      <c r="B604" s="147"/>
      <c r="C604" s="147"/>
      <c r="D604" s="147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</row>
    <row r="605">
      <c r="A605" s="147"/>
      <c r="B605" s="147"/>
      <c r="C605" s="147"/>
      <c r="D605" s="147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</row>
    <row r="606">
      <c r="A606" s="147"/>
      <c r="B606" s="147"/>
      <c r="C606" s="147"/>
      <c r="D606" s="147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</row>
    <row r="607">
      <c r="A607" s="147"/>
      <c r="B607" s="147"/>
      <c r="C607" s="147"/>
      <c r="D607" s="147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</row>
    <row r="608">
      <c r="A608" s="147"/>
      <c r="B608" s="147"/>
      <c r="C608" s="147"/>
      <c r="D608" s="147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</row>
    <row r="609">
      <c r="A609" s="147"/>
      <c r="B609" s="147"/>
      <c r="C609" s="147"/>
      <c r="D609" s="147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</row>
    <row r="610">
      <c r="A610" s="147"/>
      <c r="B610" s="147"/>
      <c r="C610" s="147"/>
      <c r="D610" s="147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</row>
    <row r="611">
      <c r="A611" s="147"/>
      <c r="B611" s="147"/>
      <c r="C611" s="147"/>
      <c r="D611" s="147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</row>
    <row r="612">
      <c r="A612" s="147"/>
      <c r="B612" s="147"/>
      <c r="C612" s="147"/>
      <c r="D612" s="147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</row>
    <row r="613">
      <c r="A613" s="147"/>
      <c r="B613" s="147"/>
      <c r="C613" s="147"/>
      <c r="D613" s="147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</row>
    <row r="614">
      <c r="A614" s="147"/>
      <c r="B614" s="147"/>
      <c r="C614" s="147"/>
      <c r="D614" s="147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</row>
    <row r="615">
      <c r="A615" s="147"/>
      <c r="B615" s="147"/>
      <c r="C615" s="147"/>
      <c r="D615" s="147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</row>
    <row r="616">
      <c r="A616" s="147"/>
      <c r="B616" s="147"/>
      <c r="C616" s="147"/>
      <c r="D616" s="147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</row>
    <row r="617">
      <c r="A617" s="147"/>
      <c r="B617" s="147"/>
      <c r="C617" s="147"/>
      <c r="D617" s="147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</row>
    <row r="618">
      <c r="A618" s="147"/>
      <c r="B618" s="147"/>
      <c r="C618" s="147"/>
      <c r="D618" s="147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</row>
    <row r="619">
      <c r="A619" s="147"/>
      <c r="B619" s="147"/>
      <c r="C619" s="147"/>
      <c r="D619" s="147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</row>
    <row r="620">
      <c r="A620" s="147"/>
      <c r="B620" s="147"/>
      <c r="C620" s="147"/>
      <c r="D620" s="147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</row>
    <row r="621">
      <c r="A621" s="147"/>
      <c r="B621" s="147"/>
      <c r="C621" s="147"/>
      <c r="D621" s="147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</row>
    <row r="622">
      <c r="A622" s="147"/>
      <c r="B622" s="147"/>
      <c r="C622" s="147"/>
      <c r="D622" s="147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</row>
    <row r="623">
      <c r="A623" s="147"/>
      <c r="B623" s="147"/>
      <c r="C623" s="147"/>
      <c r="D623" s="147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</row>
    <row r="624">
      <c r="A624" s="147"/>
      <c r="B624" s="147"/>
      <c r="C624" s="147"/>
      <c r="D624" s="147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</row>
    <row r="625">
      <c r="A625" s="147"/>
      <c r="B625" s="147"/>
      <c r="C625" s="147"/>
      <c r="D625" s="147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</row>
    <row r="626">
      <c r="A626" s="147"/>
      <c r="B626" s="147"/>
      <c r="C626" s="147"/>
      <c r="D626" s="147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</row>
    <row r="627">
      <c r="A627" s="147"/>
      <c r="B627" s="147"/>
      <c r="C627" s="147"/>
      <c r="D627" s="147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</row>
    <row r="628">
      <c r="A628" s="147"/>
      <c r="B628" s="147"/>
      <c r="C628" s="147"/>
      <c r="D628" s="147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</row>
    <row r="629">
      <c r="A629" s="147"/>
      <c r="B629" s="147"/>
      <c r="C629" s="147"/>
      <c r="D629" s="147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</row>
    <row r="630">
      <c r="A630" s="147"/>
      <c r="B630" s="147"/>
      <c r="C630" s="147"/>
      <c r="D630" s="147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</row>
    <row r="631">
      <c r="A631" s="147"/>
      <c r="B631" s="147"/>
      <c r="C631" s="147"/>
      <c r="D631" s="147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</row>
    <row r="632">
      <c r="A632" s="147"/>
      <c r="B632" s="147"/>
      <c r="C632" s="147"/>
      <c r="D632" s="147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</row>
    <row r="633">
      <c r="A633" s="147"/>
      <c r="B633" s="147"/>
      <c r="C633" s="147"/>
      <c r="D633" s="147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</row>
    <row r="634">
      <c r="A634" s="147"/>
      <c r="B634" s="147"/>
      <c r="C634" s="147"/>
      <c r="D634" s="147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</row>
    <row r="635">
      <c r="A635" s="147"/>
      <c r="B635" s="147"/>
      <c r="C635" s="147"/>
      <c r="D635" s="147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</row>
    <row r="636">
      <c r="A636" s="147"/>
      <c r="B636" s="147"/>
      <c r="C636" s="147"/>
      <c r="D636" s="147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</row>
    <row r="637">
      <c r="A637" s="147"/>
      <c r="B637" s="147"/>
      <c r="C637" s="147"/>
      <c r="D637" s="147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</row>
    <row r="638">
      <c r="A638" s="147"/>
      <c r="B638" s="147"/>
      <c r="C638" s="147"/>
      <c r="D638" s="147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</row>
    <row r="639">
      <c r="A639" s="147"/>
      <c r="B639" s="147"/>
      <c r="C639" s="147"/>
      <c r="D639" s="147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</row>
    <row r="640">
      <c r="A640" s="147"/>
      <c r="B640" s="147"/>
      <c r="C640" s="147"/>
      <c r="D640" s="147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</row>
    <row r="641">
      <c r="A641" s="147"/>
      <c r="B641" s="147"/>
      <c r="C641" s="147"/>
      <c r="D641" s="147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</row>
    <row r="642">
      <c r="A642" s="147"/>
      <c r="B642" s="147"/>
      <c r="C642" s="147"/>
      <c r="D642" s="147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</row>
    <row r="643">
      <c r="A643" s="147"/>
      <c r="B643" s="147"/>
      <c r="C643" s="147"/>
      <c r="D643" s="147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</row>
    <row r="644">
      <c r="A644" s="147"/>
      <c r="B644" s="147"/>
      <c r="C644" s="147"/>
      <c r="D644" s="147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</row>
    <row r="645">
      <c r="A645" s="147"/>
      <c r="B645" s="147"/>
      <c r="C645" s="147"/>
      <c r="D645" s="147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</row>
    <row r="646">
      <c r="A646" s="147"/>
      <c r="B646" s="147"/>
      <c r="C646" s="147"/>
      <c r="D646" s="147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</row>
    <row r="647">
      <c r="A647" s="147"/>
      <c r="B647" s="147"/>
      <c r="C647" s="147"/>
      <c r="D647" s="147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</row>
    <row r="648">
      <c r="A648" s="147"/>
      <c r="B648" s="147"/>
      <c r="C648" s="147"/>
      <c r="D648" s="147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</row>
    <row r="649">
      <c r="A649" s="147"/>
      <c r="B649" s="147"/>
      <c r="C649" s="147"/>
      <c r="D649" s="147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</row>
    <row r="650">
      <c r="A650" s="147"/>
      <c r="B650" s="147"/>
      <c r="C650" s="147"/>
      <c r="D650" s="147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</row>
    <row r="651">
      <c r="A651" s="147"/>
      <c r="B651" s="147"/>
      <c r="C651" s="147"/>
      <c r="D651" s="147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</row>
    <row r="652">
      <c r="A652" s="147"/>
      <c r="B652" s="147"/>
      <c r="C652" s="147"/>
      <c r="D652" s="147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</row>
    <row r="653">
      <c r="A653" s="147"/>
      <c r="B653" s="147"/>
      <c r="C653" s="147"/>
      <c r="D653" s="147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</row>
    <row r="654">
      <c r="A654" s="147"/>
      <c r="B654" s="147"/>
      <c r="C654" s="147"/>
      <c r="D654" s="147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</row>
    <row r="655">
      <c r="A655" s="147"/>
      <c r="B655" s="147"/>
      <c r="C655" s="147"/>
      <c r="D655" s="147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</row>
    <row r="656">
      <c r="A656" s="147"/>
      <c r="B656" s="147"/>
      <c r="C656" s="147"/>
      <c r="D656" s="147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</row>
    <row r="657">
      <c r="A657" s="147"/>
      <c r="B657" s="147"/>
      <c r="C657" s="147"/>
      <c r="D657" s="147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</row>
    <row r="658">
      <c r="A658" s="147"/>
      <c r="B658" s="147"/>
      <c r="C658" s="147"/>
      <c r="D658" s="147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</row>
    <row r="659">
      <c r="A659" s="147"/>
      <c r="B659" s="147"/>
      <c r="C659" s="147"/>
      <c r="D659" s="147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</row>
    <row r="660">
      <c r="A660" s="147"/>
      <c r="B660" s="147"/>
      <c r="C660" s="147"/>
      <c r="D660" s="147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</row>
    <row r="661">
      <c r="A661" s="147"/>
      <c r="B661" s="147"/>
      <c r="C661" s="147"/>
      <c r="D661" s="147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</row>
    <row r="662">
      <c r="A662" s="147"/>
      <c r="B662" s="147"/>
      <c r="C662" s="147"/>
      <c r="D662" s="147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</row>
    <row r="663">
      <c r="A663" s="147"/>
      <c r="B663" s="147"/>
      <c r="C663" s="147"/>
      <c r="D663" s="147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</row>
    <row r="664">
      <c r="A664" s="147"/>
      <c r="B664" s="147"/>
      <c r="C664" s="147"/>
      <c r="D664" s="147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</row>
    <row r="665">
      <c r="A665" s="147"/>
      <c r="B665" s="147"/>
      <c r="C665" s="147"/>
      <c r="D665" s="147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</row>
    <row r="666">
      <c r="A666" s="147"/>
      <c r="B666" s="147"/>
      <c r="C666" s="147"/>
      <c r="D666" s="147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</row>
    <row r="667">
      <c r="A667" s="147"/>
      <c r="B667" s="147"/>
      <c r="C667" s="147"/>
      <c r="D667" s="147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</row>
    <row r="668">
      <c r="A668" s="147"/>
      <c r="B668" s="147"/>
      <c r="C668" s="147"/>
      <c r="D668" s="147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</row>
    <row r="669">
      <c r="A669" s="147"/>
      <c r="B669" s="147"/>
      <c r="C669" s="147"/>
      <c r="D669" s="147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</row>
    <row r="670">
      <c r="A670" s="147"/>
      <c r="B670" s="147"/>
      <c r="C670" s="147"/>
      <c r="D670" s="147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</row>
    <row r="671">
      <c r="A671" s="147"/>
      <c r="B671" s="147"/>
      <c r="C671" s="147"/>
      <c r="D671" s="147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</row>
    <row r="672">
      <c r="A672" s="147"/>
      <c r="B672" s="147"/>
      <c r="C672" s="147"/>
      <c r="D672" s="147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</row>
    <row r="673">
      <c r="A673" s="147"/>
      <c r="B673" s="147"/>
      <c r="C673" s="147"/>
      <c r="D673" s="147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</row>
    <row r="674">
      <c r="A674" s="147"/>
      <c r="B674" s="147"/>
      <c r="C674" s="147"/>
      <c r="D674" s="147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</row>
    <row r="675">
      <c r="A675" s="147"/>
      <c r="B675" s="147"/>
      <c r="C675" s="147"/>
      <c r="D675" s="147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</row>
    <row r="676">
      <c r="A676" s="147"/>
      <c r="B676" s="147"/>
      <c r="C676" s="147"/>
      <c r="D676" s="147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</row>
    <row r="677">
      <c r="A677" s="147"/>
      <c r="B677" s="147"/>
      <c r="C677" s="147"/>
      <c r="D677" s="147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</row>
    <row r="678">
      <c r="A678" s="147"/>
      <c r="B678" s="147"/>
      <c r="C678" s="147"/>
      <c r="D678" s="147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</row>
    <row r="679">
      <c r="A679" s="147"/>
      <c r="B679" s="147"/>
      <c r="C679" s="147"/>
      <c r="D679" s="147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</row>
    <row r="680">
      <c r="A680" s="147"/>
      <c r="B680" s="147"/>
      <c r="C680" s="147"/>
      <c r="D680" s="147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</row>
    <row r="681">
      <c r="A681" s="147"/>
      <c r="B681" s="147"/>
      <c r="C681" s="147"/>
      <c r="D681" s="147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</row>
    <row r="682">
      <c r="A682" s="147"/>
      <c r="B682" s="147"/>
      <c r="C682" s="147"/>
      <c r="D682" s="147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</row>
    <row r="683">
      <c r="A683" s="147"/>
      <c r="B683" s="147"/>
      <c r="C683" s="147"/>
      <c r="D683" s="147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</row>
    <row r="684">
      <c r="A684" s="147"/>
      <c r="B684" s="147"/>
      <c r="C684" s="147"/>
      <c r="D684" s="147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</row>
    <row r="685">
      <c r="A685" s="147"/>
      <c r="B685" s="147"/>
      <c r="C685" s="147"/>
      <c r="D685" s="147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</row>
    <row r="686">
      <c r="A686" s="147"/>
      <c r="B686" s="147"/>
      <c r="C686" s="147"/>
      <c r="D686" s="147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</row>
    <row r="687">
      <c r="A687" s="147"/>
      <c r="B687" s="147"/>
      <c r="C687" s="147"/>
      <c r="D687" s="147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</row>
    <row r="688">
      <c r="A688" s="147"/>
      <c r="B688" s="147"/>
      <c r="C688" s="147"/>
      <c r="D688" s="147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</row>
    <row r="689">
      <c r="A689" s="147"/>
      <c r="B689" s="147"/>
      <c r="C689" s="147"/>
      <c r="D689" s="147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</row>
    <row r="690">
      <c r="A690" s="147"/>
      <c r="B690" s="147"/>
      <c r="C690" s="147"/>
      <c r="D690" s="147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</row>
    <row r="691">
      <c r="A691" s="147"/>
      <c r="B691" s="147"/>
      <c r="C691" s="147"/>
      <c r="D691" s="147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</row>
    <row r="692">
      <c r="A692" s="147"/>
      <c r="B692" s="147"/>
      <c r="C692" s="147"/>
      <c r="D692" s="147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</row>
    <row r="693">
      <c r="A693" s="147"/>
      <c r="B693" s="147"/>
      <c r="C693" s="147"/>
      <c r="D693" s="147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</row>
    <row r="694">
      <c r="A694" s="147"/>
      <c r="B694" s="147"/>
      <c r="C694" s="147"/>
      <c r="D694" s="147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</row>
    <row r="695">
      <c r="A695" s="147"/>
      <c r="B695" s="147"/>
      <c r="C695" s="147"/>
      <c r="D695" s="147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</row>
    <row r="696">
      <c r="A696" s="147"/>
      <c r="B696" s="147"/>
      <c r="C696" s="147"/>
      <c r="D696" s="147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</row>
    <row r="697">
      <c r="A697" s="147"/>
      <c r="B697" s="147"/>
      <c r="C697" s="147"/>
      <c r="D697" s="147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</row>
    <row r="698">
      <c r="A698" s="147"/>
      <c r="B698" s="147"/>
      <c r="C698" s="147"/>
      <c r="D698" s="147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</row>
    <row r="699">
      <c r="A699" s="147"/>
      <c r="B699" s="147"/>
      <c r="C699" s="147"/>
      <c r="D699" s="147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</row>
    <row r="700">
      <c r="A700" s="147"/>
      <c r="B700" s="147"/>
      <c r="C700" s="147"/>
      <c r="D700" s="147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</row>
    <row r="701">
      <c r="A701" s="147"/>
      <c r="B701" s="147"/>
      <c r="C701" s="147"/>
      <c r="D701" s="147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</row>
    <row r="702">
      <c r="A702" s="147"/>
      <c r="B702" s="147"/>
      <c r="C702" s="147"/>
      <c r="D702" s="147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</row>
    <row r="703">
      <c r="A703" s="147"/>
      <c r="B703" s="147"/>
      <c r="C703" s="147"/>
      <c r="D703" s="147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</row>
    <row r="704">
      <c r="A704" s="147"/>
      <c r="B704" s="147"/>
      <c r="C704" s="147"/>
      <c r="D704" s="147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</row>
    <row r="705">
      <c r="A705" s="147"/>
      <c r="B705" s="147"/>
      <c r="C705" s="147"/>
      <c r="D705" s="147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</row>
    <row r="706">
      <c r="A706" s="147"/>
      <c r="B706" s="147"/>
      <c r="C706" s="147"/>
      <c r="D706" s="147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</row>
    <row r="707">
      <c r="A707" s="147"/>
      <c r="B707" s="147"/>
      <c r="C707" s="147"/>
      <c r="D707" s="147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</row>
    <row r="708">
      <c r="A708" s="147"/>
      <c r="B708" s="147"/>
      <c r="C708" s="147"/>
      <c r="D708" s="147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</row>
    <row r="709">
      <c r="A709" s="147"/>
      <c r="B709" s="147"/>
      <c r="C709" s="147"/>
      <c r="D709" s="147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</row>
    <row r="710">
      <c r="A710" s="147"/>
      <c r="B710" s="147"/>
      <c r="C710" s="147"/>
      <c r="D710" s="147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</row>
    <row r="711">
      <c r="A711" s="147"/>
      <c r="B711" s="147"/>
      <c r="C711" s="147"/>
      <c r="D711" s="147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</row>
    <row r="712">
      <c r="A712" s="147"/>
      <c r="B712" s="147"/>
      <c r="C712" s="147"/>
      <c r="D712" s="147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</row>
    <row r="713">
      <c r="A713" s="147"/>
      <c r="B713" s="147"/>
      <c r="C713" s="147"/>
      <c r="D713" s="147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</row>
    <row r="714">
      <c r="A714" s="147"/>
      <c r="B714" s="147"/>
      <c r="C714" s="147"/>
      <c r="D714" s="147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</row>
    <row r="715">
      <c r="A715" s="147"/>
      <c r="B715" s="147"/>
      <c r="C715" s="147"/>
      <c r="D715" s="147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</row>
    <row r="716">
      <c r="A716" s="147"/>
      <c r="B716" s="147"/>
      <c r="C716" s="147"/>
      <c r="D716" s="147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</row>
    <row r="717">
      <c r="A717" s="147"/>
      <c r="B717" s="147"/>
      <c r="C717" s="147"/>
      <c r="D717" s="147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</row>
    <row r="718">
      <c r="A718" s="147"/>
      <c r="B718" s="147"/>
      <c r="C718" s="147"/>
      <c r="D718" s="147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</row>
    <row r="719">
      <c r="A719" s="147"/>
      <c r="B719" s="147"/>
      <c r="C719" s="147"/>
      <c r="D719" s="147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</row>
    <row r="720">
      <c r="A720" s="147"/>
      <c r="B720" s="147"/>
      <c r="C720" s="147"/>
      <c r="D720" s="147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</row>
    <row r="721">
      <c r="A721" s="147"/>
      <c r="B721" s="147"/>
      <c r="C721" s="147"/>
      <c r="D721" s="147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</row>
    <row r="722">
      <c r="A722" s="147"/>
      <c r="B722" s="147"/>
      <c r="C722" s="147"/>
      <c r="D722" s="147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</row>
    <row r="723">
      <c r="A723" s="147"/>
      <c r="B723" s="147"/>
      <c r="C723" s="147"/>
      <c r="D723" s="147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</row>
    <row r="724">
      <c r="A724" s="147"/>
      <c r="B724" s="147"/>
      <c r="C724" s="147"/>
      <c r="D724" s="147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</row>
    <row r="725">
      <c r="A725" s="147"/>
      <c r="B725" s="147"/>
      <c r="C725" s="147"/>
      <c r="D725" s="147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</row>
    <row r="726">
      <c r="A726" s="147"/>
      <c r="B726" s="147"/>
      <c r="C726" s="147"/>
      <c r="D726" s="147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</row>
    <row r="727">
      <c r="A727" s="147"/>
      <c r="B727" s="147"/>
      <c r="C727" s="147"/>
      <c r="D727" s="147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</row>
    <row r="728">
      <c r="A728" s="147"/>
      <c r="B728" s="147"/>
      <c r="C728" s="147"/>
      <c r="D728" s="147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</row>
    <row r="729">
      <c r="A729" s="147"/>
      <c r="B729" s="147"/>
      <c r="C729" s="147"/>
      <c r="D729" s="147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</row>
    <row r="730">
      <c r="A730" s="147"/>
      <c r="B730" s="147"/>
      <c r="C730" s="147"/>
      <c r="D730" s="147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</row>
    <row r="731">
      <c r="A731" s="147"/>
      <c r="B731" s="147"/>
      <c r="C731" s="147"/>
      <c r="D731" s="147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</row>
    <row r="732">
      <c r="A732" s="147"/>
      <c r="B732" s="147"/>
      <c r="C732" s="147"/>
      <c r="D732" s="147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</row>
    <row r="733">
      <c r="A733" s="147"/>
      <c r="B733" s="147"/>
      <c r="C733" s="147"/>
      <c r="D733" s="147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</row>
    <row r="734">
      <c r="A734" s="147"/>
      <c r="B734" s="147"/>
      <c r="C734" s="147"/>
      <c r="D734" s="147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</row>
    <row r="735">
      <c r="A735" s="147"/>
      <c r="B735" s="147"/>
      <c r="C735" s="147"/>
      <c r="D735" s="147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</row>
    <row r="736">
      <c r="A736" s="147"/>
      <c r="B736" s="147"/>
      <c r="C736" s="147"/>
      <c r="D736" s="147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</row>
    <row r="737">
      <c r="A737" s="147"/>
      <c r="B737" s="147"/>
      <c r="C737" s="147"/>
      <c r="D737" s="147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</row>
    <row r="738">
      <c r="A738" s="147"/>
      <c r="B738" s="147"/>
      <c r="C738" s="147"/>
      <c r="D738" s="147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</row>
    <row r="739">
      <c r="A739" s="147"/>
      <c r="B739" s="147"/>
      <c r="C739" s="147"/>
      <c r="D739" s="147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</row>
    <row r="740">
      <c r="A740" s="147"/>
      <c r="B740" s="147"/>
      <c r="C740" s="147"/>
      <c r="D740" s="147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</row>
    <row r="741">
      <c r="A741" s="147"/>
      <c r="B741" s="147"/>
      <c r="C741" s="147"/>
      <c r="D741" s="147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</row>
    <row r="742">
      <c r="A742" s="147"/>
      <c r="B742" s="147"/>
      <c r="C742" s="147"/>
      <c r="D742" s="147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</row>
    <row r="743">
      <c r="A743" s="147"/>
      <c r="B743" s="147"/>
      <c r="C743" s="147"/>
      <c r="D743" s="147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</row>
    <row r="744">
      <c r="A744" s="147"/>
      <c r="B744" s="147"/>
      <c r="C744" s="147"/>
      <c r="D744" s="147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</row>
    <row r="745">
      <c r="A745" s="147"/>
      <c r="B745" s="147"/>
      <c r="C745" s="147"/>
      <c r="D745" s="147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</row>
    <row r="746">
      <c r="A746" s="147"/>
      <c r="B746" s="147"/>
      <c r="C746" s="147"/>
      <c r="D746" s="147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</row>
    <row r="747">
      <c r="A747" s="147"/>
      <c r="B747" s="147"/>
      <c r="C747" s="147"/>
      <c r="D747" s="147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</row>
    <row r="748">
      <c r="A748" s="147"/>
      <c r="B748" s="147"/>
      <c r="C748" s="147"/>
      <c r="D748" s="147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</row>
    <row r="749">
      <c r="A749" s="147"/>
      <c r="B749" s="147"/>
      <c r="C749" s="147"/>
      <c r="D749" s="147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</row>
    <row r="750">
      <c r="A750" s="147"/>
      <c r="B750" s="147"/>
      <c r="C750" s="147"/>
      <c r="D750" s="147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</row>
    <row r="751">
      <c r="A751" s="147"/>
      <c r="B751" s="147"/>
      <c r="C751" s="147"/>
      <c r="D751" s="147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</row>
    <row r="752">
      <c r="A752" s="147"/>
      <c r="B752" s="147"/>
      <c r="C752" s="147"/>
      <c r="D752" s="147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</row>
    <row r="753">
      <c r="A753" s="147"/>
      <c r="B753" s="147"/>
      <c r="C753" s="147"/>
      <c r="D753" s="147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</row>
    <row r="754">
      <c r="A754" s="147"/>
      <c r="B754" s="147"/>
      <c r="C754" s="147"/>
      <c r="D754" s="147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</row>
    <row r="755">
      <c r="A755" s="147"/>
      <c r="B755" s="147"/>
      <c r="C755" s="147"/>
      <c r="D755" s="147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</row>
    <row r="756">
      <c r="A756" s="147"/>
      <c r="B756" s="147"/>
      <c r="C756" s="147"/>
      <c r="D756" s="147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</row>
    <row r="757">
      <c r="A757" s="147"/>
      <c r="B757" s="147"/>
      <c r="C757" s="147"/>
      <c r="D757" s="147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</row>
    <row r="758">
      <c r="A758" s="147"/>
      <c r="B758" s="147"/>
      <c r="C758" s="147"/>
      <c r="D758" s="147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</row>
    <row r="759">
      <c r="A759" s="147"/>
      <c r="B759" s="147"/>
      <c r="C759" s="147"/>
      <c r="D759" s="147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</row>
    <row r="760">
      <c r="A760" s="147"/>
      <c r="B760" s="147"/>
      <c r="C760" s="147"/>
      <c r="D760" s="147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</row>
    <row r="761">
      <c r="A761" s="147"/>
      <c r="B761" s="147"/>
      <c r="C761" s="147"/>
      <c r="D761" s="147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</row>
    <row r="762">
      <c r="A762" s="147"/>
      <c r="B762" s="147"/>
      <c r="C762" s="147"/>
      <c r="D762" s="147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</row>
    <row r="763">
      <c r="A763" s="147"/>
      <c r="B763" s="147"/>
      <c r="C763" s="147"/>
      <c r="D763" s="147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</row>
    <row r="764">
      <c r="A764" s="147"/>
      <c r="B764" s="147"/>
      <c r="C764" s="147"/>
      <c r="D764" s="147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</row>
    <row r="765">
      <c r="A765" s="147"/>
      <c r="B765" s="147"/>
      <c r="C765" s="147"/>
      <c r="D765" s="147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</row>
    <row r="766">
      <c r="A766" s="147"/>
      <c r="B766" s="147"/>
      <c r="C766" s="147"/>
      <c r="D766" s="147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</row>
    <row r="767">
      <c r="A767" s="147"/>
      <c r="B767" s="147"/>
      <c r="C767" s="147"/>
      <c r="D767" s="147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</row>
    <row r="768">
      <c r="A768" s="147"/>
      <c r="B768" s="147"/>
      <c r="C768" s="147"/>
      <c r="D768" s="147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</row>
    <row r="769">
      <c r="A769" s="147"/>
      <c r="B769" s="147"/>
      <c r="C769" s="147"/>
      <c r="D769" s="147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</row>
    <row r="770">
      <c r="A770" s="147"/>
      <c r="B770" s="147"/>
      <c r="C770" s="147"/>
      <c r="D770" s="147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</row>
    <row r="771">
      <c r="A771" s="147"/>
      <c r="B771" s="147"/>
      <c r="C771" s="147"/>
      <c r="D771" s="147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</row>
    <row r="772">
      <c r="A772" s="147"/>
      <c r="B772" s="147"/>
      <c r="C772" s="147"/>
      <c r="D772" s="147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</row>
    <row r="773">
      <c r="A773" s="147"/>
      <c r="B773" s="147"/>
      <c r="C773" s="147"/>
      <c r="D773" s="147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</row>
    <row r="774">
      <c r="A774" s="147"/>
      <c r="B774" s="147"/>
      <c r="C774" s="147"/>
      <c r="D774" s="147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</row>
    <row r="775">
      <c r="A775" s="147"/>
      <c r="B775" s="147"/>
      <c r="C775" s="147"/>
      <c r="D775" s="147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</row>
    <row r="776">
      <c r="A776" s="147"/>
      <c r="B776" s="147"/>
      <c r="C776" s="147"/>
      <c r="D776" s="147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</row>
    <row r="777">
      <c r="A777" s="147"/>
      <c r="B777" s="147"/>
      <c r="C777" s="147"/>
      <c r="D777" s="147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</row>
    <row r="778">
      <c r="A778" s="147"/>
      <c r="B778" s="147"/>
      <c r="C778" s="147"/>
      <c r="D778" s="147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</row>
    <row r="779">
      <c r="A779" s="147"/>
      <c r="B779" s="147"/>
      <c r="C779" s="147"/>
      <c r="D779" s="147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</row>
    <row r="780">
      <c r="A780" s="147"/>
      <c r="B780" s="147"/>
      <c r="C780" s="147"/>
      <c r="D780" s="147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</row>
    <row r="781">
      <c r="A781" s="147"/>
      <c r="B781" s="147"/>
      <c r="C781" s="147"/>
      <c r="D781" s="147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</row>
    <row r="782">
      <c r="A782" s="147"/>
      <c r="B782" s="147"/>
      <c r="C782" s="147"/>
      <c r="D782" s="147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</row>
    <row r="783">
      <c r="A783" s="147"/>
      <c r="B783" s="147"/>
      <c r="C783" s="147"/>
      <c r="D783" s="147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</row>
    <row r="784">
      <c r="A784" s="147"/>
      <c r="B784" s="147"/>
      <c r="C784" s="147"/>
      <c r="D784" s="147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</row>
    <row r="785">
      <c r="A785" s="147"/>
      <c r="B785" s="147"/>
      <c r="C785" s="147"/>
      <c r="D785" s="147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</row>
    <row r="786">
      <c r="A786" s="147"/>
      <c r="B786" s="147"/>
      <c r="C786" s="147"/>
      <c r="D786" s="147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</row>
    <row r="787">
      <c r="A787" s="147"/>
      <c r="B787" s="147"/>
      <c r="C787" s="147"/>
      <c r="D787" s="147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</row>
    <row r="788">
      <c r="A788" s="147"/>
      <c r="B788" s="147"/>
      <c r="C788" s="147"/>
      <c r="D788" s="147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</row>
    <row r="789">
      <c r="A789" s="147"/>
      <c r="B789" s="147"/>
      <c r="C789" s="147"/>
      <c r="D789" s="147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</row>
    <row r="790">
      <c r="A790" s="147"/>
      <c r="B790" s="147"/>
      <c r="C790" s="147"/>
      <c r="D790" s="147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</row>
    <row r="791">
      <c r="A791" s="147"/>
      <c r="B791" s="147"/>
      <c r="C791" s="147"/>
      <c r="D791" s="147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</row>
    <row r="792">
      <c r="A792" s="147"/>
      <c r="B792" s="147"/>
      <c r="C792" s="147"/>
      <c r="D792" s="147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</row>
    <row r="793">
      <c r="A793" s="147"/>
      <c r="B793" s="147"/>
      <c r="C793" s="147"/>
      <c r="D793" s="147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</row>
    <row r="794">
      <c r="A794" s="147"/>
      <c r="B794" s="147"/>
      <c r="C794" s="147"/>
      <c r="D794" s="147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</row>
    <row r="795">
      <c r="A795" s="147"/>
      <c r="B795" s="147"/>
      <c r="C795" s="147"/>
      <c r="D795" s="147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</row>
    <row r="796">
      <c r="A796" s="147"/>
      <c r="B796" s="147"/>
      <c r="C796" s="147"/>
      <c r="D796" s="147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</row>
    <row r="797">
      <c r="A797" s="147"/>
      <c r="B797" s="147"/>
      <c r="C797" s="147"/>
      <c r="D797" s="147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</row>
    <row r="798">
      <c r="A798" s="147"/>
      <c r="B798" s="147"/>
      <c r="C798" s="147"/>
      <c r="D798" s="147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</row>
    <row r="799">
      <c r="A799" s="147"/>
      <c r="B799" s="147"/>
      <c r="C799" s="147"/>
      <c r="D799" s="147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</row>
    <row r="800">
      <c r="A800" s="147"/>
      <c r="B800" s="147"/>
      <c r="C800" s="147"/>
      <c r="D800" s="147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</row>
    <row r="801">
      <c r="A801" s="147"/>
      <c r="B801" s="147"/>
      <c r="C801" s="147"/>
      <c r="D801" s="147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</row>
    <row r="802">
      <c r="A802" s="147"/>
      <c r="B802" s="147"/>
      <c r="C802" s="147"/>
      <c r="D802" s="147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</row>
    <row r="803">
      <c r="A803" s="147"/>
      <c r="B803" s="147"/>
      <c r="C803" s="147"/>
      <c r="D803" s="147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</row>
    <row r="804">
      <c r="A804" s="147"/>
      <c r="B804" s="147"/>
      <c r="C804" s="147"/>
      <c r="D804" s="147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</row>
    <row r="805">
      <c r="A805" s="147"/>
      <c r="B805" s="147"/>
      <c r="C805" s="147"/>
      <c r="D805" s="147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</row>
    <row r="806">
      <c r="A806" s="147"/>
      <c r="B806" s="147"/>
      <c r="C806" s="147"/>
      <c r="D806" s="147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</row>
    <row r="807">
      <c r="A807" s="147"/>
      <c r="B807" s="147"/>
      <c r="C807" s="147"/>
      <c r="D807" s="147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</row>
    <row r="808">
      <c r="A808" s="147"/>
      <c r="B808" s="147"/>
      <c r="C808" s="147"/>
      <c r="D808" s="147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</row>
    <row r="809">
      <c r="A809" s="147"/>
      <c r="B809" s="147"/>
      <c r="C809" s="147"/>
      <c r="D809" s="147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</row>
    <row r="810">
      <c r="A810" s="147"/>
      <c r="B810" s="147"/>
      <c r="C810" s="147"/>
      <c r="D810" s="147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</row>
    <row r="811">
      <c r="A811" s="147"/>
      <c r="B811" s="147"/>
      <c r="C811" s="147"/>
      <c r="D811" s="147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</row>
    <row r="812">
      <c r="A812" s="147"/>
      <c r="B812" s="147"/>
      <c r="C812" s="147"/>
      <c r="D812" s="147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</row>
    <row r="813">
      <c r="A813" s="147"/>
      <c r="B813" s="147"/>
      <c r="C813" s="147"/>
      <c r="D813" s="147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</row>
    <row r="814">
      <c r="A814" s="147"/>
      <c r="B814" s="147"/>
      <c r="C814" s="147"/>
      <c r="D814" s="147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</row>
    <row r="815">
      <c r="A815" s="147"/>
      <c r="B815" s="147"/>
      <c r="C815" s="147"/>
      <c r="D815" s="147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</row>
    <row r="816">
      <c r="A816" s="147"/>
      <c r="B816" s="147"/>
      <c r="C816" s="147"/>
      <c r="D816" s="147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</row>
    <row r="817">
      <c r="A817" s="147"/>
      <c r="B817" s="147"/>
      <c r="C817" s="147"/>
      <c r="D817" s="147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</row>
    <row r="818">
      <c r="A818" s="147"/>
      <c r="B818" s="147"/>
      <c r="C818" s="147"/>
      <c r="D818" s="147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</row>
    <row r="819">
      <c r="A819" s="147"/>
      <c r="B819" s="147"/>
      <c r="C819" s="147"/>
      <c r="D819" s="147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</row>
    <row r="820">
      <c r="A820" s="147"/>
      <c r="B820" s="147"/>
      <c r="C820" s="147"/>
      <c r="D820" s="147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</row>
    <row r="821">
      <c r="A821" s="147"/>
      <c r="B821" s="147"/>
      <c r="C821" s="147"/>
      <c r="D821" s="147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</row>
    <row r="822">
      <c r="A822" s="147"/>
      <c r="B822" s="147"/>
      <c r="C822" s="147"/>
      <c r="D822" s="147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</row>
    <row r="823">
      <c r="A823" s="147"/>
      <c r="B823" s="147"/>
      <c r="C823" s="147"/>
      <c r="D823" s="147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</row>
    <row r="824">
      <c r="A824" s="147"/>
      <c r="B824" s="147"/>
      <c r="C824" s="147"/>
      <c r="D824" s="147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</row>
    <row r="825">
      <c r="A825" s="147"/>
      <c r="B825" s="147"/>
      <c r="C825" s="147"/>
      <c r="D825" s="147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</row>
    <row r="826">
      <c r="A826" s="147"/>
      <c r="B826" s="147"/>
      <c r="C826" s="147"/>
      <c r="D826" s="147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</row>
    <row r="827">
      <c r="A827" s="147"/>
      <c r="B827" s="147"/>
      <c r="C827" s="147"/>
      <c r="D827" s="147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</row>
    <row r="828">
      <c r="A828" s="147"/>
      <c r="B828" s="147"/>
      <c r="C828" s="147"/>
      <c r="D828" s="147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</row>
    <row r="829">
      <c r="A829" s="147"/>
      <c r="B829" s="147"/>
      <c r="C829" s="147"/>
      <c r="D829" s="147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</row>
    <row r="830">
      <c r="A830" s="147"/>
      <c r="B830" s="147"/>
      <c r="C830" s="147"/>
      <c r="D830" s="147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</row>
    <row r="831">
      <c r="A831" s="147"/>
      <c r="B831" s="147"/>
      <c r="C831" s="147"/>
      <c r="D831" s="147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</row>
    <row r="832">
      <c r="A832" s="147"/>
      <c r="B832" s="147"/>
      <c r="C832" s="147"/>
      <c r="D832" s="147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</row>
    <row r="833">
      <c r="A833" s="147"/>
      <c r="B833" s="147"/>
      <c r="C833" s="147"/>
      <c r="D833" s="147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</row>
    <row r="834">
      <c r="A834" s="147"/>
      <c r="B834" s="147"/>
      <c r="C834" s="147"/>
      <c r="D834" s="147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</row>
    <row r="835">
      <c r="A835" s="147"/>
      <c r="B835" s="147"/>
      <c r="C835" s="147"/>
      <c r="D835" s="147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</row>
    <row r="836">
      <c r="A836" s="147"/>
      <c r="B836" s="147"/>
      <c r="C836" s="147"/>
      <c r="D836" s="147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</row>
    <row r="837">
      <c r="A837" s="147"/>
      <c r="B837" s="147"/>
      <c r="C837" s="147"/>
      <c r="D837" s="147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</row>
    <row r="838">
      <c r="A838" s="147"/>
      <c r="B838" s="147"/>
      <c r="C838" s="147"/>
      <c r="D838" s="147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</row>
    <row r="839">
      <c r="A839" s="147"/>
      <c r="B839" s="147"/>
      <c r="C839" s="147"/>
      <c r="D839" s="147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</row>
    <row r="840">
      <c r="A840" s="147"/>
      <c r="B840" s="147"/>
      <c r="C840" s="147"/>
      <c r="D840" s="147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</row>
    <row r="841">
      <c r="A841" s="147"/>
      <c r="B841" s="147"/>
      <c r="C841" s="147"/>
      <c r="D841" s="147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</row>
    <row r="842">
      <c r="A842" s="147"/>
      <c r="B842" s="147"/>
      <c r="C842" s="147"/>
      <c r="D842" s="147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</row>
    <row r="843">
      <c r="A843" s="147"/>
      <c r="B843" s="147"/>
      <c r="C843" s="147"/>
      <c r="D843" s="147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</row>
    <row r="844">
      <c r="A844" s="147"/>
      <c r="B844" s="147"/>
      <c r="C844" s="147"/>
      <c r="D844" s="147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</row>
    <row r="845">
      <c r="A845" s="147"/>
      <c r="B845" s="147"/>
      <c r="C845" s="147"/>
      <c r="D845" s="147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</row>
    <row r="846">
      <c r="A846" s="147"/>
      <c r="B846" s="147"/>
      <c r="C846" s="147"/>
      <c r="D846" s="147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</row>
    <row r="847">
      <c r="A847" s="147"/>
      <c r="B847" s="147"/>
      <c r="C847" s="147"/>
      <c r="D847" s="147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</row>
    <row r="848">
      <c r="A848" s="147"/>
      <c r="B848" s="147"/>
      <c r="C848" s="147"/>
      <c r="D848" s="147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</row>
    <row r="849">
      <c r="A849" s="147"/>
      <c r="B849" s="147"/>
      <c r="C849" s="147"/>
      <c r="D849" s="147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</row>
    <row r="850">
      <c r="A850" s="147"/>
      <c r="B850" s="147"/>
      <c r="C850" s="147"/>
      <c r="D850" s="147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</row>
    <row r="851">
      <c r="A851" s="147"/>
      <c r="B851" s="147"/>
      <c r="C851" s="147"/>
      <c r="D851" s="147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</row>
    <row r="852">
      <c r="A852" s="147"/>
      <c r="B852" s="147"/>
      <c r="C852" s="147"/>
      <c r="D852" s="147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</row>
    <row r="853">
      <c r="A853" s="147"/>
      <c r="B853" s="147"/>
      <c r="C853" s="147"/>
      <c r="D853" s="147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</row>
    <row r="854">
      <c r="A854" s="147"/>
      <c r="B854" s="147"/>
      <c r="C854" s="147"/>
      <c r="D854" s="147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</row>
    <row r="855">
      <c r="A855" s="147"/>
      <c r="B855" s="147"/>
      <c r="C855" s="147"/>
      <c r="D855" s="147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</row>
    <row r="856">
      <c r="A856" s="147"/>
      <c r="B856" s="147"/>
      <c r="C856" s="147"/>
      <c r="D856" s="147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</row>
    <row r="857">
      <c r="A857" s="147"/>
      <c r="B857" s="147"/>
      <c r="C857" s="147"/>
      <c r="D857" s="147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</row>
    <row r="858">
      <c r="A858" s="147"/>
      <c r="B858" s="147"/>
      <c r="C858" s="147"/>
      <c r="D858" s="147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</row>
    <row r="859">
      <c r="A859" s="147"/>
      <c r="B859" s="147"/>
      <c r="C859" s="147"/>
      <c r="D859" s="147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</row>
    <row r="860">
      <c r="A860" s="147"/>
      <c r="B860" s="147"/>
      <c r="C860" s="147"/>
      <c r="D860" s="147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</row>
    <row r="861">
      <c r="A861" s="147"/>
      <c r="B861" s="147"/>
      <c r="C861" s="147"/>
      <c r="D861" s="147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</row>
    <row r="862">
      <c r="A862" s="147"/>
      <c r="B862" s="147"/>
      <c r="C862" s="147"/>
      <c r="D862" s="147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</row>
    <row r="863">
      <c r="A863" s="147"/>
      <c r="B863" s="147"/>
      <c r="C863" s="147"/>
      <c r="D863" s="147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</row>
    <row r="864">
      <c r="A864" s="147"/>
      <c r="B864" s="147"/>
      <c r="C864" s="147"/>
      <c r="D864" s="147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</row>
    <row r="865">
      <c r="A865" s="147"/>
      <c r="B865" s="147"/>
      <c r="C865" s="147"/>
      <c r="D865" s="147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</row>
    <row r="866">
      <c r="A866" s="147"/>
      <c r="B866" s="147"/>
      <c r="C866" s="147"/>
      <c r="D866" s="147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</row>
    <row r="867">
      <c r="A867" s="147"/>
      <c r="B867" s="147"/>
      <c r="C867" s="147"/>
      <c r="D867" s="147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</row>
    <row r="868">
      <c r="A868" s="147"/>
      <c r="B868" s="147"/>
      <c r="C868" s="147"/>
      <c r="D868" s="147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</row>
    <row r="869">
      <c r="A869" s="147"/>
      <c r="B869" s="147"/>
      <c r="C869" s="147"/>
      <c r="D869" s="147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</row>
    <row r="870">
      <c r="A870" s="147"/>
      <c r="B870" s="147"/>
      <c r="C870" s="147"/>
      <c r="D870" s="147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</row>
    <row r="871">
      <c r="A871" s="147"/>
      <c r="B871" s="147"/>
      <c r="C871" s="147"/>
      <c r="D871" s="147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</row>
    <row r="872">
      <c r="A872" s="147"/>
      <c r="B872" s="147"/>
      <c r="C872" s="147"/>
      <c r="D872" s="147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</row>
    <row r="873">
      <c r="A873" s="147"/>
      <c r="B873" s="147"/>
      <c r="C873" s="147"/>
      <c r="D873" s="147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</row>
    <row r="874">
      <c r="A874" s="147"/>
      <c r="B874" s="147"/>
      <c r="C874" s="147"/>
      <c r="D874" s="147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</row>
    <row r="875">
      <c r="A875" s="147"/>
      <c r="B875" s="147"/>
      <c r="C875" s="147"/>
      <c r="D875" s="147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</row>
    <row r="876">
      <c r="A876" s="147"/>
      <c r="B876" s="147"/>
      <c r="C876" s="147"/>
      <c r="D876" s="147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</row>
    <row r="877">
      <c r="A877" s="147"/>
      <c r="B877" s="147"/>
      <c r="C877" s="147"/>
      <c r="D877" s="147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</row>
    <row r="878">
      <c r="A878" s="147"/>
      <c r="B878" s="147"/>
      <c r="C878" s="147"/>
      <c r="D878" s="147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</row>
    <row r="879">
      <c r="A879" s="147"/>
      <c r="B879" s="147"/>
      <c r="C879" s="147"/>
      <c r="D879" s="147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</row>
    <row r="880">
      <c r="A880" s="147"/>
      <c r="B880" s="147"/>
      <c r="C880" s="147"/>
      <c r="D880" s="147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</row>
    <row r="881">
      <c r="A881" s="147"/>
      <c r="B881" s="147"/>
      <c r="C881" s="147"/>
      <c r="D881" s="147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</row>
    <row r="882">
      <c r="A882" s="147"/>
      <c r="B882" s="147"/>
      <c r="C882" s="147"/>
      <c r="D882" s="147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</row>
    <row r="883">
      <c r="A883" s="147"/>
      <c r="B883" s="147"/>
      <c r="C883" s="147"/>
      <c r="D883" s="147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</row>
    <row r="884">
      <c r="A884" s="147"/>
      <c r="B884" s="147"/>
      <c r="C884" s="147"/>
      <c r="D884" s="147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</row>
    <row r="885">
      <c r="A885" s="147"/>
      <c r="B885" s="147"/>
      <c r="C885" s="147"/>
      <c r="D885" s="147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</row>
    <row r="886">
      <c r="A886" s="147"/>
      <c r="B886" s="147"/>
      <c r="C886" s="147"/>
      <c r="D886" s="147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</row>
    <row r="887">
      <c r="A887" s="147"/>
      <c r="B887" s="147"/>
      <c r="C887" s="147"/>
      <c r="D887" s="147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</row>
    <row r="888">
      <c r="A888" s="147"/>
      <c r="B888" s="147"/>
      <c r="C888" s="147"/>
      <c r="D888" s="147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</row>
    <row r="889">
      <c r="A889" s="147"/>
      <c r="B889" s="147"/>
      <c r="C889" s="147"/>
      <c r="D889" s="147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</row>
    <row r="890">
      <c r="A890" s="147"/>
      <c r="B890" s="147"/>
      <c r="C890" s="147"/>
      <c r="D890" s="147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</row>
    <row r="891">
      <c r="A891" s="147"/>
      <c r="B891" s="147"/>
      <c r="C891" s="147"/>
      <c r="D891" s="147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</row>
    <row r="892">
      <c r="A892" s="147"/>
      <c r="B892" s="147"/>
      <c r="C892" s="147"/>
      <c r="D892" s="147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</row>
    <row r="893">
      <c r="A893" s="147"/>
      <c r="B893" s="147"/>
      <c r="C893" s="147"/>
      <c r="D893" s="147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</row>
    <row r="894">
      <c r="A894" s="147"/>
      <c r="B894" s="147"/>
      <c r="C894" s="147"/>
      <c r="D894" s="147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</row>
    <row r="895">
      <c r="A895" s="147"/>
      <c r="B895" s="147"/>
      <c r="C895" s="147"/>
      <c r="D895" s="147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</row>
    <row r="896">
      <c r="A896" s="147"/>
      <c r="B896" s="147"/>
      <c r="C896" s="147"/>
      <c r="D896" s="147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</row>
    <row r="897">
      <c r="A897" s="147"/>
      <c r="B897" s="147"/>
      <c r="C897" s="147"/>
      <c r="D897" s="147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</row>
    <row r="898">
      <c r="A898" s="147"/>
      <c r="B898" s="147"/>
      <c r="C898" s="147"/>
      <c r="D898" s="147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</row>
    <row r="899">
      <c r="A899" s="147"/>
      <c r="B899" s="147"/>
      <c r="C899" s="147"/>
      <c r="D899" s="147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</row>
    <row r="900">
      <c r="A900" s="147"/>
      <c r="B900" s="147"/>
      <c r="C900" s="147"/>
      <c r="D900" s="147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</row>
    <row r="901">
      <c r="A901" s="147"/>
      <c r="B901" s="147"/>
      <c r="C901" s="147"/>
      <c r="D901" s="147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</row>
    <row r="902">
      <c r="A902" s="147"/>
      <c r="B902" s="147"/>
      <c r="C902" s="147"/>
      <c r="D902" s="147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</row>
    <row r="903">
      <c r="A903" s="147"/>
      <c r="B903" s="147"/>
      <c r="C903" s="147"/>
      <c r="D903" s="147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</row>
    <row r="904">
      <c r="A904" s="147"/>
      <c r="B904" s="147"/>
      <c r="C904" s="147"/>
      <c r="D904" s="147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</row>
    <row r="905">
      <c r="A905" s="147"/>
      <c r="B905" s="147"/>
      <c r="C905" s="147"/>
      <c r="D905" s="147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</row>
    <row r="906">
      <c r="A906" s="147"/>
      <c r="B906" s="147"/>
      <c r="C906" s="147"/>
      <c r="D906" s="147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</row>
    <row r="907">
      <c r="A907" s="147"/>
      <c r="B907" s="147"/>
      <c r="C907" s="147"/>
      <c r="D907" s="147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</row>
    <row r="908">
      <c r="A908" s="147"/>
      <c r="B908" s="147"/>
      <c r="C908" s="147"/>
      <c r="D908" s="147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</row>
    <row r="909">
      <c r="A909" s="147"/>
      <c r="B909" s="147"/>
      <c r="C909" s="147"/>
      <c r="D909" s="147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</row>
    <row r="910">
      <c r="A910" s="147"/>
      <c r="B910" s="147"/>
      <c r="C910" s="147"/>
      <c r="D910" s="147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</row>
    <row r="911">
      <c r="A911" s="147"/>
      <c r="B911" s="147"/>
      <c r="C911" s="147"/>
      <c r="D911" s="147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</row>
    <row r="912">
      <c r="A912" s="147"/>
      <c r="B912" s="147"/>
      <c r="C912" s="147"/>
      <c r="D912" s="147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</row>
    <row r="913">
      <c r="A913" s="147"/>
      <c r="B913" s="147"/>
      <c r="C913" s="147"/>
      <c r="D913" s="147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</row>
    <row r="914">
      <c r="A914" s="147"/>
      <c r="B914" s="147"/>
      <c r="C914" s="147"/>
      <c r="D914" s="147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</row>
    <row r="915">
      <c r="A915" s="147"/>
      <c r="B915" s="147"/>
      <c r="C915" s="147"/>
      <c r="D915" s="147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</row>
    <row r="916">
      <c r="A916" s="147"/>
      <c r="B916" s="147"/>
      <c r="C916" s="147"/>
      <c r="D916" s="147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</row>
    <row r="917">
      <c r="A917" s="147"/>
      <c r="B917" s="147"/>
      <c r="C917" s="147"/>
      <c r="D917" s="147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</row>
    <row r="918">
      <c r="A918" s="147"/>
      <c r="B918" s="147"/>
      <c r="C918" s="147"/>
      <c r="D918" s="147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</row>
    <row r="919">
      <c r="A919" s="147"/>
      <c r="B919" s="147"/>
      <c r="C919" s="147"/>
      <c r="D919" s="147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</row>
    <row r="920">
      <c r="A920" s="147"/>
      <c r="B920" s="147"/>
      <c r="C920" s="147"/>
      <c r="D920" s="147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</row>
    <row r="921">
      <c r="A921" s="147"/>
      <c r="B921" s="147"/>
      <c r="C921" s="147"/>
      <c r="D921" s="147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</row>
    <row r="922">
      <c r="A922" s="147"/>
      <c r="B922" s="147"/>
      <c r="C922" s="147"/>
      <c r="D922" s="147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</row>
    <row r="923">
      <c r="A923" s="147"/>
      <c r="B923" s="147"/>
      <c r="C923" s="147"/>
      <c r="D923" s="147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</row>
    <row r="924">
      <c r="A924" s="147"/>
      <c r="B924" s="147"/>
      <c r="C924" s="147"/>
      <c r="D924" s="147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</row>
    <row r="925">
      <c r="A925" s="147"/>
      <c r="B925" s="147"/>
      <c r="C925" s="147"/>
      <c r="D925" s="147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</row>
    <row r="926">
      <c r="A926" s="147"/>
      <c r="B926" s="147"/>
      <c r="C926" s="147"/>
      <c r="D926" s="147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</row>
    <row r="927">
      <c r="A927" s="147"/>
      <c r="B927" s="147"/>
      <c r="C927" s="147"/>
      <c r="D927" s="147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</row>
    <row r="928">
      <c r="A928" s="147"/>
      <c r="B928" s="147"/>
      <c r="C928" s="147"/>
      <c r="D928" s="147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</row>
    <row r="929">
      <c r="A929" s="147"/>
      <c r="B929" s="147"/>
      <c r="C929" s="147"/>
      <c r="D929" s="147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</row>
    <row r="930">
      <c r="A930" s="147"/>
      <c r="B930" s="147"/>
      <c r="C930" s="147"/>
      <c r="D930" s="147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</row>
    <row r="931">
      <c r="A931" s="147"/>
      <c r="B931" s="147"/>
      <c r="C931" s="147"/>
      <c r="D931" s="147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</row>
    <row r="932">
      <c r="A932" s="147"/>
      <c r="B932" s="147"/>
      <c r="C932" s="147"/>
      <c r="D932" s="147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</row>
    <row r="933">
      <c r="A933" s="147"/>
      <c r="B933" s="147"/>
      <c r="C933" s="147"/>
      <c r="D933" s="147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</row>
    <row r="934">
      <c r="A934" s="147"/>
      <c r="B934" s="147"/>
      <c r="C934" s="147"/>
      <c r="D934" s="147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</row>
    <row r="935">
      <c r="A935" s="147"/>
      <c r="B935" s="147"/>
      <c r="C935" s="147"/>
      <c r="D935" s="147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</row>
    <row r="936">
      <c r="A936" s="147"/>
      <c r="B936" s="147"/>
      <c r="C936" s="147"/>
      <c r="D936" s="147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</row>
    <row r="937">
      <c r="A937" s="147"/>
      <c r="B937" s="147"/>
      <c r="C937" s="147"/>
      <c r="D937" s="147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</row>
    <row r="938">
      <c r="A938" s="147"/>
      <c r="B938" s="147"/>
      <c r="C938" s="147"/>
      <c r="D938" s="147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</row>
    <row r="939">
      <c r="A939" s="147"/>
      <c r="B939" s="147"/>
      <c r="C939" s="147"/>
      <c r="D939" s="147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</row>
    <row r="940">
      <c r="A940" s="147"/>
      <c r="B940" s="147"/>
      <c r="C940" s="147"/>
      <c r="D940" s="147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</row>
    <row r="941">
      <c r="A941" s="147"/>
      <c r="B941" s="147"/>
      <c r="C941" s="147"/>
      <c r="D941" s="147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</row>
    <row r="942">
      <c r="A942" s="147"/>
      <c r="B942" s="147"/>
      <c r="C942" s="147"/>
      <c r="D942" s="147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</row>
    <row r="943">
      <c r="A943" s="147"/>
      <c r="B943" s="147"/>
      <c r="C943" s="147"/>
      <c r="D943" s="147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</row>
    <row r="944">
      <c r="A944" s="147"/>
      <c r="B944" s="147"/>
      <c r="C944" s="147"/>
      <c r="D944" s="147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</row>
    <row r="945">
      <c r="A945" s="147"/>
      <c r="B945" s="147"/>
      <c r="C945" s="147"/>
      <c r="D945" s="147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</row>
    <row r="946">
      <c r="A946" s="147"/>
      <c r="B946" s="147"/>
      <c r="C946" s="147"/>
      <c r="D946" s="147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</row>
    <row r="947">
      <c r="A947" s="147"/>
      <c r="B947" s="147"/>
      <c r="C947" s="147"/>
      <c r="D947" s="147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</row>
    <row r="948">
      <c r="A948" s="147"/>
      <c r="B948" s="147"/>
      <c r="C948" s="147"/>
      <c r="D948" s="147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</row>
    <row r="949">
      <c r="A949" s="147"/>
      <c r="B949" s="147"/>
      <c r="C949" s="147"/>
      <c r="D949" s="147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</row>
    <row r="950">
      <c r="A950" s="147"/>
      <c r="B950" s="147"/>
      <c r="C950" s="147"/>
      <c r="D950" s="147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</row>
    <row r="951">
      <c r="A951" s="147"/>
      <c r="B951" s="147"/>
      <c r="C951" s="147"/>
      <c r="D951" s="147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</row>
    <row r="952">
      <c r="A952" s="147"/>
      <c r="B952" s="147"/>
      <c r="C952" s="147"/>
      <c r="D952" s="147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</row>
    <row r="953">
      <c r="A953" s="147"/>
      <c r="B953" s="147"/>
      <c r="C953" s="147"/>
      <c r="D953" s="147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</row>
    <row r="954">
      <c r="A954" s="147"/>
      <c r="B954" s="147"/>
      <c r="C954" s="147"/>
      <c r="D954" s="147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</row>
    <row r="955">
      <c r="A955" s="147"/>
      <c r="B955" s="147"/>
      <c r="C955" s="147"/>
      <c r="D955" s="147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</row>
    <row r="956">
      <c r="A956" s="147"/>
      <c r="B956" s="147"/>
      <c r="C956" s="147"/>
      <c r="D956" s="147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</row>
    <row r="957">
      <c r="A957" s="147"/>
      <c r="B957" s="147"/>
      <c r="C957" s="147"/>
      <c r="D957" s="147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</row>
    <row r="958">
      <c r="A958" s="147"/>
      <c r="B958" s="147"/>
      <c r="C958" s="147"/>
      <c r="D958" s="147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</row>
    <row r="959">
      <c r="A959" s="147"/>
      <c r="B959" s="147"/>
      <c r="C959" s="147"/>
      <c r="D959" s="147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</row>
    <row r="960">
      <c r="A960" s="147"/>
      <c r="B960" s="147"/>
      <c r="C960" s="147"/>
      <c r="D960" s="147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</row>
    <row r="961">
      <c r="A961" s="147"/>
      <c r="B961" s="147"/>
      <c r="C961" s="147"/>
      <c r="D961" s="147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</row>
    <row r="962">
      <c r="A962" s="147"/>
      <c r="B962" s="147"/>
      <c r="C962" s="147"/>
      <c r="D962" s="147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</row>
    <row r="963">
      <c r="A963" s="147"/>
      <c r="B963" s="147"/>
      <c r="C963" s="147"/>
      <c r="D963" s="147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</row>
    <row r="964">
      <c r="A964" s="147"/>
      <c r="B964" s="147"/>
      <c r="C964" s="147"/>
      <c r="D964" s="147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</row>
    <row r="965">
      <c r="A965" s="147"/>
      <c r="B965" s="147"/>
      <c r="C965" s="147"/>
      <c r="D965" s="147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</row>
    <row r="966">
      <c r="A966" s="147"/>
      <c r="B966" s="147"/>
      <c r="C966" s="147"/>
      <c r="D966" s="147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</row>
    <row r="967">
      <c r="A967" s="147"/>
      <c r="B967" s="147"/>
      <c r="C967" s="147"/>
      <c r="D967" s="147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</row>
    <row r="968">
      <c r="A968" s="147"/>
      <c r="B968" s="147"/>
      <c r="C968" s="147"/>
      <c r="D968" s="147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</row>
    <row r="969">
      <c r="A969" s="147"/>
      <c r="B969" s="147"/>
      <c r="C969" s="147"/>
      <c r="D969" s="147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</row>
    <row r="970">
      <c r="A970" s="147"/>
      <c r="B970" s="147"/>
      <c r="C970" s="147"/>
      <c r="D970" s="147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</row>
    <row r="971">
      <c r="A971" s="147"/>
      <c r="B971" s="147"/>
      <c r="C971" s="147"/>
      <c r="D971" s="147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</row>
    <row r="972">
      <c r="A972" s="147"/>
      <c r="B972" s="147"/>
      <c r="C972" s="147"/>
      <c r="D972" s="147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</row>
    <row r="973">
      <c r="A973" s="147"/>
      <c r="B973" s="147"/>
      <c r="C973" s="147"/>
      <c r="D973" s="147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</row>
    <row r="974">
      <c r="A974" s="147"/>
      <c r="B974" s="147"/>
      <c r="C974" s="147"/>
      <c r="D974" s="147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</row>
    <row r="975">
      <c r="A975" s="147"/>
      <c r="B975" s="147"/>
      <c r="C975" s="147"/>
      <c r="D975" s="147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</row>
    <row r="976">
      <c r="A976" s="147"/>
      <c r="B976" s="147"/>
      <c r="C976" s="147"/>
      <c r="D976" s="147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</row>
    <row r="977">
      <c r="A977" s="147"/>
      <c r="B977" s="147"/>
      <c r="C977" s="147"/>
      <c r="D977" s="147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</row>
    <row r="978">
      <c r="A978" s="147"/>
      <c r="B978" s="147"/>
      <c r="C978" s="147"/>
      <c r="D978" s="147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</row>
    <row r="979">
      <c r="A979" s="147"/>
      <c r="B979" s="147"/>
      <c r="C979" s="147"/>
      <c r="D979" s="147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</row>
    <row r="980">
      <c r="A980" s="147"/>
      <c r="B980" s="147"/>
      <c r="C980" s="147"/>
      <c r="D980" s="147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</row>
    <row r="981">
      <c r="A981" s="147"/>
      <c r="B981" s="147"/>
      <c r="C981" s="147"/>
      <c r="D981" s="147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</row>
    <row r="982">
      <c r="A982" s="147"/>
      <c r="B982" s="147"/>
      <c r="C982" s="147"/>
      <c r="D982" s="147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</row>
    <row r="983">
      <c r="A983" s="147"/>
      <c r="B983" s="147"/>
      <c r="C983" s="147"/>
      <c r="D983" s="147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</row>
    <row r="984">
      <c r="A984" s="147"/>
      <c r="B984" s="147"/>
      <c r="C984" s="147"/>
      <c r="D984" s="147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</row>
    <row r="985">
      <c r="A985" s="147"/>
      <c r="B985" s="147"/>
      <c r="C985" s="147"/>
      <c r="D985" s="147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</row>
    <row r="986">
      <c r="A986" s="147"/>
      <c r="B986" s="147"/>
      <c r="C986" s="147"/>
      <c r="D986" s="147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</row>
    <row r="987">
      <c r="A987" s="147"/>
      <c r="B987" s="147"/>
      <c r="C987" s="147"/>
      <c r="D987" s="147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</row>
    <row r="988">
      <c r="A988" s="147"/>
      <c r="B988" s="147"/>
      <c r="C988" s="147"/>
      <c r="D988" s="147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</row>
    <row r="989">
      <c r="A989" s="147"/>
      <c r="B989" s="147"/>
      <c r="C989" s="147"/>
      <c r="D989" s="147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</row>
    <row r="990">
      <c r="A990" s="147"/>
      <c r="B990" s="147"/>
      <c r="C990" s="147"/>
      <c r="D990" s="147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</row>
    <row r="991">
      <c r="A991" s="147"/>
      <c r="B991" s="147"/>
      <c r="C991" s="147"/>
      <c r="D991" s="147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</row>
    <row r="992">
      <c r="A992" s="147"/>
      <c r="B992" s="147"/>
      <c r="C992" s="147"/>
      <c r="D992" s="147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</row>
    <row r="993">
      <c r="A993" s="147"/>
      <c r="B993" s="147"/>
      <c r="C993" s="147"/>
      <c r="D993" s="147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</row>
    <row r="994">
      <c r="A994" s="147"/>
      <c r="B994" s="147"/>
      <c r="C994" s="147"/>
      <c r="D994" s="147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</row>
    <row r="995">
      <c r="A995" s="147"/>
      <c r="B995" s="147"/>
      <c r="C995" s="147"/>
      <c r="D995" s="147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</row>
    <row r="996">
      <c r="A996" s="147"/>
      <c r="B996" s="147"/>
      <c r="C996" s="147"/>
      <c r="D996" s="147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</row>
    <row r="997">
      <c r="A997" s="147"/>
      <c r="B997" s="147"/>
      <c r="C997" s="147"/>
      <c r="D997" s="147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</row>
    <row r="998">
      <c r="A998" s="147"/>
      <c r="B998" s="147"/>
      <c r="C998" s="147"/>
      <c r="D998" s="147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</row>
    <row r="999">
      <c r="A999" s="147"/>
      <c r="B999" s="147"/>
      <c r="C999" s="147"/>
      <c r="D999" s="147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</row>
    <row r="1000">
      <c r="A1000" s="147"/>
      <c r="B1000" s="147"/>
      <c r="C1000" s="147"/>
      <c r="D1000" s="147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</row>
    <row r="1001">
      <c r="A1001" s="147"/>
      <c r="B1001" s="147"/>
      <c r="C1001" s="147"/>
      <c r="D1001" s="147"/>
      <c r="E1001" s="147"/>
      <c r="F1001" s="147"/>
      <c r="G1001" s="147"/>
      <c r="H1001" s="147"/>
      <c r="I1001" s="147"/>
      <c r="J1001" s="147"/>
      <c r="K1001" s="147"/>
      <c r="L1001" s="147"/>
      <c r="M1001" s="147"/>
      <c r="N1001" s="147"/>
      <c r="O1001" s="147"/>
      <c r="P1001" s="147"/>
      <c r="Q1001" s="147"/>
      <c r="R1001" s="147"/>
      <c r="S1001" s="147"/>
      <c r="T1001" s="147"/>
      <c r="U1001" s="147"/>
      <c r="V1001" s="147"/>
      <c r="W1001" s="147"/>
      <c r="X1001" s="147"/>
      <c r="Y1001" s="147"/>
      <c r="Z1001" s="147"/>
    </row>
    <row r="1002">
      <c r="A1002" s="147"/>
      <c r="B1002" s="147"/>
      <c r="C1002" s="147"/>
      <c r="D1002" s="147"/>
      <c r="E1002" s="147"/>
      <c r="F1002" s="147"/>
      <c r="G1002" s="147"/>
      <c r="H1002" s="147"/>
      <c r="I1002" s="147"/>
      <c r="J1002" s="147"/>
      <c r="K1002" s="147"/>
      <c r="L1002" s="147"/>
      <c r="M1002" s="147"/>
      <c r="N1002" s="147"/>
      <c r="O1002" s="147"/>
      <c r="P1002" s="147"/>
      <c r="Q1002" s="147"/>
      <c r="R1002" s="147"/>
      <c r="S1002" s="147"/>
      <c r="T1002" s="147"/>
      <c r="U1002" s="147"/>
      <c r="V1002" s="147"/>
      <c r="W1002" s="147"/>
      <c r="X1002" s="147"/>
      <c r="Y1002" s="147"/>
      <c r="Z1002" s="147"/>
    </row>
    <row r="1003">
      <c r="A1003" s="147"/>
      <c r="B1003" s="147"/>
      <c r="C1003" s="147"/>
      <c r="D1003" s="147"/>
      <c r="E1003" s="147"/>
      <c r="F1003" s="147"/>
      <c r="G1003" s="147"/>
      <c r="H1003" s="147"/>
      <c r="I1003" s="147"/>
      <c r="J1003" s="147"/>
      <c r="K1003" s="147"/>
      <c r="L1003" s="147"/>
      <c r="M1003" s="147"/>
      <c r="N1003" s="147"/>
      <c r="O1003" s="147"/>
      <c r="P1003" s="147"/>
      <c r="Q1003" s="147"/>
      <c r="R1003" s="147"/>
      <c r="S1003" s="147"/>
      <c r="T1003" s="147"/>
      <c r="U1003" s="147"/>
      <c r="V1003" s="147"/>
      <c r="W1003" s="147"/>
      <c r="X1003" s="147"/>
      <c r="Y1003" s="147"/>
      <c r="Z1003" s="147"/>
    </row>
    <row r="1004">
      <c r="A1004" s="147"/>
      <c r="B1004" s="147"/>
      <c r="C1004" s="147"/>
      <c r="D1004" s="147"/>
      <c r="E1004" s="147"/>
      <c r="F1004" s="147"/>
      <c r="G1004" s="147"/>
      <c r="H1004" s="147"/>
      <c r="I1004" s="147"/>
      <c r="J1004" s="147"/>
      <c r="K1004" s="147"/>
      <c r="L1004" s="147"/>
      <c r="M1004" s="147"/>
      <c r="N1004" s="147"/>
      <c r="O1004" s="147"/>
      <c r="P1004" s="147"/>
      <c r="Q1004" s="147"/>
      <c r="R1004" s="147"/>
      <c r="S1004" s="147"/>
      <c r="T1004" s="147"/>
      <c r="U1004" s="147"/>
      <c r="V1004" s="147"/>
      <c r="W1004" s="147"/>
      <c r="X1004" s="147"/>
      <c r="Y1004" s="147"/>
      <c r="Z1004" s="147"/>
    </row>
    <row r="1005">
      <c r="A1005" s="147"/>
      <c r="B1005" s="147"/>
      <c r="C1005" s="147"/>
      <c r="D1005" s="147"/>
      <c r="E1005" s="147"/>
      <c r="F1005" s="147"/>
      <c r="G1005" s="147"/>
      <c r="H1005" s="147"/>
      <c r="I1005" s="147"/>
      <c r="J1005" s="147"/>
      <c r="K1005" s="147"/>
      <c r="L1005" s="147"/>
      <c r="M1005" s="147"/>
      <c r="N1005" s="147"/>
      <c r="O1005" s="147"/>
      <c r="P1005" s="147"/>
      <c r="Q1005" s="147"/>
      <c r="R1005" s="147"/>
      <c r="S1005" s="147"/>
      <c r="T1005" s="147"/>
      <c r="U1005" s="147"/>
      <c r="V1005" s="147"/>
      <c r="W1005" s="147"/>
      <c r="X1005" s="147"/>
      <c r="Y1005" s="147"/>
      <c r="Z1005" s="147"/>
    </row>
  </sheetData>
  <mergeCells count="3">
    <mergeCell ref="A1:I1"/>
    <mergeCell ref="A23:I23"/>
    <mergeCell ref="A24:I2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25"/>
    <col customWidth="1" min="2" max="2" width="60.25"/>
    <col customWidth="1" min="3" max="3" width="5.25"/>
    <col customWidth="1" min="4" max="4" width="7.25"/>
    <col customWidth="1" min="5" max="5" width="8.88"/>
    <col customWidth="1" min="6" max="6" width="20.5"/>
    <col customWidth="1" min="7" max="7" width="5.38"/>
    <col customWidth="1" min="8" max="8" width="5.63"/>
    <col customWidth="1" min="9" max="9" width="9.88"/>
  </cols>
  <sheetData>
    <row r="1" ht="15.75" customHeight="1">
      <c r="A1" s="181" t="s">
        <v>2002</v>
      </c>
      <c r="B1" s="182" t="s">
        <v>2003</v>
      </c>
      <c r="C1" s="182" t="s">
        <v>2004</v>
      </c>
      <c r="D1" s="182" t="s">
        <v>2005</v>
      </c>
      <c r="E1" s="182"/>
      <c r="F1" s="182" t="s">
        <v>2006</v>
      </c>
      <c r="G1" s="182" t="s">
        <v>18</v>
      </c>
      <c r="H1" s="182" t="s">
        <v>2007</v>
      </c>
      <c r="I1" s="183" t="s">
        <v>2008</v>
      </c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</row>
    <row r="2" ht="15.75" customHeight="1">
      <c r="A2" s="184">
        <v>45999.88369979167</v>
      </c>
      <c r="B2" s="86" t="s">
        <v>1247</v>
      </c>
      <c r="C2" s="86">
        <v>2.0</v>
      </c>
      <c r="D2" s="86">
        <v>3.0</v>
      </c>
      <c r="E2" s="86"/>
      <c r="F2" s="86"/>
      <c r="G2" s="86">
        <v>4000.0</v>
      </c>
      <c r="H2" s="86">
        <v>6000.0</v>
      </c>
      <c r="I2" s="185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</row>
    <row r="3" ht="15.75" customHeight="1">
      <c r="A3" s="184">
        <v>46003.61824833333</v>
      </c>
      <c r="B3" s="86" t="s">
        <v>240</v>
      </c>
      <c r="C3" s="86">
        <v>1.0</v>
      </c>
      <c r="D3" s="86">
        <v>3.0</v>
      </c>
      <c r="E3" s="86"/>
      <c r="F3" s="86"/>
      <c r="G3" s="86">
        <v>700.0</v>
      </c>
      <c r="H3" s="86">
        <v>1100.0</v>
      </c>
      <c r="I3" s="185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ht="15.75" customHeight="1">
      <c r="A4" s="184">
        <v>46003.62911811343</v>
      </c>
      <c r="B4" s="86" t="s">
        <v>256</v>
      </c>
      <c r="C4" s="86">
        <v>1.0</v>
      </c>
      <c r="D4" s="86">
        <v>3.0</v>
      </c>
      <c r="E4" s="86"/>
      <c r="F4" s="86"/>
      <c r="G4" s="86">
        <v>700.0</v>
      </c>
      <c r="H4" s="86">
        <v>2000.0</v>
      </c>
      <c r="I4" s="185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 ht="15.75" customHeight="1">
      <c r="A5" s="184">
        <v>46003.69568634259</v>
      </c>
      <c r="B5" s="86" t="s">
        <v>270</v>
      </c>
      <c r="C5" s="86">
        <v>1.0</v>
      </c>
      <c r="D5" s="86">
        <v>3.0</v>
      </c>
      <c r="E5" s="86"/>
      <c r="F5" s="86"/>
      <c r="G5" s="86">
        <v>1600.0</v>
      </c>
      <c r="H5" s="86">
        <v>3500.0</v>
      </c>
      <c r="I5" s="185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</row>
    <row r="6" ht="15.75" customHeight="1">
      <c r="A6" s="184">
        <v>46003.69619015046</v>
      </c>
      <c r="B6" s="86" t="s">
        <v>262</v>
      </c>
      <c r="C6" s="86">
        <v>1.0</v>
      </c>
      <c r="D6" s="86">
        <v>3.0</v>
      </c>
      <c r="E6" s="86"/>
      <c r="F6" s="86"/>
      <c r="G6" s="86">
        <v>1600.0</v>
      </c>
      <c r="H6" s="86">
        <v>3500.0</v>
      </c>
      <c r="I6" s="185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 ht="15.75" customHeight="1">
      <c r="A7" s="184">
        <v>46011.91343895833</v>
      </c>
      <c r="B7" s="86" t="s">
        <v>2009</v>
      </c>
      <c r="C7" s="86">
        <v>20.0</v>
      </c>
      <c r="D7" s="86">
        <v>23.0</v>
      </c>
      <c r="E7" s="86"/>
      <c r="F7" s="86"/>
      <c r="G7" s="86">
        <v>800.0</v>
      </c>
      <c r="H7" s="86">
        <v>1500.0</v>
      </c>
      <c r="I7" s="185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</row>
    <row r="8" ht="15.75" customHeight="1">
      <c r="A8" s="184">
        <v>46011.91724915509</v>
      </c>
      <c r="B8" s="86" t="s">
        <v>2010</v>
      </c>
      <c r="C8" s="86">
        <v>3.0</v>
      </c>
      <c r="D8" s="86">
        <v>4.0</v>
      </c>
      <c r="E8" s="86"/>
      <c r="F8" s="86"/>
      <c r="G8" s="86">
        <v>250.0</v>
      </c>
      <c r="H8" s="86">
        <v>500.0</v>
      </c>
      <c r="I8" s="185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</row>
    <row r="9" ht="15.75" customHeight="1">
      <c r="A9" s="184">
        <v>46011.91757581018</v>
      </c>
      <c r="B9" s="86" t="s">
        <v>2011</v>
      </c>
      <c r="C9" s="86">
        <v>3.0</v>
      </c>
      <c r="D9" s="86">
        <v>4.0</v>
      </c>
      <c r="E9" s="86"/>
      <c r="F9" s="86"/>
      <c r="G9" s="86">
        <v>250.0</v>
      </c>
      <c r="H9" s="86">
        <v>500.0</v>
      </c>
      <c r="I9" s="185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</row>
    <row r="10" ht="15.75" customHeight="1">
      <c r="A10" s="184">
        <v>46011.91790165509</v>
      </c>
      <c r="B10" s="86" t="s">
        <v>58</v>
      </c>
      <c r="C10" s="86">
        <v>6.0</v>
      </c>
      <c r="D10" s="86">
        <v>7.0</v>
      </c>
      <c r="E10" s="86"/>
      <c r="F10" s="86"/>
      <c r="G10" s="86">
        <v>480.0</v>
      </c>
      <c r="H10" s="86">
        <v>1000.0</v>
      </c>
      <c r="I10" s="185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</row>
    <row r="11" ht="15.75" customHeight="1">
      <c r="A11" s="184">
        <v>46011.91816221065</v>
      </c>
      <c r="B11" s="86" t="s">
        <v>2012</v>
      </c>
      <c r="C11" s="86">
        <v>3.0</v>
      </c>
      <c r="D11" s="86">
        <v>4.0</v>
      </c>
      <c r="E11" s="86"/>
      <c r="F11" s="86"/>
      <c r="G11" s="86">
        <v>240.0</v>
      </c>
      <c r="H11" s="86">
        <v>500.0</v>
      </c>
      <c r="I11" s="185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 ht="15.75" customHeight="1">
      <c r="A12" s="184">
        <v>46011.9184471412</v>
      </c>
      <c r="B12" s="86" t="s">
        <v>2013</v>
      </c>
      <c r="C12" s="86">
        <v>3.0</v>
      </c>
      <c r="D12" s="86">
        <v>4.0</v>
      </c>
      <c r="E12" s="86"/>
      <c r="F12" s="86"/>
      <c r="G12" s="86">
        <v>240.0</v>
      </c>
      <c r="H12" s="86">
        <v>500.0</v>
      </c>
      <c r="I12" s="185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</row>
    <row r="13" ht="15.75" customHeight="1">
      <c r="A13" s="184">
        <v>46011.91883912037</v>
      </c>
      <c r="B13" s="86" t="s">
        <v>1267</v>
      </c>
      <c r="C13" s="86">
        <v>6.0</v>
      </c>
      <c r="D13" s="86">
        <v>7.0</v>
      </c>
      <c r="E13" s="86"/>
      <c r="F13" s="86"/>
      <c r="G13" s="86">
        <v>300.0</v>
      </c>
      <c r="H13" s="86">
        <v>500.0</v>
      </c>
      <c r="I13" s="185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 ht="15.75" customHeight="1">
      <c r="A14" s="184">
        <v>46011.92075440972</v>
      </c>
      <c r="B14" s="86" t="s">
        <v>411</v>
      </c>
      <c r="C14" s="86">
        <v>2.0</v>
      </c>
      <c r="D14" s="86">
        <v>3.0</v>
      </c>
      <c r="E14" s="86"/>
      <c r="F14" s="86"/>
      <c r="G14" s="86">
        <v>700.0</v>
      </c>
      <c r="H14" s="86">
        <v>1600.0</v>
      </c>
      <c r="I14" s="185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</row>
    <row r="15" ht="15.75" customHeight="1">
      <c r="A15" s="184">
        <v>46011.92305146991</v>
      </c>
      <c r="B15" s="86" t="s">
        <v>713</v>
      </c>
      <c r="C15" s="86">
        <v>4.0</v>
      </c>
      <c r="D15" s="86">
        <v>5.0</v>
      </c>
      <c r="E15" s="86"/>
      <c r="F15" s="86"/>
      <c r="G15" s="86">
        <v>1200.0</v>
      </c>
      <c r="H15" s="86">
        <v>3000.0</v>
      </c>
      <c r="I15" s="185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</row>
    <row r="16" ht="15.75" customHeight="1">
      <c r="A16" s="184">
        <v>46011.92349384259</v>
      </c>
      <c r="B16" s="86" t="s">
        <v>148</v>
      </c>
      <c r="C16" s="86">
        <v>4.0</v>
      </c>
      <c r="D16" s="86">
        <v>5.0</v>
      </c>
      <c r="E16" s="86"/>
      <c r="F16" s="86"/>
      <c r="G16" s="86">
        <v>800.0</v>
      </c>
      <c r="H16" s="86">
        <v>1600.0</v>
      </c>
      <c r="I16" s="185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</row>
    <row r="17" ht="15.75" customHeight="1">
      <c r="A17" s="184">
        <v>46012.71380956018</v>
      </c>
      <c r="B17" s="86" t="s">
        <v>348</v>
      </c>
      <c r="C17" s="86">
        <v>12.0</v>
      </c>
      <c r="D17" s="86">
        <v>13.0</v>
      </c>
      <c r="E17" s="86"/>
      <c r="F17" s="86"/>
      <c r="G17" s="86">
        <v>1600.0</v>
      </c>
      <c r="H17" s="86">
        <v>3500.0</v>
      </c>
      <c r="I17" s="185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</row>
    <row r="18" ht="15.75" customHeight="1">
      <c r="A18" s="184">
        <v>46012.71423319444</v>
      </c>
      <c r="B18" s="86" t="s">
        <v>348</v>
      </c>
      <c r="C18" s="86">
        <v>1.0</v>
      </c>
      <c r="D18" s="86">
        <v>3.0</v>
      </c>
      <c r="E18" s="86"/>
      <c r="F18" s="86"/>
      <c r="G18" s="86">
        <v>1600.0</v>
      </c>
      <c r="H18" s="86">
        <v>4000.0</v>
      </c>
      <c r="I18" s="185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</row>
    <row r="19" ht="15.75" customHeight="1">
      <c r="A19" s="184">
        <v>46012.71455347222</v>
      </c>
      <c r="B19" s="86" t="s">
        <v>338</v>
      </c>
      <c r="C19" s="86">
        <v>3.0</v>
      </c>
      <c r="D19" s="86">
        <v>4.0</v>
      </c>
      <c r="E19" s="86"/>
      <c r="F19" s="86"/>
      <c r="G19" s="86">
        <v>1400.0</v>
      </c>
      <c r="H19" s="86">
        <v>3000.0</v>
      </c>
      <c r="I19" s="185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</row>
    <row r="20" ht="15.75" customHeight="1">
      <c r="A20" s="184">
        <v>46014.87622277778</v>
      </c>
      <c r="B20" s="86" t="s">
        <v>558</v>
      </c>
      <c r="C20" s="86">
        <v>1.0</v>
      </c>
      <c r="D20" s="86">
        <v>3.0</v>
      </c>
      <c r="E20" s="86"/>
      <c r="F20" s="86"/>
      <c r="G20" s="86">
        <v>1600.0</v>
      </c>
      <c r="H20" s="86">
        <v>3500.0</v>
      </c>
      <c r="I20" s="185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</row>
    <row r="21" ht="15.75" customHeight="1">
      <c r="A21" s="184">
        <v>46014.87666626157</v>
      </c>
      <c r="B21" s="86" t="s">
        <v>530</v>
      </c>
      <c r="C21" s="86">
        <v>4.0</v>
      </c>
      <c r="D21" s="86">
        <v>5.0</v>
      </c>
      <c r="E21" s="86"/>
      <c r="F21" s="86"/>
      <c r="G21" s="86">
        <v>300.0</v>
      </c>
      <c r="H21" s="86">
        <v>5000.0</v>
      </c>
      <c r="I21" s="185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ht="15.75" customHeight="1">
      <c r="A22" s="184">
        <v>46018.60158865741</v>
      </c>
      <c r="B22" s="86" t="s">
        <v>1307</v>
      </c>
      <c r="C22" s="86">
        <v>1.0</v>
      </c>
      <c r="D22" s="86">
        <v>3.0</v>
      </c>
      <c r="E22" s="86"/>
      <c r="F22" s="86"/>
      <c r="G22" s="86">
        <v>3000.0</v>
      </c>
      <c r="H22" s="86">
        <v>7000.0</v>
      </c>
      <c r="I22" s="185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</row>
    <row r="23" ht="15.75" customHeight="1">
      <c r="A23" s="184">
        <v>46062.75497716435</v>
      </c>
      <c r="B23" s="86" t="s">
        <v>268</v>
      </c>
      <c r="C23" s="86">
        <v>7.0</v>
      </c>
      <c r="D23" s="86">
        <v>11.0</v>
      </c>
      <c r="E23" s="86"/>
      <c r="F23" s="86" t="s">
        <v>147</v>
      </c>
      <c r="G23" s="86">
        <v>1650.0</v>
      </c>
      <c r="H23" s="86">
        <v>3500.0</v>
      </c>
      <c r="I23" s="185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ht="15.75" customHeight="1">
      <c r="A24" s="184">
        <v>46062.75718486111</v>
      </c>
      <c r="B24" s="86" t="s">
        <v>266</v>
      </c>
      <c r="C24" s="86">
        <v>1.0</v>
      </c>
      <c r="D24" s="86">
        <v>3.0</v>
      </c>
      <c r="E24" s="86"/>
      <c r="F24" s="86" t="s">
        <v>147</v>
      </c>
      <c r="G24" s="86">
        <v>2166.0</v>
      </c>
      <c r="H24" s="86">
        <v>3899.0</v>
      </c>
      <c r="I24" s="185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ht="15.75" customHeight="1">
      <c r="A25" s="184">
        <v>46062.77970342593</v>
      </c>
      <c r="B25" s="86" t="s">
        <v>435</v>
      </c>
      <c r="C25" s="86">
        <v>14.0</v>
      </c>
      <c r="D25" s="86">
        <v>16.0</v>
      </c>
      <c r="E25" s="86"/>
      <c r="F25" s="86" t="s">
        <v>147</v>
      </c>
      <c r="G25" s="86">
        <v>899.0</v>
      </c>
      <c r="H25" s="86">
        <v>2000.0</v>
      </c>
      <c r="I25" s="185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ht="15.75" customHeight="1">
      <c r="A26" s="184">
        <v>46062.79260774305</v>
      </c>
      <c r="B26" s="86" t="s">
        <v>129</v>
      </c>
      <c r="C26" s="86">
        <v>3.0</v>
      </c>
      <c r="D26" s="86">
        <v>4.0</v>
      </c>
      <c r="E26" s="86"/>
      <c r="F26" s="86"/>
      <c r="G26" s="86">
        <v>2600.0</v>
      </c>
      <c r="H26" s="86">
        <v>4000.0</v>
      </c>
      <c r="I26" s="185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</row>
    <row r="27" ht="15.75" customHeight="1">
      <c r="A27" s="184">
        <v>46062.79329643519</v>
      </c>
      <c r="B27" s="86" t="s">
        <v>264</v>
      </c>
      <c r="C27" s="86">
        <v>1.0</v>
      </c>
      <c r="D27" s="86">
        <v>3.0</v>
      </c>
      <c r="E27" s="86"/>
      <c r="F27" s="86"/>
      <c r="G27" s="86">
        <v>1600.0</v>
      </c>
      <c r="H27" s="86">
        <v>3500.0</v>
      </c>
      <c r="I27" s="185"/>
      <c r="J27" s="82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</row>
    <row r="28" ht="15.75" customHeight="1">
      <c r="A28" s="184">
        <v>46062.79365674769</v>
      </c>
      <c r="B28" s="86" t="s">
        <v>86</v>
      </c>
      <c r="C28" s="86">
        <v>3.0</v>
      </c>
      <c r="D28" s="86">
        <v>6.0</v>
      </c>
      <c r="E28" s="86"/>
      <c r="F28" s="86"/>
      <c r="G28" s="86">
        <v>3000.0</v>
      </c>
      <c r="H28" s="86">
        <v>4500.0</v>
      </c>
      <c r="I28" s="185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</row>
    <row r="29" ht="15.75" customHeight="1">
      <c r="A29" s="184">
        <v>46062.79416545139</v>
      </c>
      <c r="B29" s="86" t="s">
        <v>1682</v>
      </c>
      <c r="C29" s="86">
        <v>2.0</v>
      </c>
      <c r="D29" s="86">
        <v>3.0</v>
      </c>
      <c r="E29" s="86"/>
      <c r="F29" s="86"/>
      <c r="G29" s="86">
        <v>2900.0</v>
      </c>
      <c r="H29" s="86">
        <v>4500.0</v>
      </c>
      <c r="I29" s="185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ht="15.75" customHeight="1">
      <c r="A30" s="184">
        <v>46062.79468642361</v>
      </c>
      <c r="B30" s="86" t="s">
        <v>2014</v>
      </c>
      <c r="C30" s="86">
        <v>3.0</v>
      </c>
      <c r="D30" s="86">
        <v>5.0</v>
      </c>
      <c r="E30" s="86"/>
      <c r="F30" s="86"/>
      <c r="G30" s="86">
        <v>3000.0</v>
      </c>
      <c r="H30" s="86">
        <v>4500.0</v>
      </c>
      <c r="I30" s="185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ht="15.75" customHeight="1">
      <c r="A31" s="184">
        <v>46062.79667837963</v>
      </c>
      <c r="B31" s="86" t="s">
        <v>417</v>
      </c>
      <c r="C31" s="86">
        <v>1.0</v>
      </c>
      <c r="D31" s="86">
        <v>2.0</v>
      </c>
      <c r="E31" s="86"/>
      <c r="F31" s="86"/>
      <c r="G31" s="86">
        <v>865.0</v>
      </c>
      <c r="H31" s="86">
        <v>1600.0</v>
      </c>
      <c r="I31" s="185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</row>
    <row r="32" ht="15.75" customHeight="1">
      <c r="A32" s="184">
        <v>46062.79708332176</v>
      </c>
      <c r="B32" s="86" t="s">
        <v>417</v>
      </c>
      <c r="C32" s="86">
        <v>5.0</v>
      </c>
      <c r="D32" s="86">
        <v>7.0</v>
      </c>
      <c r="E32" s="86"/>
      <c r="F32" s="86"/>
      <c r="G32" s="86">
        <v>865.0</v>
      </c>
      <c r="H32" s="86">
        <v>1600.0</v>
      </c>
      <c r="I32" s="185"/>
      <c r="J32" s="8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ht="15.75" customHeight="1">
      <c r="A33" s="184">
        <v>46062.79780472222</v>
      </c>
      <c r="B33" s="86" t="s">
        <v>453</v>
      </c>
      <c r="C33" s="86">
        <v>3.0</v>
      </c>
      <c r="D33" s="86">
        <v>6.0</v>
      </c>
      <c r="E33" s="86"/>
      <c r="F33" s="86"/>
      <c r="G33" s="86">
        <v>879.0</v>
      </c>
      <c r="H33" s="86">
        <v>1500.0</v>
      </c>
      <c r="I33" s="185"/>
      <c r="J33" s="82"/>
      <c r="K33" s="82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ht="15.75" customHeight="1">
      <c r="A34" s="184">
        <v>46062.7984005787</v>
      </c>
      <c r="B34" s="86" t="s">
        <v>530</v>
      </c>
      <c r="C34" s="86">
        <v>3.0</v>
      </c>
      <c r="D34" s="86">
        <v>5.0</v>
      </c>
      <c r="E34" s="86"/>
      <c r="F34" s="86"/>
      <c r="G34" s="86">
        <v>2767.0</v>
      </c>
      <c r="H34" s="86">
        <v>4500.0</v>
      </c>
      <c r="I34" s="185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</row>
    <row r="35" ht="15.75" customHeight="1">
      <c r="A35" s="184">
        <v>46062.79880821759</v>
      </c>
      <c r="B35" s="86" t="s">
        <v>451</v>
      </c>
      <c r="C35" s="86">
        <v>1.0</v>
      </c>
      <c r="D35" s="86">
        <v>3.0</v>
      </c>
      <c r="E35" s="86"/>
      <c r="F35" s="86"/>
      <c r="G35" s="86">
        <v>820.0</v>
      </c>
      <c r="H35" s="86">
        <v>1500.0</v>
      </c>
      <c r="I35" s="185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ht="15.75" customHeight="1">
      <c r="A36" s="184">
        <v>46062.79922358796</v>
      </c>
      <c r="B36" s="86" t="s">
        <v>871</v>
      </c>
      <c r="C36" s="86">
        <v>1.0</v>
      </c>
      <c r="D36" s="86">
        <v>3.0</v>
      </c>
      <c r="E36" s="86"/>
      <c r="F36" s="86"/>
      <c r="G36" s="86">
        <v>999.0</v>
      </c>
      <c r="H36" s="86">
        <v>1500.0</v>
      </c>
      <c r="I36" s="185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ht="15.75" customHeight="1">
      <c r="A37" s="184">
        <v>46062.79980469908</v>
      </c>
      <c r="B37" s="86" t="s">
        <v>411</v>
      </c>
      <c r="C37" s="86">
        <v>1.0</v>
      </c>
      <c r="D37" s="86">
        <v>9.0</v>
      </c>
      <c r="E37" s="86"/>
      <c r="F37" s="86"/>
      <c r="G37" s="86">
        <v>1005.0</v>
      </c>
      <c r="H37" s="86">
        <v>1500.0</v>
      </c>
      <c r="I37" s="185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 ht="15.75" customHeight="1">
      <c r="A38" s="184">
        <v>46062.80904362268</v>
      </c>
      <c r="B38" s="86" t="s">
        <v>715</v>
      </c>
      <c r="C38" s="86">
        <v>1.0</v>
      </c>
      <c r="D38" s="86">
        <v>4.0</v>
      </c>
      <c r="E38" s="86"/>
      <c r="F38" s="86"/>
      <c r="G38" s="86">
        <v>1005.0</v>
      </c>
      <c r="H38" s="86">
        <v>1500.0</v>
      </c>
      <c r="I38" s="185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 ht="15.75" customHeight="1">
      <c r="A39" s="184">
        <v>46062.80947864583</v>
      </c>
      <c r="B39" s="86" t="s">
        <v>443</v>
      </c>
      <c r="C39" s="86">
        <v>3.0</v>
      </c>
      <c r="D39" s="86">
        <v>7.0</v>
      </c>
      <c r="E39" s="86"/>
      <c r="F39" s="86" t="s">
        <v>147</v>
      </c>
      <c r="G39" s="86">
        <v>2699.0</v>
      </c>
      <c r="H39" s="86">
        <v>5000.0</v>
      </c>
      <c r="I39" s="185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 ht="15.75" customHeight="1">
      <c r="A40" s="184">
        <v>46062.81165011574</v>
      </c>
      <c r="B40" s="86" t="s">
        <v>967</v>
      </c>
      <c r="C40" s="86">
        <v>1.0</v>
      </c>
      <c r="D40" s="86">
        <v>4.0</v>
      </c>
      <c r="E40" s="86"/>
      <c r="F40" s="86" t="s">
        <v>147</v>
      </c>
      <c r="G40" s="86">
        <v>765.0</v>
      </c>
      <c r="H40" s="86">
        <v>1500.0</v>
      </c>
      <c r="I40" s="185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 ht="15.75" customHeight="1">
      <c r="A41" s="184">
        <v>46062.81324582176</v>
      </c>
      <c r="B41" s="86" t="s">
        <v>413</v>
      </c>
      <c r="C41" s="86">
        <v>3.0</v>
      </c>
      <c r="D41" s="86">
        <v>4.0</v>
      </c>
      <c r="E41" s="86"/>
      <c r="F41" s="86"/>
      <c r="G41" s="86">
        <v>1500.0</v>
      </c>
      <c r="H41" s="86">
        <v>2000.0</v>
      </c>
      <c r="I41" s="185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 ht="15.75" customHeight="1">
      <c r="A42" s="184">
        <v>46062.81389664352</v>
      </c>
      <c r="B42" s="86" t="s">
        <v>228</v>
      </c>
      <c r="C42" s="86">
        <v>5.0</v>
      </c>
      <c r="D42" s="86">
        <v>6.0</v>
      </c>
      <c r="E42" s="86"/>
      <c r="F42" s="86" t="s">
        <v>147</v>
      </c>
      <c r="G42" s="86">
        <v>1425.0</v>
      </c>
      <c r="H42" s="86">
        <v>3500.0</v>
      </c>
      <c r="I42" s="185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 ht="15.75" customHeight="1">
      <c r="A43" s="184">
        <v>46062.81599003472</v>
      </c>
      <c r="B43" s="86" t="s">
        <v>895</v>
      </c>
      <c r="C43" s="86">
        <v>5.0</v>
      </c>
      <c r="D43" s="86">
        <v>7.0</v>
      </c>
      <c r="E43" s="86"/>
      <c r="F43" s="86"/>
      <c r="G43" s="86">
        <v>2640.0</v>
      </c>
      <c r="H43" s="86">
        <v>4500.0</v>
      </c>
      <c r="I43" s="185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 ht="15.75" customHeight="1">
      <c r="A44" s="184">
        <v>46062.82895684028</v>
      </c>
      <c r="B44" s="86" t="s">
        <v>2015</v>
      </c>
      <c r="C44" s="86">
        <v>1.0</v>
      </c>
      <c r="D44" s="86">
        <v>3.0</v>
      </c>
      <c r="E44" s="86"/>
      <c r="F44" s="86"/>
      <c r="G44" s="86">
        <v>6500.0</v>
      </c>
      <c r="H44" s="86">
        <v>10000.0</v>
      </c>
      <c r="I44" s="185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 ht="15.75" customHeight="1">
      <c r="A45" s="184">
        <v>46062.84143137732</v>
      </c>
      <c r="B45" s="86" t="s">
        <v>1271</v>
      </c>
      <c r="C45" s="86">
        <v>1.0</v>
      </c>
      <c r="D45" s="86">
        <v>7.0</v>
      </c>
      <c r="E45" s="86"/>
      <c r="F45" s="86"/>
      <c r="G45" s="86">
        <v>2200.0</v>
      </c>
      <c r="H45" s="86">
        <v>5000.0</v>
      </c>
      <c r="I45" s="185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 ht="15.75" customHeight="1">
      <c r="A46" s="184">
        <v>46062.84179810185</v>
      </c>
      <c r="B46" s="86" t="s">
        <v>160</v>
      </c>
      <c r="C46" s="86">
        <v>10.0</v>
      </c>
      <c r="D46" s="86">
        <v>11.0</v>
      </c>
      <c r="E46" s="86"/>
      <c r="F46" s="86"/>
      <c r="G46" s="86">
        <v>1300.0</v>
      </c>
      <c r="H46" s="86">
        <v>2000.0</v>
      </c>
      <c r="I46" s="185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ht="15.75" customHeight="1">
      <c r="A47" s="184">
        <v>46062.8430853125</v>
      </c>
      <c r="B47" s="86" t="s">
        <v>195</v>
      </c>
      <c r="C47" s="86">
        <v>10.0</v>
      </c>
      <c r="D47" s="86">
        <v>11.0</v>
      </c>
      <c r="E47" s="86"/>
      <c r="F47" s="86" t="s">
        <v>147</v>
      </c>
      <c r="G47" s="86">
        <v>1050.0</v>
      </c>
      <c r="H47" s="86">
        <v>2000.0</v>
      </c>
      <c r="I47" s="185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 ht="15.75" customHeight="1">
      <c r="A48" s="184">
        <v>46062.84458098379</v>
      </c>
      <c r="B48" s="86" t="s">
        <v>637</v>
      </c>
      <c r="C48" s="86">
        <v>1.0</v>
      </c>
      <c r="D48" s="86">
        <v>7.0</v>
      </c>
      <c r="E48" s="86"/>
      <c r="F48" s="86"/>
      <c r="G48" s="86">
        <v>3890.0</v>
      </c>
      <c r="H48" s="86">
        <v>7000.0</v>
      </c>
      <c r="I48" s="185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 ht="15.75" customHeight="1">
      <c r="A49" s="184">
        <v>46062.84531278935</v>
      </c>
      <c r="B49" s="86" t="s">
        <v>2016</v>
      </c>
      <c r="C49" s="86">
        <v>1.0</v>
      </c>
      <c r="D49" s="86">
        <v>2.0</v>
      </c>
      <c r="E49" s="86"/>
      <c r="F49" s="86" t="s">
        <v>147</v>
      </c>
      <c r="G49" s="86">
        <v>2000.0</v>
      </c>
      <c r="H49" s="86">
        <v>3000.0</v>
      </c>
      <c r="I49" s="185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 ht="15.75" customHeight="1">
      <c r="A50" s="184">
        <v>46062.84651418981</v>
      </c>
      <c r="B50" s="86" t="s">
        <v>581</v>
      </c>
      <c r="C50" s="86">
        <v>3.0</v>
      </c>
      <c r="D50" s="86">
        <v>4.0</v>
      </c>
      <c r="E50" s="86"/>
      <c r="F50" s="86" t="s">
        <v>147</v>
      </c>
      <c r="G50" s="86">
        <v>1500.0</v>
      </c>
      <c r="H50" s="86">
        <v>2250.0</v>
      </c>
      <c r="I50" s="185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 ht="15.75" customHeight="1">
      <c r="A51" s="184">
        <v>46062.84939024306</v>
      </c>
      <c r="B51" s="86" t="s">
        <v>751</v>
      </c>
      <c r="C51" s="86">
        <v>1.0</v>
      </c>
      <c r="D51" s="86">
        <v>2.0</v>
      </c>
      <c r="E51" s="86"/>
      <c r="F51" s="86" t="s">
        <v>147</v>
      </c>
      <c r="G51" s="86">
        <v>1250.0</v>
      </c>
      <c r="H51" s="86">
        <v>2000.0</v>
      </c>
      <c r="I51" s="185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 ht="15.75" customHeight="1">
      <c r="A52" s="184">
        <v>46062.84991247685</v>
      </c>
      <c r="B52" s="86" t="s">
        <v>346</v>
      </c>
      <c r="C52" s="86">
        <v>3.0</v>
      </c>
      <c r="D52" s="86">
        <v>4.0</v>
      </c>
      <c r="E52" s="86"/>
      <c r="F52" s="86" t="s">
        <v>147</v>
      </c>
      <c r="G52" s="86">
        <v>7700.0</v>
      </c>
      <c r="H52" s="86">
        <v>15000.0</v>
      </c>
      <c r="I52" s="185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 ht="15.75" customHeight="1">
      <c r="A53" s="184">
        <v>46062.85100125</v>
      </c>
      <c r="B53" s="86" t="s">
        <v>562</v>
      </c>
      <c r="C53" s="86">
        <v>1.0</v>
      </c>
      <c r="D53" s="86">
        <v>11.0</v>
      </c>
      <c r="E53" s="86"/>
      <c r="F53" s="86"/>
      <c r="G53" s="86">
        <v>1279.0</v>
      </c>
      <c r="H53" s="86">
        <v>3000.0</v>
      </c>
      <c r="I53" s="185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 ht="15.75" customHeight="1">
      <c r="A54" s="184">
        <v>46063.49494815972</v>
      </c>
      <c r="B54" s="86" t="s">
        <v>360</v>
      </c>
      <c r="C54" s="86">
        <v>1.0</v>
      </c>
      <c r="D54" s="86">
        <v>5.0</v>
      </c>
      <c r="E54" s="86"/>
      <c r="F54" s="86" t="s">
        <v>147</v>
      </c>
      <c r="G54" s="86">
        <v>899.0</v>
      </c>
      <c r="H54" s="86">
        <v>2000.0</v>
      </c>
      <c r="I54" s="185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 ht="15.75" customHeight="1">
      <c r="A55" s="184">
        <v>46067.01093569444</v>
      </c>
      <c r="B55" s="86" t="s">
        <v>574</v>
      </c>
      <c r="C55" s="86">
        <v>10.0</v>
      </c>
      <c r="D55" s="86">
        <v>30.0</v>
      </c>
      <c r="E55" s="86"/>
      <c r="F55" s="86" t="s">
        <v>74</v>
      </c>
      <c r="G55" s="86">
        <v>1380.0</v>
      </c>
      <c r="H55" s="86">
        <v>3000.0</v>
      </c>
      <c r="I55" s="185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 ht="15.75" customHeight="1">
      <c r="A56" s="184">
        <v>46067.01154600694</v>
      </c>
      <c r="B56" s="86" t="s">
        <v>1307</v>
      </c>
      <c r="C56" s="86">
        <v>5.0</v>
      </c>
      <c r="D56" s="86">
        <v>10.0</v>
      </c>
      <c r="E56" s="86"/>
      <c r="F56" s="86" t="s">
        <v>74</v>
      </c>
      <c r="G56" s="86">
        <v>3495.0</v>
      </c>
      <c r="H56" s="86">
        <v>7000.0</v>
      </c>
      <c r="I56" s="185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 ht="15.75" customHeight="1">
      <c r="A57" s="184">
        <v>46067.0120769213</v>
      </c>
      <c r="B57" s="86" t="s">
        <v>1347</v>
      </c>
      <c r="C57" s="86">
        <v>3.0</v>
      </c>
      <c r="D57" s="86">
        <v>8.0</v>
      </c>
      <c r="E57" s="86"/>
      <c r="F57" s="86" t="s">
        <v>74</v>
      </c>
      <c r="G57" s="86">
        <v>3023.0</v>
      </c>
      <c r="H57" s="86">
        <v>6500.0</v>
      </c>
      <c r="I57" s="185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 ht="15.75" customHeight="1">
      <c r="A58" s="184">
        <v>46067.01351349537</v>
      </c>
      <c r="B58" s="86" t="s">
        <v>76</v>
      </c>
      <c r="C58" s="86">
        <v>5.0</v>
      </c>
      <c r="D58" s="86">
        <v>15.0</v>
      </c>
      <c r="E58" s="86"/>
      <c r="F58" s="86" t="s">
        <v>74</v>
      </c>
      <c r="G58" s="86">
        <v>999.0</v>
      </c>
      <c r="H58" s="86">
        <v>2000.0</v>
      </c>
      <c r="I58" s="185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 ht="15.75" customHeight="1">
      <c r="A59" s="184">
        <v>46067.01833944445</v>
      </c>
      <c r="B59" s="86" t="s">
        <v>713</v>
      </c>
      <c r="C59" s="86">
        <v>3.0</v>
      </c>
      <c r="D59" s="86">
        <v>6.0</v>
      </c>
      <c r="E59" s="86"/>
      <c r="F59" s="86" t="s">
        <v>74</v>
      </c>
      <c r="G59" s="86">
        <v>1585.0</v>
      </c>
      <c r="H59" s="86">
        <v>3000.0</v>
      </c>
      <c r="I59" s="185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 ht="15.75" customHeight="1">
      <c r="A60" s="184">
        <v>46067.01996546296</v>
      </c>
      <c r="B60" s="86" t="s">
        <v>433</v>
      </c>
      <c r="C60" s="86">
        <v>2.0</v>
      </c>
      <c r="D60" s="86">
        <v>5.0</v>
      </c>
      <c r="E60" s="86"/>
      <c r="F60" s="86" t="s">
        <v>74</v>
      </c>
      <c r="G60" s="86">
        <v>1183.0</v>
      </c>
      <c r="H60" s="86">
        <v>2500.0</v>
      </c>
      <c r="I60" s="185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 ht="15.75" customHeight="1">
      <c r="A61" s="184">
        <v>46067.02049967593</v>
      </c>
      <c r="B61" s="86" t="s">
        <v>635</v>
      </c>
      <c r="C61" s="86">
        <v>3.0</v>
      </c>
      <c r="D61" s="86">
        <v>23.0</v>
      </c>
      <c r="E61" s="86"/>
      <c r="F61" s="86" t="s">
        <v>74</v>
      </c>
      <c r="G61" s="86">
        <v>1164.0</v>
      </c>
      <c r="H61" s="86">
        <v>2100.0</v>
      </c>
      <c r="I61" s="185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 ht="15.75" customHeight="1">
      <c r="A62" s="184">
        <v>46067.02223554398</v>
      </c>
      <c r="B62" s="86" t="s">
        <v>633</v>
      </c>
      <c r="C62" s="86">
        <v>1.0</v>
      </c>
      <c r="D62" s="86">
        <v>24.0</v>
      </c>
      <c r="E62" s="86"/>
      <c r="F62" s="86" t="s">
        <v>74</v>
      </c>
      <c r="G62" s="86">
        <v>1075.0</v>
      </c>
      <c r="H62" s="86">
        <v>2000.0</v>
      </c>
      <c r="I62" s="185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 ht="15.75" customHeight="1">
      <c r="A63" s="184">
        <v>46067.02883793981</v>
      </c>
      <c r="B63" s="86" t="s">
        <v>209</v>
      </c>
      <c r="C63" s="86">
        <v>1.0</v>
      </c>
      <c r="D63" s="86">
        <v>5.0</v>
      </c>
      <c r="E63" s="86"/>
      <c r="F63" s="86" t="s">
        <v>74</v>
      </c>
      <c r="G63" s="86">
        <v>875.0</v>
      </c>
      <c r="H63" s="86">
        <v>2500.0</v>
      </c>
      <c r="I63" s="185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 ht="15.75" customHeight="1">
      <c r="A64" s="184">
        <v>46067.02916605324</v>
      </c>
      <c r="B64" s="86" t="s">
        <v>429</v>
      </c>
      <c r="C64" s="86">
        <v>1.0</v>
      </c>
      <c r="D64" s="86">
        <v>2.0</v>
      </c>
      <c r="E64" s="86"/>
      <c r="F64" s="86" t="s">
        <v>74</v>
      </c>
      <c r="G64" s="86">
        <v>1020.0</v>
      </c>
      <c r="H64" s="86">
        <v>2000.0</v>
      </c>
      <c r="I64" s="185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 ht="15.75" customHeight="1">
      <c r="A65" s="184">
        <v>46067.02960377315</v>
      </c>
      <c r="B65" s="86" t="s">
        <v>713</v>
      </c>
      <c r="C65" s="86">
        <v>1.0</v>
      </c>
      <c r="D65" s="86">
        <v>7.0</v>
      </c>
      <c r="E65" s="86"/>
      <c r="F65" s="86" t="s">
        <v>74</v>
      </c>
      <c r="G65" s="86">
        <v>1585.0</v>
      </c>
      <c r="H65" s="86">
        <v>3000.0</v>
      </c>
      <c r="I65" s="185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 ht="15.75" customHeight="1">
      <c r="A66" s="184">
        <v>46067.03074547453</v>
      </c>
      <c r="B66" s="86" t="s">
        <v>1160</v>
      </c>
      <c r="C66" s="86">
        <v>3.0</v>
      </c>
      <c r="D66" s="86">
        <v>9.0</v>
      </c>
      <c r="E66" s="86"/>
      <c r="F66" s="86" t="s">
        <v>74</v>
      </c>
      <c r="G66" s="86">
        <v>1086.0</v>
      </c>
      <c r="H66" s="86">
        <v>2500.0</v>
      </c>
      <c r="I66" s="185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 ht="15.75" customHeight="1">
      <c r="A67" s="184">
        <v>46067.03748803241</v>
      </c>
      <c r="B67" s="86" t="s">
        <v>512</v>
      </c>
      <c r="C67" s="86">
        <v>2.0</v>
      </c>
      <c r="D67" s="86">
        <v>14.0</v>
      </c>
      <c r="E67" s="86"/>
      <c r="F67" s="86" t="s">
        <v>74</v>
      </c>
      <c r="G67" s="86">
        <v>2587.0</v>
      </c>
      <c r="H67" s="86">
        <v>7000.0</v>
      </c>
      <c r="I67" s="185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 ht="15.75" customHeight="1">
      <c r="A68" s="184">
        <v>46067.03784238426</v>
      </c>
      <c r="B68" s="86" t="s">
        <v>965</v>
      </c>
      <c r="C68" s="86">
        <v>2.0</v>
      </c>
      <c r="D68" s="86">
        <v>6.0</v>
      </c>
      <c r="E68" s="86"/>
      <c r="F68" s="86" t="s">
        <v>74</v>
      </c>
      <c r="G68" s="86">
        <v>961.0</v>
      </c>
      <c r="H68" s="86">
        <v>1600.0</v>
      </c>
      <c r="I68" s="185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 ht="15.75" customHeight="1">
      <c r="A69" s="184">
        <v>46067.038249375</v>
      </c>
      <c r="B69" s="86" t="s">
        <v>427</v>
      </c>
      <c r="C69" s="86">
        <v>1.0</v>
      </c>
      <c r="D69" s="86">
        <v>5.0</v>
      </c>
      <c r="E69" s="86"/>
      <c r="F69" s="86" t="s">
        <v>74</v>
      </c>
      <c r="G69" s="86">
        <v>1183.0</v>
      </c>
      <c r="H69" s="86">
        <v>2000.0</v>
      </c>
      <c r="I69" s="185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 ht="15.75" customHeight="1">
      <c r="A70" s="184">
        <v>46067.03905315972</v>
      </c>
      <c r="B70" s="86" t="s">
        <v>504</v>
      </c>
      <c r="C70" s="86">
        <v>1.0</v>
      </c>
      <c r="D70" s="86">
        <v>31.0</v>
      </c>
      <c r="E70" s="86"/>
      <c r="F70" s="86" t="s">
        <v>74</v>
      </c>
      <c r="G70" s="86">
        <v>450.0</v>
      </c>
      <c r="H70" s="86">
        <v>800.0</v>
      </c>
      <c r="I70" s="185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 ht="15.75" customHeight="1">
      <c r="A71" s="184">
        <v>46067.03968967593</v>
      </c>
      <c r="B71" s="86" t="s">
        <v>518</v>
      </c>
      <c r="C71" s="86">
        <v>1.0</v>
      </c>
      <c r="D71" s="86">
        <v>11.0</v>
      </c>
      <c r="E71" s="86"/>
      <c r="F71" s="86" t="s">
        <v>74</v>
      </c>
      <c r="G71" s="86">
        <v>1246.0</v>
      </c>
      <c r="H71" s="86">
        <v>2200.0</v>
      </c>
      <c r="I71" s="185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 ht="15.75" customHeight="1">
      <c r="A72" s="184">
        <v>46067.03992704861</v>
      </c>
      <c r="B72" s="86" t="s">
        <v>516</v>
      </c>
      <c r="C72" s="86">
        <v>1.0</v>
      </c>
      <c r="D72" s="86">
        <v>7.0</v>
      </c>
      <c r="E72" s="86"/>
      <c r="F72" s="86" t="s">
        <v>74</v>
      </c>
      <c r="G72" s="86">
        <v>313.0</v>
      </c>
      <c r="H72" s="86">
        <v>600.0</v>
      </c>
      <c r="I72" s="185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 ht="15.75" customHeight="1">
      <c r="A73" s="184">
        <v>46067.04086701389</v>
      </c>
      <c r="B73" s="86" t="s">
        <v>711</v>
      </c>
      <c r="C73" s="86">
        <v>1.0</v>
      </c>
      <c r="D73" s="86">
        <v>5.0</v>
      </c>
      <c r="E73" s="86"/>
      <c r="F73" s="86" t="s">
        <v>147</v>
      </c>
      <c r="G73" s="86">
        <v>1208.0</v>
      </c>
      <c r="H73" s="86">
        <v>2200.0</v>
      </c>
      <c r="I73" s="185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 ht="15.75" customHeight="1">
      <c r="A74" s="184">
        <v>46067.04202574074</v>
      </c>
      <c r="B74" s="86" t="s">
        <v>1267</v>
      </c>
      <c r="C74" s="86">
        <v>20.0</v>
      </c>
      <c r="D74" s="86">
        <v>21.0</v>
      </c>
      <c r="E74" s="86"/>
      <c r="F74" s="86" t="s">
        <v>74</v>
      </c>
      <c r="G74" s="86">
        <v>300.0</v>
      </c>
      <c r="H74" s="86">
        <v>1000.0</v>
      </c>
      <c r="I74" s="185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 ht="15.75" customHeight="1">
      <c r="A75" s="184">
        <v>46067.04577660879</v>
      </c>
      <c r="B75" s="86" t="s">
        <v>99</v>
      </c>
      <c r="C75" s="86">
        <v>1.0</v>
      </c>
      <c r="D75" s="86">
        <v>11.0</v>
      </c>
      <c r="E75" s="86"/>
      <c r="F75" s="86" t="s">
        <v>74</v>
      </c>
      <c r="G75" s="86">
        <v>826.0</v>
      </c>
      <c r="H75" s="86">
        <v>2000.0</v>
      </c>
      <c r="I75" s="185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 ht="15.75" customHeight="1">
      <c r="A76" s="184">
        <v>46067.05108638889</v>
      </c>
      <c r="B76" s="86" t="s">
        <v>945</v>
      </c>
      <c r="C76" s="86">
        <v>1.0</v>
      </c>
      <c r="D76" s="86">
        <v>2.0</v>
      </c>
      <c r="E76" s="86"/>
      <c r="F76" s="86" t="s">
        <v>74</v>
      </c>
      <c r="G76" s="86">
        <v>2875.0</v>
      </c>
      <c r="H76" s="86">
        <v>5000.0</v>
      </c>
      <c r="I76" s="185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 ht="15.75" customHeight="1">
      <c r="A77" s="184">
        <v>46073.83005370371</v>
      </c>
      <c r="B77" s="86" t="s">
        <v>262</v>
      </c>
      <c r="C77" s="86">
        <v>1.0</v>
      </c>
      <c r="D77" s="86">
        <v>5.0</v>
      </c>
      <c r="E77" s="86"/>
      <c r="F77" s="86" t="s">
        <v>147</v>
      </c>
      <c r="G77" s="86">
        <v>1699.0</v>
      </c>
      <c r="H77" s="86">
        <v>3500.0</v>
      </c>
      <c r="I77" s="185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 ht="15.75" customHeight="1">
      <c r="A78" s="184">
        <v>46073.83125738426</v>
      </c>
      <c r="B78" s="86" t="s">
        <v>145</v>
      </c>
      <c r="C78" s="86">
        <v>2.0</v>
      </c>
      <c r="D78" s="86">
        <v>3.0</v>
      </c>
      <c r="E78" s="86"/>
      <c r="F78" s="86" t="s">
        <v>147</v>
      </c>
      <c r="G78" s="86">
        <v>1000.0</v>
      </c>
      <c r="H78" s="86">
        <v>2500.0</v>
      </c>
      <c r="I78" s="185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 ht="15.75" customHeight="1">
      <c r="A79" s="184">
        <v>46073.83212055555</v>
      </c>
      <c r="B79" s="86" t="s">
        <v>558</v>
      </c>
      <c r="C79" s="86">
        <v>1.0</v>
      </c>
      <c r="D79" s="86">
        <v>14.0</v>
      </c>
      <c r="E79" s="86"/>
      <c r="F79" s="86" t="s">
        <v>47</v>
      </c>
      <c r="G79" s="86">
        <v>1889.0</v>
      </c>
      <c r="H79" s="86">
        <v>3600.0</v>
      </c>
      <c r="I79" s="185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 ht="15.75" customHeight="1">
      <c r="A80" s="184">
        <v>46073.83282736111</v>
      </c>
      <c r="B80" s="86" t="s">
        <v>429</v>
      </c>
      <c r="C80" s="86">
        <v>1.0</v>
      </c>
      <c r="D80" s="86">
        <v>3.0</v>
      </c>
      <c r="E80" s="86"/>
      <c r="F80" s="86" t="s">
        <v>47</v>
      </c>
      <c r="G80" s="86">
        <v>869.0</v>
      </c>
      <c r="H80" s="86">
        <v>2000.0</v>
      </c>
      <c r="I80" s="185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 ht="15.75" customHeight="1">
      <c r="A81" s="184">
        <v>46073.83336563657</v>
      </c>
      <c r="B81" s="86" t="s">
        <v>883</v>
      </c>
      <c r="C81" s="86">
        <v>1.0</v>
      </c>
      <c r="D81" s="86">
        <v>1.0</v>
      </c>
      <c r="E81" s="86"/>
      <c r="F81" s="86" t="s">
        <v>47</v>
      </c>
      <c r="G81" s="86">
        <v>535.0</v>
      </c>
      <c r="H81" s="86">
        <v>1000.0</v>
      </c>
      <c r="I81" s="185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 ht="15.75" customHeight="1">
      <c r="A82" s="184">
        <v>46073.83397924768</v>
      </c>
      <c r="B82" s="86" t="s">
        <v>137</v>
      </c>
      <c r="C82" s="86">
        <v>2.0</v>
      </c>
      <c r="D82" s="86">
        <v>3.0</v>
      </c>
      <c r="E82" s="86"/>
      <c r="F82" s="86" t="s">
        <v>47</v>
      </c>
      <c r="G82" s="86">
        <v>1220.0</v>
      </c>
      <c r="H82" s="86">
        <v>2800.0</v>
      </c>
      <c r="I82" s="185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 ht="15.75" customHeight="1">
      <c r="A83" s="184">
        <v>46073.83628184027</v>
      </c>
      <c r="B83" s="86" t="s">
        <v>80</v>
      </c>
      <c r="C83" s="86">
        <v>3.0</v>
      </c>
      <c r="D83" s="86">
        <v>13.0</v>
      </c>
      <c r="E83" s="86"/>
      <c r="F83" s="86" t="s">
        <v>47</v>
      </c>
      <c r="G83" s="86">
        <v>1611.0</v>
      </c>
      <c r="H83" s="86">
        <v>2500.0</v>
      </c>
      <c r="I83" s="185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 ht="15.75" customHeight="1">
      <c r="A84" s="184">
        <v>46073.83675878472</v>
      </c>
      <c r="B84" s="86" t="s">
        <v>453</v>
      </c>
      <c r="C84" s="86">
        <v>1.0</v>
      </c>
      <c r="D84" s="86">
        <v>6.0</v>
      </c>
      <c r="E84" s="86"/>
      <c r="F84" s="86" t="s">
        <v>47</v>
      </c>
      <c r="G84" s="86">
        <v>939.0</v>
      </c>
      <c r="H84" s="86">
        <v>1600.0</v>
      </c>
      <c r="I84" s="185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 ht="15.75" customHeight="1">
      <c r="A85" s="184">
        <v>46073.83718256944</v>
      </c>
      <c r="B85" s="86" t="s">
        <v>86</v>
      </c>
      <c r="C85" s="86">
        <v>3.0</v>
      </c>
      <c r="D85" s="86">
        <v>12.0</v>
      </c>
      <c r="E85" s="86"/>
      <c r="F85" s="86" t="s">
        <v>47</v>
      </c>
      <c r="G85" s="86">
        <v>2900.0</v>
      </c>
      <c r="H85" s="86">
        <v>5000.0</v>
      </c>
      <c r="I85" s="185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 ht="15.75" customHeight="1">
      <c r="A86" s="184">
        <v>46073.83766652778</v>
      </c>
      <c r="B86" s="86" t="s">
        <v>2017</v>
      </c>
      <c r="C86" s="86">
        <v>3.0</v>
      </c>
      <c r="D86" s="86">
        <v>3.0</v>
      </c>
      <c r="E86" s="86"/>
      <c r="F86" s="86" t="s">
        <v>47</v>
      </c>
      <c r="G86" s="86">
        <v>1148.0</v>
      </c>
      <c r="H86" s="86">
        <v>1800.0</v>
      </c>
      <c r="I86" s="185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 ht="15.75" customHeight="1">
      <c r="A87" s="184">
        <v>46073.83804416667</v>
      </c>
      <c r="B87" s="86" t="s">
        <v>270</v>
      </c>
      <c r="C87" s="86">
        <v>3.0</v>
      </c>
      <c r="D87" s="86">
        <v>7.0</v>
      </c>
      <c r="E87" s="86"/>
      <c r="F87" s="86" t="s">
        <v>47</v>
      </c>
      <c r="G87" s="86">
        <v>1439.0</v>
      </c>
      <c r="H87" s="86">
        <v>3500.0</v>
      </c>
      <c r="I87" s="185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 ht="15.75" customHeight="1">
      <c r="A88" s="184">
        <v>46073.83842796296</v>
      </c>
      <c r="B88" s="86" t="s">
        <v>105</v>
      </c>
      <c r="C88" s="86">
        <v>2.0</v>
      </c>
      <c r="D88" s="86">
        <v>3.0</v>
      </c>
      <c r="E88" s="86"/>
      <c r="F88" s="86" t="s">
        <v>47</v>
      </c>
      <c r="G88" s="86">
        <v>4149.0</v>
      </c>
      <c r="H88" s="86">
        <v>7000.0</v>
      </c>
      <c r="I88" s="185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 ht="15.75" customHeight="1">
      <c r="A89" s="184">
        <v>46073.83892550926</v>
      </c>
      <c r="B89" s="86" t="s">
        <v>254</v>
      </c>
      <c r="C89" s="86">
        <v>2.0</v>
      </c>
      <c r="D89" s="86">
        <v>3.0</v>
      </c>
      <c r="E89" s="86"/>
      <c r="F89" s="86" t="s">
        <v>47</v>
      </c>
      <c r="G89" s="86">
        <v>2107.0</v>
      </c>
      <c r="H89" s="86">
        <v>3200.0</v>
      </c>
      <c r="I89" s="185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 ht="15.75" customHeight="1">
      <c r="A90" s="184">
        <v>46073.84380385416</v>
      </c>
      <c r="B90" s="86" t="s">
        <v>78</v>
      </c>
      <c r="C90" s="86">
        <v>1.0</v>
      </c>
      <c r="D90" s="86">
        <v>11.0</v>
      </c>
      <c r="E90" s="86"/>
      <c r="F90" s="86" t="s">
        <v>47</v>
      </c>
      <c r="G90" s="86">
        <v>1612.0</v>
      </c>
      <c r="H90" s="86">
        <v>2500.0</v>
      </c>
      <c r="I90" s="185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 ht="15.75" customHeight="1">
      <c r="A91" s="184">
        <v>46073.84413696759</v>
      </c>
      <c r="B91" s="86" t="s">
        <v>70</v>
      </c>
      <c r="C91" s="86">
        <v>1.0</v>
      </c>
      <c r="D91" s="86">
        <v>4.0</v>
      </c>
      <c r="E91" s="86"/>
      <c r="F91" s="86" t="s">
        <v>47</v>
      </c>
      <c r="G91" s="86">
        <v>1389.0</v>
      </c>
      <c r="H91" s="86">
        <v>2500.0</v>
      </c>
      <c r="I91" s="185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 ht="15.75" customHeight="1">
      <c r="A92" s="184">
        <v>46073.84971785879</v>
      </c>
      <c r="B92" s="86" t="s">
        <v>45</v>
      </c>
      <c r="C92" s="86">
        <v>3.0</v>
      </c>
      <c r="D92" s="86">
        <v>23.0</v>
      </c>
      <c r="E92" s="86"/>
      <c r="F92" s="86" t="s">
        <v>47</v>
      </c>
      <c r="G92" s="86">
        <v>924.0</v>
      </c>
      <c r="H92" s="86">
        <v>2000.0</v>
      </c>
      <c r="I92" s="185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 ht="15.75" customHeight="1">
      <c r="A93" s="184">
        <v>46073.85093997685</v>
      </c>
      <c r="B93" s="86" t="s">
        <v>423</v>
      </c>
      <c r="C93" s="86">
        <v>1.0</v>
      </c>
      <c r="D93" s="86">
        <v>4.0</v>
      </c>
      <c r="E93" s="86"/>
      <c r="F93" s="86" t="s">
        <v>47</v>
      </c>
      <c r="G93" s="86">
        <v>1435.0</v>
      </c>
      <c r="H93" s="86">
        <v>2500.0</v>
      </c>
      <c r="I93" s="185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 ht="15.75" customHeight="1">
      <c r="A94" s="184">
        <v>46073.85201271991</v>
      </c>
      <c r="B94" s="86" t="s">
        <v>248</v>
      </c>
      <c r="C94" s="86">
        <v>1.0</v>
      </c>
      <c r="D94" s="86">
        <v>7.0</v>
      </c>
      <c r="E94" s="86"/>
      <c r="F94" s="86" t="s">
        <v>47</v>
      </c>
      <c r="G94" s="86">
        <v>979.0</v>
      </c>
      <c r="H94" s="86">
        <v>1800.0</v>
      </c>
      <c r="I94" s="185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 ht="15.75" customHeight="1">
      <c r="A95" s="184">
        <v>46073.85272832176</v>
      </c>
      <c r="B95" s="86" t="s">
        <v>609</v>
      </c>
      <c r="C95" s="86">
        <v>10.0</v>
      </c>
      <c r="D95" s="86">
        <v>14.0</v>
      </c>
      <c r="E95" s="86"/>
      <c r="F95" s="86" t="s">
        <v>147</v>
      </c>
      <c r="G95" s="86">
        <v>300.0</v>
      </c>
      <c r="H95" s="86">
        <v>1000.0</v>
      </c>
      <c r="I95" s="185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 ht="15.75" customHeight="1">
      <c r="A96" s="184">
        <v>46073.85314875</v>
      </c>
      <c r="B96" s="86" t="s">
        <v>148</v>
      </c>
      <c r="C96" s="86">
        <v>3.0</v>
      </c>
      <c r="D96" s="86">
        <v>13.0</v>
      </c>
      <c r="E96" s="86"/>
      <c r="F96" s="86" t="s">
        <v>147</v>
      </c>
      <c r="G96" s="86">
        <v>640.0</v>
      </c>
      <c r="H96" s="86">
        <v>1600.0</v>
      </c>
      <c r="I96" s="185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 ht="15.75" customHeight="1">
      <c r="A97" s="184">
        <v>46073.85403049769</v>
      </c>
      <c r="B97" s="86" t="s">
        <v>154</v>
      </c>
      <c r="C97" s="86">
        <v>1.0</v>
      </c>
      <c r="D97" s="86">
        <v>11.0</v>
      </c>
      <c r="E97" s="86"/>
      <c r="F97" s="86" t="s">
        <v>147</v>
      </c>
      <c r="G97" s="86">
        <v>970.0</v>
      </c>
      <c r="H97" s="86">
        <v>2000.0</v>
      </c>
      <c r="I97" s="185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 ht="15.75" customHeight="1">
      <c r="A98" s="184">
        <v>46073.86228902778</v>
      </c>
      <c r="B98" s="86" t="s">
        <v>230</v>
      </c>
      <c r="C98" s="86">
        <v>9.0</v>
      </c>
      <c r="D98" s="86">
        <v>10.0</v>
      </c>
      <c r="E98" s="86"/>
      <c r="F98" s="86" t="s">
        <v>147</v>
      </c>
      <c r="G98" s="86">
        <v>800.0</v>
      </c>
      <c r="H98" s="86">
        <v>1800.0</v>
      </c>
      <c r="I98" s="185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 ht="15.75" customHeight="1">
      <c r="A99" s="184">
        <v>46073.86894450231</v>
      </c>
      <c r="B99" s="86" t="s">
        <v>1279</v>
      </c>
      <c r="C99" s="86">
        <v>12.0</v>
      </c>
      <c r="D99" s="86">
        <v>24.0</v>
      </c>
      <c r="E99" s="86"/>
      <c r="F99" s="86" t="s">
        <v>147</v>
      </c>
      <c r="G99" s="86">
        <v>1870.0</v>
      </c>
      <c r="H99" s="86">
        <v>3500.0</v>
      </c>
      <c r="I99" s="185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 ht="15.75" customHeight="1">
      <c r="A100" s="184">
        <v>46073.87130247685</v>
      </c>
      <c r="B100" s="86" t="s">
        <v>236</v>
      </c>
      <c r="C100" s="86">
        <v>1.0</v>
      </c>
      <c r="D100" s="86">
        <v>24.0</v>
      </c>
      <c r="E100" s="86"/>
      <c r="F100" s="86" t="s">
        <v>147</v>
      </c>
      <c r="G100" s="86">
        <v>690.0</v>
      </c>
      <c r="H100" s="86">
        <v>1500.0</v>
      </c>
      <c r="I100" s="185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 ht="15.75" customHeight="1">
      <c r="A101" s="184">
        <v>46073.87155877315</v>
      </c>
      <c r="B101" s="86" t="s">
        <v>2016</v>
      </c>
      <c r="C101" s="86">
        <v>1.0</v>
      </c>
      <c r="D101" s="86">
        <v>2.0</v>
      </c>
      <c r="E101" s="86"/>
      <c r="F101" s="86" t="s">
        <v>147</v>
      </c>
      <c r="G101" s="86">
        <v>2000.0</v>
      </c>
      <c r="H101" s="86">
        <v>3000.0</v>
      </c>
      <c r="I101" s="185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 ht="15.75" customHeight="1">
      <c r="A102" s="184">
        <v>46073.87983998843</v>
      </c>
      <c r="B102" s="86" t="s">
        <v>682</v>
      </c>
      <c r="C102" s="86">
        <v>1.0</v>
      </c>
      <c r="D102" s="86">
        <v>6.0</v>
      </c>
      <c r="E102" s="86"/>
      <c r="F102" s="86" t="s">
        <v>355</v>
      </c>
      <c r="G102" s="86">
        <v>650.0</v>
      </c>
      <c r="H102" s="86">
        <v>1500.0</v>
      </c>
      <c r="I102" s="185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 ht="15.75" customHeight="1">
      <c r="A103" s="184">
        <v>46073.88027539352</v>
      </c>
      <c r="B103" s="86" t="s">
        <v>823</v>
      </c>
      <c r="C103" s="86">
        <v>1.0</v>
      </c>
      <c r="D103" s="86">
        <v>7.0</v>
      </c>
      <c r="E103" s="86"/>
      <c r="F103" s="86" t="s">
        <v>355</v>
      </c>
      <c r="G103" s="86">
        <v>2000.0</v>
      </c>
      <c r="H103" s="86">
        <v>4500.0</v>
      </c>
      <c r="I103" s="185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 ht="15.75" customHeight="1">
      <c r="A104" s="184">
        <v>46073.88086733796</v>
      </c>
      <c r="B104" s="86" t="s">
        <v>353</v>
      </c>
      <c r="C104" s="86">
        <v>1.0</v>
      </c>
      <c r="D104" s="86">
        <v>25.0</v>
      </c>
      <c r="E104" s="86"/>
      <c r="F104" s="86" t="s">
        <v>355</v>
      </c>
      <c r="G104" s="86">
        <v>1270.0</v>
      </c>
      <c r="H104" s="86">
        <v>3500.0</v>
      </c>
      <c r="I104" s="185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 ht="15.75" customHeight="1">
      <c r="A105" s="184">
        <v>46073.88522791667</v>
      </c>
      <c r="B105" s="86" t="s">
        <v>187</v>
      </c>
      <c r="C105" s="86">
        <v>1.0</v>
      </c>
      <c r="D105" s="86">
        <v>11.0</v>
      </c>
      <c r="E105" s="86"/>
      <c r="F105" s="86" t="s">
        <v>355</v>
      </c>
      <c r="G105" s="86">
        <v>450.0</v>
      </c>
      <c r="H105" s="86">
        <v>900.0</v>
      </c>
      <c r="I105" s="185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 ht="15.75" customHeight="1">
      <c r="A106" s="184">
        <v>46073.89796790509</v>
      </c>
      <c r="B106" s="86" t="s">
        <v>170</v>
      </c>
      <c r="C106" s="86">
        <v>3.0</v>
      </c>
      <c r="D106" s="86">
        <v>4.0</v>
      </c>
      <c r="E106" s="86"/>
      <c r="F106" s="86" t="s">
        <v>47</v>
      </c>
      <c r="G106" s="86">
        <v>346.0</v>
      </c>
      <c r="H106" s="86">
        <v>600.0</v>
      </c>
      <c r="I106" s="185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 ht="15.75" customHeight="1">
      <c r="A107" s="184">
        <v>46073.89907983796</v>
      </c>
      <c r="B107" s="86" t="s">
        <v>172</v>
      </c>
      <c r="C107" s="86">
        <v>3.0</v>
      </c>
      <c r="D107" s="86">
        <v>4.0</v>
      </c>
      <c r="E107" s="86"/>
      <c r="F107" s="86" t="s">
        <v>47</v>
      </c>
      <c r="G107" s="86">
        <v>349.0</v>
      </c>
      <c r="H107" s="86">
        <v>600.0</v>
      </c>
      <c r="I107" s="185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 ht="15.75" customHeight="1">
      <c r="A108" s="184">
        <v>46073.89935282408</v>
      </c>
      <c r="B108" s="86" t="s">
        <v>1340</v>
      </c>
      <c r="C108" s="86">
        <v>3.0</v>
      </c>
      <c r="D108" s="86">
        <v>4.0</v>
      </c>
      <c r="E108" s="86"/>
      <c r="F108" s="86"/>
      <c r="G108" s="86">
        <v>429.0</v>
      </c>
      <c r="H108" s="86">
        <v>600.0</v>
      </c>
      <c r="I108" s="185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 ht="15.75" customHeight="1">
      <c r="A109" s="184">
        <v>46073.92430568287</v>
      </c>
      <c r="B109" s="86" t="s">
        <v>1340</v>
      </c>
      <c r="C109" s="86">
        <v>1.0</v>
      </c>
      <c r="D109" s="86">
        <v>5.0</v>
      </c>
      <c r="E109" s="86"/>
      <c r="F109" s="86" t="s">
        <v>47</v>
      </c>
      <c r="G109" s="86">
        <v>429.0</v>
      </c>
      <c r="H109" s="86">
        <v>600.0</v>
      </c>
      <c r="I109" s="185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 ht="15.75" customHeight="1">
      <c r="A110" s="184">
        <v>46073.92481055555</v>
      </c>
      <c r="B110" s="86" t="s">
        <v>1338</v>
      </c>
      <c r="C110" s="86">
        <v>1.0</v>
      </c>
      <c r="D110" s="86">
        <v>2.0</v>
      </c>
      <c r="E110" s="86"/>
      <c r="F110" s="86" t="s">
        <v>47</v>
      </c>
      <c r="G110" s="86">
        <v>429.0</v>
      </c>
      <c r="H110" s="86">
        <v>600.0</v>
      </c>
      <c r="I110" s="185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 ht="15.75" customHeight="1">
      <c r="A111" s="184">
        <v>46073.92600571759</v>
      </c>
      <c r="B111" s="86" t="s">
        <v>961</v>
      </c>
      <c r="C111" s="86">
        <v>2.0</v>
      </c>
      <c r="D111" s="86">
        <v>3.0</v>
      </c>
      <c r="E111" s="86"/>
      <c r="F111" s="86" t="s">
        <v>47</v>
      </c>
      <c r="G111" s="86">
        <v>600.0</v>
      </c>
      <c r="H111" s="86">
        <v>600.0</v>
      </c>
      <c r="I111" s="185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 ht="15.75" customHeight="1">
      <c r="A112" s="184">
        <v>46074.81324505787</v>
      </c>
      <c r="B112" s="86" t="s">
        <v>356</v>
      </c>
      <c r="C112" s="86">
        <v>1.0</v>
      </c>
      <c r="D112" s="86">
        <v>23.0</v>
      </c>
      <c r="E112" s="86"/>
      <c r="F112" s="86"/>
      <c r="G112" s="86">
        <v>1800.0</v>
      </c>
      <c r="H112" s="86">
        <v>3500.0</v>
      </c>
      <c r="I112" s="185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 ht="15.75" customHeight="1">
      <c r="A113" s="184">
        <v>46074.82740125</v>
      </c>
      <c r="B113" s="86" t="s">
        <v>933</v>
      </c>
      <c r="C113" s="86">
        <v>1.0</v>
      </c>
      <c r="D113" s="86">
        <v>9.0</v>
      </c>
      <c r="E113" s="86"/>
      <c r="F113" s="86"/>
      <c r="G113" s="86">
        <v>2000.0</v>
      </c>
      <c r="H113" s="86">
        <v>4000.0</v>
      </c>
      <c r="I113" s="185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 ht="15.75" customHeight="1">
      <c r="A114" s="184">
        <v>46074.83239940972</v>
      </c>
      <c r="B114" s="86" t="s">
        <v>1279</v>
      </c>
      <c r="C114" s="86">
        <v>1.0</v>
      </c>
      <c r="D114" s="86">
        <v>22.0</v>
      </c>
      <c r="E114" s="86"/>
      <c r="F114" s="86"/>
      <c r="G114" s="86">
        <v>1900.0</v>
      </c>
      <c r="H114" s="86">
        <v>3500.0</v>
      </c>
      <c r="I114" s="185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 ht="15.75" customHeight="1">
      <c r="A115" s="184">
        <v>46074.83522680555</v>
      </c>
      <c r="B115" s="86" t="s">
        <v>72</v>
      </c>
      <c r="C115" s="86">
        <v>1.0</v>
      </c>
      <c r="D115" s="86">
        <v>9.0</v>
      </c>
      <c r="E115" s="86"/>
      <c r="F115" s="86"/>
      <c r="G115" s="86">
        <v>999.0</v>
      </c>
      <c r="H115" s="86">
        <v>2000.0</v>
      </c>
      <c r="I115" s="185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 ht="15.75" customHeight="1">
      <c r="A116" s="184">
        <v>46074.8437491088</v>
      </c>
      <c r="B116" s="86" t="s">
        <v>2016</v>
      </c>
      <c r="C116" s="86">
        <v>1.0</v>
      </c>
      <c r="D116" s="86">
        <v>0.0</v>
      </c>
      <c r="E116" s="86"/>
      <c r="F116" s="86"/>
      <c r="G116" s="86">
        <v>2000.0</v>
      </c>
      <c r="H116" s="86">
        <v>3000.0</v>
      </c>
      <c r="I116" s="185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 ht="15.75" customHeight="1">
      <c r="A117" s="184">
        <v>46074.8437491088</v>
      </c>
      <c r="B117" s="86" t="s">
        <v>933</v>
      </c>
      <c r="C117" s="86">
        <v>1.0</v>
      </c>
      <c r="D117" s="86">
        <v>8.0</v>
      </c>
      <c r="E117" s="86"/>
      <c r="F117" s="86"/>
      <c r="G117" s="86">
        <v>2000.0</v>
      </c>
      <c r="H117" s="86">
        <v>4000.0</v>
      </c>
      <c r="I117" s="185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 ht="15.75" customHeight="1">
      <c r="A118" s="184">
        <v>46074.8441328125</v>
      </c>
      <c r="B118" s="86" t="s">
        <v>933</v>
      </c>
      <c r="C118" s="86">
        <v>1.0</v>
      </c>
      <c r="D118" s="86">
        <v>7.0</v>
      </c>
      <c r="E118" s="86"/>
      <c r="F118" s="86"/>
      <c r="G118" s="86">
        <v>2000.0</v>
      </c>
      <c r="H118" s="86">
        <v>4000.0</v>
      </c>
      <c r="I118" s="185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 ht="15.75" customHeight="1">
      <c r="A119" s="184">
        <v>46074.84908815972</v>
      </c>
      <c r="B119" s="86" t="s">
        <v>356</v>
      </c>
      <c r="C119" s="86">
        <v>1.0</v>
      </c>
      <c r="D119" s="86">
        <v>19.0</v>
      </c>
      <c r="E119" s="86"/>
      <c r="F119" s="86"/>
      <c r="G119" s="86">
        <v>1900.0</v>
      </c>
      <c r="H119" s="86">
        <v>3500.0</v>
      </c>
      <c r="I119" s="185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 ht="15.75" customHeight="1">
      <c r="A120" s="184">
        <v>46074.86341916666</v>
      </c>
      <c r="B120" s="86" t="s">
        <v>721</v>
      </c>
      <c r="C120" s="86">
        <v>1.0</v>
      </c>
      <c r="D120" s="86">
        <v>5.0</v>
      </c>
      <c r="E120" s="86"/>
      <c r="F120" s="86"/>
      <c r="G120" s="86">
        <v>2500.0</v>
      </c>
      <c r="H120" s="86">
        <v>4500.0</v>
      </c>
      <c r="I120" s="185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 ht="15.75" customHeight="1">
      <c r="A121" s="184">
        <v>46074.89255297454</v>
      </c>
      <c r="B121" s="86" t="s">
        <v>1271</v>
      </c>
      <c r="C121" s="86">
        <v>1.0</v>
      </c>
      <c r="D121" s="86">
        <v>6.0</v>
      </c>
      <c r="E121" s="86"/>
      <c r="F121" s="86"/>
      <c r="G121" s="86">
        <v>2200.0</v>
      </c>
      <c r="H121" s="86">
        <v>5000.0</v>
      </c>
      <c r="I121" s="185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 ht="15.75" customHeight="1">
      <c r="A122" s="184">
        <v>46074.89255297454</v>
      </c>
      <c r="B122" s="86" t="s">
        <v>998</v>
      </c>
      <c r="C122" s="86">
        <v>1.0</v>
      </c>
      <c r="D122" s="86">
        <v>3.0</v>
      </c>
      <c r="E122" s="86"/>
      <c r="F122" s="86"/>
      <c r="G122" s="86">
        <v>2500.0</v>
      </c>
      <c r="H122" s="86">
        <v>4500.0</v>
      </c>
      <c r="I122" s="185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 ht="15.75" customHeight="1">
      <c r="A123" s="184">
        <v>46074.89426958333</v>
      </c>
      <c r="B123" s="86" t="s">
        <v>232</v>
      </c>
      <c r="C123" s="86">
        <v>1.0</v>
      </c>
      <c r="D123" s="86">
        <v>9.0</v>
      </c>
      <c r="E123" s="86"/>
      <c r="F123" s="86"/>
      <c r="G123" s="86">
        <v>800.0</v>
      </c>
      <c r="H123" s="86">
        <v>1700.0</v>
      </c>
      <c r="I123" s="185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 ht="15.75" customHeight="1">
      <c r="A124" s="184">
        <v>46074.89426958333</v>
      </c>
      <c r="B124" s="86" t="s">
        <v>983</v>
      </c>
      <c r="C124" s="86">
        <v>1.0</v>
      </c>
      <c r="D124" s="86">
        <v>0.0</v>
      </c>
      <c r="E124" s="86"/>
      <c r="F124" s="86"/>
      <c r="G124" s="86">
        <v>1200.0</v>
      </c>
      <c r="H124" s="86">
        <v>2200.0</v>
      </c>
      <c r="I124" s="185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 ht="15.75" customHeight="1">
      <c r="A125" s="184">
        <v>46074.90857922454</v>
      </c>
      <c r="B125" s="86" t="s">
        <v>684</v>
      </c>
      <c r="C125" s="86">
        <v>1.0</v>
      </c>
      <c r="D125" s="86">
        <v>2.0</v>
      </c>
      <c r="E125" s="86"/>
      <c r="F125" s="86"/>
      <c r="G125" s="86">
        <v>2200.0</v>
      </c>
      <c r="H125" s="86">
        <v>3500.0</v>
      </c>
      <c r="I125" s="185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 ht="15.75" customHeight="1">
      <c r="A126" s="184">
        <v>46074.90857922454</v>
      </c>
      <c r="B126" s="86" t="s">
        <v>686</v>
      </c>
      <c r="C126" s="86">
        <v>1.0</v>
      </c>
      <c r="D126" s="86">
        <v>2.0</v>
      </c>
      <c r="E126" s="86"/>
      <c r="F126" s="86"/>
      <c r="G126" s="86">
        <v>4200.0</v>
      </c>
      <c r="H126" s="86">
        <v>6500.0</v>
      </c>
      <c r="I126" s="185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 ht="15.75" customHeight="1">
      <c r="A127" s="184">
        <v>46075.51748274305</v>
      </c>
      <c r="B127" s="86" t="s">
        <v>76</v>
      </c>
      <c r="C127" s="86">
        <v>1.0</v>
      </c>
      <c r="D127" s="86">
        <v>14.0</v>
      </c>
      <c r="E127" s="86"/>
      <c r="F127" s="86"/>
      <c r="G127" s="86">
        <v>999.0</v>
      </c>
      <c r="H127" s="86">
        <v>2000.0</v>
      </c>
      <c r="I127" s="185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 ht="15.75" customHeight="1">
      <c r="A128" s="184">
        <v>46075.51984850694</v>
      </c>
      <c r="B128" s="86" t="s">
        <v>356</v>
      </c>
      <c r="C128" s="86">
        <v>1.0</v>
      </c>
      <c r="D128" s="86">
        <v>13.0</v>
      </c>
      <c r="E128" s="86"/>
      <c r="F128" s="86"/>
      <c r="G128" s="86">
        <v>1900.0</v>
      </c>
      <c r="H128" s="86">
        <v>3500.0</v>
      </c>
      <c r="I128" s="185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 ht="15.75" customHeight="1">
      <c r="A129" s="184">
        <v>46075.51984850694</v>
      </c>
      <c r="B129" s="86" t="s">
        <v>2017</v>
      </c>
      <c r="C129" s="86">
        <v>1.0</v>
      </c>
      <c r="D129" s="86">
        <v>2.0</v>
      </c>
      <c r="E129" s="86"/>
      <c r="F129" s="86"/>
      <c r="G129" s="86">
        <v>1400.0</v>
      </c>
      <c r="H129" s="86">
        <v>1800.0</v>
      </c>
      <c r="I129" s="185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 ht="15.75" customHeight="1">
      <c r="A130" s="184">
        <v>46075.51984850694</v>
      </c>
      <c r="B130" s="86" t="s">
        <v>635</v>
      </c>
      <c r="C130" s="86">
        <v>1.0</v>
      </c>
      <c r="D130" s="86">
        <v>22.0</v>
      </c>
      <c r="E130" s="86"/>
      <c r="F130" s="86"/>
      <c r="G130" s="86">
        <v>1400.0</v>
      </c>
      <c r="H130" s="86">
        <v>2100.0</v>
      </c>
      <c r="I130" s="185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 ht="15.75" customHeight="1">
      <c r="A131" s="184">
        <v>46075.57836974537</v>
      </c>
      <c r="B131" s="86" t="s">
        <v>642</v>
      </c>
      <c r="C131" s="86">
        <v>1.0</v>
      </c>
      <c r="D131" s="86">
        <v>2.0</v>
      </c>
      <c r="E131" s="86"/>
      <c r="F131" s="86"/>
      <c r="G131" s="86">
        <v>2000.0</v>
      </c>
      <c r="H131" s="86">
        <v>4000.0</v>
      </c>
      <c r="I131" s="185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 ht="15.75" customHeight="1">
      <c r="A132" s="184">
        <v>46075.57849604166</v>
      </c>
      <c r="B132" s="86" t="s">
        <v>1314</v>
      </c>
      <c r="C132" s="86">
        <v>1.0</v>
      </c>
      <c r="D132" s="86">
        <v>1.0</v>
      </c>
      <c r="E132" s="86"/>
      <c r="F132" s="86"/>
      <c r="G132" s="86">
        <v>2700.0</v>
      </c>
      <c r="H132" s="86">
        <v>4000.0</v>
      </c>
      <c r="I132" s="185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 ht="15.75" customHeight="1">
      <c r="A133" s="184">
        <v>46075.57861023148</v>
      </c>
      <c r="B133" s="86" t="s">
        <v>457</v>
      </c>
      <c r="C133" s="86">
        <v>1.0</v>
      </c>
      <c r="D133" s="86">
        <v>5.0</v>
      </c>
      <c r="E133" s="86"/>
      <c r="F133" s="86"/>
      <c r="G133" s="86">
        <v>1800.0</v>
      </c>
      <c r="H133" s="86">
        <v>2500.0</v>
      </c>
      <c r="I133" s="185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 ht="15.75" customHeight="1">
      <c r="A134" s="184">
        <v>46075.68124942129</v>
      </c>
      <c r="B134" s="86" t="s">
        <v>72</v>
      </c>
      <c r="C134" s="86">
        <v>1.0</v>
      </c>
      <c r="D134" s="86">
        <v>8.0</v>
      </c>
      <c r="E134" s="86"/>
      <c r="F134" s="86"/>
      <c r="G134" s="86">
        <v>999.0</v>
      </c>
      <c r="H134" s="86">
        <v>2000.0</v>
      </c>
      <c r="I134" s="185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 ht="15.75" customHeight="1">
      <c r="A135" s="184">
        <v>46075.68311083334</v>
      </c>
      <c r="B135" s="86" t="s">
        <v>34</v>
      </c>
      <c r="C135" s="86">
        <v>1.0</v>
      </c>
      <c r="D135" s="86">
        <v>19.0</v>
      </c>
      <c r="E135" s="86"/>
      <c r="F135" s="86"/>
      <c r="G135" s="86">
        <v>1500.0</v>
      </c>
      <c r="H135" s="86">
        <v>2600.0</v>
      </c>
      <c r="I135" s="185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 ht="15.75" customHeight="1">
      <c r="A136" s="184">
        <v>46075.68554291667</v>
      </c>
      <c r="B136" s="86" t="s">
        <v>49</v>
      </c>
      <c r="C136" s="86">
        <v>1.0</v>
      </c>
      <c r="D136" s="86">
        <v>4.0</v>
      </c>
      <c r="E136" s="86"/>
      <c r="F136" s="86"/>
      <c r="G136" s="86">
        <v>1800.0</v>
      </c>
      <c r="H136" s="86">
        <v>2700.0</v>
      </c>
      <c r="I136" s="185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 ht="15.75" customHeight="1">
      <c r="A137" s="184">
        <v>46075.70530724537</v>
      </c>
      <c r="B137" s="86" t="s">
        <v>415</v>
      </c>
      <c r="C137" s="86">
        <v>1.0</v>
      </c>
      <c r="D137" s="86">
        <v>7.0</v>
      </c>
      <c r="E137" s="86"/>
      <c r="F137" s="86"/>
      <c r="G137" s="86">
        <v>1000.0</v>
      </c>
      <c r="H137" s="86">
        <v>2000.0</v>
      </c>
      <c r="I137" s="185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 ht="15.75" customHeight="1">
      <c r="A138" s="184">
        <v>46075.73300927084</v>
      </c>
      <c r="B138" s="86" t="s">
        <v>193</v>
      </c>
      <c r="C138" s="86">
        <v>1.0</v>
      </c>
      <c r="D138" s="86">
        <v>3.0</v>
      </c>
      <c r="E138" s="86"/>
      <c r="F138" s="86"/>
      <c r="G138" s="86">
        <v>1200.0</v>
      </c>
      <c r="H138" s="86">
        <v>2200.0</v>
      </c>
      <c r="I138" s="185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 ht="15.75" customHeight="1">
      <c r="A139" s="184">
        <v>46076.05626892361</v>
      </c>
      <c r="B139" s="86" t="s">
        <v>1307</v>
      </c>
      <c r="C139" s="86">
        <v>1.0</v>
      </c>
      <c r="D139" s="86">
        <v>9.0</v>
      </c>
      <c r="E139" s="86"/>
      <c r="F139" s="86"/>
      <c r="G139" s="86">
        <v>4800.0</v>
      </c>
      <c r="H139" s="86">
        <v>7200.0</v>
      </c>
      <c r="I139" s="185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 ht="15.75" customHeight="1">
      <c r="A140" s="184">
        <v>46076.08934456018</v>
      </c>
      <c r="B140" s="86" t="s">
        <v>34</v>
      </c>
      <c r="C140" s="86">
        <v>1.0</v>
      </c>
      <c r="D140" s="86">
        <v>18.0</v>
      </c>
      <c r="E140" s="86"/>
      <c r="F140" s="86"/>
      <c r="G140" s="86">
        <v>1800.0</v>
      </c>
      <c r="H140" s="86">
        <v>2600.0</v>
      </c>
      <c r="I140" s="185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 ht="15.75" customHeight="1">
      <c r="A141" s="184">
        <v>46076.08934456018</v>
      </c>
      <c r="B141" s="86" t="s">
        <v>1307</v>
      </c>
      <c r="C141" s="86">
        <v>1.0</v>
      </c>
      <c r="D141" s="86">
        <v>8.0</v>
      </c>
      <c r="E141" s="86"/>
      <c r="F141" s="86"/>
      <c r="G141" s="86">
        <v>4800.0</v>
      </c>
      <c r="H141" s="86">
        <v>7200.0</v>
      </c>
      <c r="I141" s="185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 ht="15.75" customHeight="1">
      <c r="A142" s="184">
        <v>46076.46919658565</v>
      </c>
      <c r="B142" s="86" t="s">
        <v>1314</v>
      </c>
      <c r="C142" s="86">
        <v>1.0</v>
      </c>
      <c r="D142" s="86">
        <v>0.0</v>
      </c>
      <c r="E142" s="86"/>
      <c r="F142" s="86"/>
      <c r="G142" s="86">
        <v>2700.0</v>
      </c>
      <c r="H142" s="86">
        <v>4000.0</v>
      </c>
      <c r="I142" s="185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 ht="15.75" customHeight="1">
      <c r="A143" s="184">
        <v>46076.46919658565</v>
      </c>
      <c r="B143" s="86" t="s">
        <v>499</v>
      </c>
      <c r="C143" s="86">
        <v>1.0</v>
      </c>
      <c r="D143" s="86">
        <v>4.0</v>
      </c>
      <c r="E143" s="86"/>
      <c r="F143" s="86"/>
      <c r="G143" s="86">
        <v>500.0</v>
      </c>
      <c r="H143" s="86">
        <v>800.0</v>
      </c>
      <c r="I143" s="185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 ht="15.75" customHeight="1">
      <c r="A144" s="184">
        <v>46076.56381207176</v>
      </c>
      <c r="B144" s="86" t="s">
        <v>1243</v>
      </c>
      <c r="C144" s="86">
        <v>1.0</v>
      </c>
      <c r="D144" s="86">
        <v>9.0</v>
      </c>
      <c r="E144" s="86"/>
      <c r="F144" s="86"/>
      <c r="G144" s="86">
        <v>600.0</v>
      </c>
      <c r="H144" s="86">
        <v>1200.0</v>
      </c>
      <c r="I144" s="185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 ht="15.75" customHeight="1">
      <c r="A145" s="184">
        <v>46076.58540313657</v>
      </c>
      <c r="B145" s="86" t="s">
        <v>1321</v>
      </c>
      <c r="C145" s="86">
        <v>1.0</v>
      </c>
      <c r="D145" s="86">
        <v>2.0</v>
      </c>
      <c r="E145" s="86"/>
      <c r="F145" s="86"/>
      <c r="G145" s="86">
        <v>4000.0</v>
      </c>
      <c r="H145" s="86">
        <v>550.0</v>
      </c>
      <c r="I145" s="185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 ht="15.75" customHeight="1">
      <c r="A146" s="184">
        <v>46076.60175270833</v>
      </c>
      <c r="B146" s="86" t="s">
        <v>690</v>
      </c>
      <c r="C146" s="86">
        <v>1.0</v>
      </c>
      <c r="D146" s="86">
        <v>0.0</v>
      </c>
      <c r="E146" s="86"/>
      <c r="F146" s="86"/>
      <c r="G146" s="86">
        <v>1200.0</v>
      </c>
      <c r="H146" s="86">
        <v>1600.0</v>
      </c>
      <c r="I146" s="185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 ht="15.75" customHeight="1">
      <c r="A147" s="184">
        <v>46076.60175270833</v>
      </c>
      <c r="B147" s="86" t="s">
        <v>86</v>
      </c>
      <c r="C147" s="86">
        <v>1.0</v>
      </c>
      <c r="D147" s="86">
        <v>5.0</v>
      </c>
      <c r="E147" s="86"/>
      <c r="F147" s="86"/>
      <c r="G147" s="86">
        <v>3000.0</v>
      </c>
      <c r="H147" s="86">
        <v>5000.0</v>
      </c>
      <c r="I147" s="185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 ht="15.75" customHeight="1">
      <c r="A148" s="184">
        <v>46076.60175270833</v>
      </c>
      <c r="B148" s="86" t="s">
        <v>1269</v>
      </c>
      <c r="C148" s="86">
        <v>1.0</v>
      </c>
      <c r="D148" s="86">
        <v>3.0</v>
      </c>
      <c r="E148" s="86"/>
      <c r="F148" s="86"/>
      <c r="G148" s="86">
        <v>2500.0</v>
      </c>
      <c r="H148" s="86">
        <v>4500.0</v>
      </c>
      <c r="I148" s="185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 ht="15.75" customHeight="1">
      <c r="A149" s="184">
        <v>46076.60175270833</v>
      </c>
      <c r="B149" s="86" t="s">
        <v>211</v>
      </c>
      <c r="C149" s="86">
        <v>1.0</v>
      </c>
      <c r="D149" s="86">
        <v>4.0</v>
      </c>
      <c r="E149" s="86"/>
      <c r="F149" s="86"/>
      <c r="G149" s="86">
        <v>890.0</v>
      </c>
      <c r="H149" s="86">
        <v>2500.0</v>
      </c>
      <c r="I149" s="185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 ht="15.75" customHeight="1">
      <c r="A150" s="184">
        <v>46076.78262765046</v>
      </c>
      <c r="B150" s="86" t="s">
        <v>1273</v>
      </c>
      <c r="C150" s="86">
        <v>1.0</v>
      </c>
      <c r="D150" s="86">
        <v>2.0</v>
      </c>
      <c r="E150" s="86"/>
      <c r="F150" s="86"/>
      <c r="G150" s="86">
        <v>1500.0</v>
      </c>
      <c r="H150" s="86">
        <v>2500.0</v>
      </c>
      <c r="I150" s="185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 ht="15.75" customHeight="1">
      <c r="A151" s="184">
        <v>46076.78262765046</v>
      </c>
      <c r="B151" s="86" t="s">
        <v>725</v>
      </c>
      <c r="C151" s="86">
        <v>1.0</v>
      </c>
      <c r="D151" s="86">
        <v>0.0</v>
      </c>
      <c r="E151" s="86"/>
      <c r="F151" s="86"/>
      <c r="G151" s="86">
        <v>2000.0</v>
      </c>
      <c r="H151" s="86">
        <v>3000.0</v>
      </c>
      <c r="I151" s="185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 ht="15.75" customHeight="1">
      <c r="A152" s="184">
        <v>46076.78262765046</v>
      </c>
      <c r="B152" s="86" t="s">
        <v>1314</v>
      </c>
      <c r="C152" s="86">
        <v>1.0</v>
      </c>
      <c r="D152" s="86">
        <v>1.0</v>
      </c>
      <c r="E152" s="86"/>
      <c r="F152" s="86"/>
      <c r="G152" s="86">
        <v>2700.0</v>
      </c>
      <c r="H152" s="86">
        <v>4000.0</v>
      </c>
      <c r="I152" s="185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 ht="15.75" customHeight="1">
      <c r="A153" s="184">
        <v>46076.82105636574</v>
      </c>
      <c r="B153" s="86" t="s">
        <v>711</v>
      </c>
      <c r="C153" s="86">
        <v>1.0</v>
      </c>
      <c r="D153" s="86">
        <v>4.0</v>
      </c>
      <c r="E153" s="86"/>
      <c r="F153" s="86"/>
      <c r="G153" s="86">
        <v>1000.0</v>
      </c>
      <c r="H153" s="86">
        <v>2500.0</v>
      </c>
      <c r="I153" s="185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 ht="15.75" customHeight="1">
      <c r="A154" s="184">
        <v>46076.82105636574</v>
      </c>
      <c r="B154" s="86" t="s">
        <v>1277</v>
      </c>
      <c r="C154" s="86">
        <v>1.0</v>
      </c>
      <c r="D154" s="86">
        <v>11.0</v>
      </c>
      <c r="E154" s="86"/>
      <c r="F154" s="86"/>
      <c r="G154" s="86">
        <v>2400.0</v>
      </c>
      <c r="H154" s="86">
        <v>4000.0</v>
      </c>
      <c r="I154" s="185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 ht="15.75" customHeight="1">
      <c r="A155" s="184">
        <v>46076.82105636574</v>
      </c>
      <c r="B155" s="86" t="s">
        <v>753</v>
      </c>
      <c r="C155" s="86">
        <v>1.0</v>
      </c>
      <c r="D155" s="86">
        <v>0.0</v>
      </c>
      <c r="E155" s="86"/>
      <c r="F155" s="86"/>
      <c r="G155" s="86">
        <v>4000.0</v>
      </c>
      <c r="H155" s="86">
        <v>6000.0</v>
      </c>
      <c r="I155" s="185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 ht="15.75" customHeight="1">
      <c r="A156" s="184">
        <v>46076.82237097222</v>
      </c>
      <c r="B156" s="86" t="s">
        <v>499</v>
      </c>
      <c r="C156" s="86">
        <v>1.0</v>
      </c>
      <c r="D156" s="86">
        <v>2.0</v>
      </c>
      <c r="E156" s="86"/>
      <c r="F156" s="86"/>
      <c r="G156" s="86">
        <v>600.0</v>
      </c>
      <c r="H156" s="86">
        <v>800.0</v>
      </c>
      <c r="I156" s="185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 ht="15.75" customHeight="1">
      <c r="A157" s="184">
        <v>46076.82237097222</v>
      </c>
      <c r="B157" s="86" t="s">
        <v>518</v>
      </c>
      <c r="C157" s="86">
        <v>1.0</v>
      </c>
      <c r="D157" s="86">
        <v>10.0</v>
      </c>
      <c r="E157" s="86"/>
      <c r="F157" s="86"/>
      <c r="G157" s="86">
        <v>1000.0</v>
      </c>
      <c r="H157" s="86">
        <v>2200.0</v>
      </c>
      <c r="I157" s="185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 ht="15.75" customHeight="1">
      <c r="A158" s="184">
        <v>46076.82237097222</v>
      </c>
      <c r="B158" s="86" t="s">
        <v>449</v>
      </c>
      <c r="C158" s="86">
        <v>1.0</v>
      </c>
      <c r="D158" s="86">
        <v>2.0</v>
      </c>
      <c r="E158" s="86"/>
      <c r="F158" s="86"/>
      <c r="G158" s="86">
        <v>1000.0</v>
      </c>
      <c r="H158" s="86">
        <v>1500.0</v>
      </c>
      <c r="I158" s="185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 ht="15.75" customHeight="1">
      <c r="A159" s="184">
        <v>46076.82794935185</v>
      </c>
      <c r="B159" s="86" t="s">
        <v>172</v>
      </c>
      <c r="C159" s="86">
        <v>1.0</v>
      </c>
      <c r="D159" s="86">
        <v>3.0</v>
      </c>
      <c r="E159" s="86"/>
      <c r="F159" s="86"/>
      <c r="G159" s="86">
        <v>350.0</v>
      </c>
      <c r="H159" s="86">
        <v>600.0</v>
      </c>
      <c r="I159" s="185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 ht="15.75" customHeight="1">
      <c r="A160" s="184">
        <v>46076.82794935185</v>
      </c>
      <c r="B160" s="86" t="s">
        <v>1338</v>
      </c>
      <c r="C160" s="86">
        <v>1.0</v>
      </c>
      <c r="D160" s="86">
        <v>1.0</v>
      </c>
      <c r="E160" s="86"/>
      <c r="F160" s="86"/>
      <c r="G160" s="86">
        <v>350.0</v>
      </c>
      <c r="H160" s="86">
        <v>600.0</v>
      </c>
      <c r="I160" s="185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 ht="15.75" customHeight="1">
      <c r="A161" s="184">
        <v>46076.82794935185</v>
      </c>
      <c r="B161" s="86" t="s">
        <v>1339</v>
      </c>
      <c r="C161" s="86">
        <v>1.0</v>
      </c>
      <c r="D161" s="86">
        <v>0.0</v>
      </c>
      <c r="E161" s="86"/>
      <c r="F161" s="86"/>
      <c r="G161" s="86">
        <v>350.0</v>
      </c>
      <c r="H161" s="86">
        <v>600.0</v>
      </c>
      <c r="I161" s="185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 ht="15.75" customHeight="1">
      <c r="A162" s="184">
        <v>46076.82794935185</v>
      </c>
      <c r="B162" s="86" t="s">
        <v>1340</v>
      </c>
      <c r="C162" s="86">
        <v>1.0</v>
      </c>
      <c r="D162" s="86">
        <v>4.0</v>
      </c>
      <c r="E162" s="86"/>
      <c r="F162" s="86"/>
      <c r="G162" s="86">
        <v>350.0</v>
      </c>
      <c r="H162" s="86">
        <v>600.0</v>
      </c>
      <c r="I162" s="185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 ht="15.75" customHeight="1">
      <c r="A163" s="184">
        <v>46076.82794935185</v>
      </c>
      <c r="B163" s="86" t="s">
        <v>518</v>
      </c>
      <c r="C163" s="86">
        <v>1.0</v>
      </c>
      <c r="D163" s="86">
        <v>9.0</v>
      </c>
      <c r="E163" s="86"/>
      <c r="F163" s="86"/>
      <c r="G163" s="86">
        <v>1600.0</v>
      </c>
      <c r="H163" s="86">
        <v>2200.0</v>
      </c>
      <c r="I163" s="185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 ht="15.75" customHeight="1">
      <c r="A164" s="184">
        <v>46076.83057246527</v>
      </c>
      <c r="B164" s="86" t="s">
        <v>435</v>
      </c>
      <c r="C164" s="86">
        <v>1.0</v>
      </c>
      <c r="D164" s="86">
        <v>5.0</v>
      </c>
      <c r="E164" s="86"/>
      <c r="F164" s="86"/>
      <c r="G164" s="86">
        <v>2200.0</v>
      </c>
      <c r="H164" s="86">
        <v>2200.0</v>
      </c>
      <c r="I164" s="185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 ht="15.75" customHeight="1">
      <c r="A165" s="184">
        <v>46076.83057246527</v>
      </c>
      <c r="B165" s="86" t="s">
        <v>1344</v>
      </c>
      <c r="C165" s="86">
        <v>1.0</v>
      </c>
      <c r="D165" s="86">
        <v>5.0</v>
      </c>
      <c r="E165" s="86"/>
      <c r="F165" s="86"/>
      <c r="G165" s="86">
        <v>1800.0</v>
      </c>
      <c r="H165" s="86">
        <v>1170.0</v>
      </c>
      <c r="I165" s="185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 ht="15.75" customHeight="1">
      <c r="A166" s="184">
        <v>46076.83057246527</v>
      </c>
      <c r="B166" s="86" t="s">
        <v>518</v>
      </c>
      <c r="C166" s="86">
        <v>1.0</v>
      </c>
      <c r="D166" s="86">
        <v>8.0</v>
      </c>
      <c r="E166" s="86"/>
      <c r="F166" s="86"/>
      <c r="G166" s="86">
        <v>1600.0</v>
      </c>
      <c r="H166" s="86">
        <v>2200.0</v>
      </c>
      <c r="I166" s="185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 ht="15.75" customHeight="1">
      <c r="A167" s="184">
        <v>46076.8312396875</v>
      </c>
      <c r="B167" s="86" t="s">
        <v>933</v>
      </c>
      <c r="C167" s="86">
        <v>1.0</v>
      </c>
      <c r="D167" s="86">
        <v>5.0</v>
      </c>
      <c r="E167" s="86"/>
      <c r="F167" s="86"/>
      <c r="G167" s="86">
        <v>2000.0</v>
      </c>
      <c r="H167" s="86">
        <v>4000.0</v>
      </c>
      <c r="I167" s="185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 ht="15.75" customHeight="1">
      <c r="A168" s="184">
        <v>46076.8312396875</v>
      </c>
      <c r="B168" s="86" t="s">
        <v>1347</v>
      </c>
      <c r="C168" s="86">
        <v>1.0</v>
      </c>
      <c r="D168" s="86">
        <v>7.0</v>
      </c>
      <c r="E168" s="86"/>
      <c r="F168" s="86"/>
      <c r="G168" s="86">
        <v>3700.0</v>
      </c>
      <c r="H168" s="86">
        <v>6700.0</v>
      </c>
      <c r="I168" s="185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 ht="15.75" customHeight="1">
      <c r="A169" s="184">
        <v>46076.8312396875</v>
      </c>
      <c r="B169" s="86" t="s">
        <v>1307</v>
      </c>
      <c r="C169" s="86">
        <v>1.0</v>
      </c>
      <c r="D169" s="86">
        <v>7.0</v>
      </c>
      <c r="E169" s="86"/>
      <c r="F169" s="86"/>
      <c r="G169" s="86">
        <v>4800.0</v>
      </c>
      <c r="H169" s="86">
        <v>7200.0</v>
      </c>
      <c r="I169" s="185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 ht="15.75" customHeight="1">
      <c r="A170" s="184">
        <v>46076.83580503472</v>
      </c>
      <c r="B170" s="86" t="s">
        <v>1518</v>
      </c>
      <c r="C170" s="86">
        <v>1.0</v>
      </c>
      <c r="D170" s="86">
        <v>4.0</v>
      </c>
      <c r="E170" s="86"/>
      <c r="F170" s="86"/>
      <c r="G170" s="86">
        <v>10600.0</v>
      </c>
      <c r="H170" s="86">
        <v>16000.0</v>
      </c>
      <c r="I170" s="185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 ht="15.75" customHeight="1">
      <c r="A171" s="184">
        <v>46076.84461912037</v>
      </c>
      <c r="B171" s="86" t="s">
        <v>356</v>
      </c>
      <c r="C171" s="86">
        <v>1.0</v>
      </c>
      <c r="D171" s="86">
        <v>5.0</v>
      </c>
      <c r="E171" s="86"/>
      <c r="F171" s="86"/>
      <c r="G171" s="86">
        <v>1600.0</v>
      </c>
      <c r="H171" s="86">
        <v>3500.0</v>
      </c>
      <c r="I171" s="185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 ht="15.75" customHeight="1">
      <c r="A172" s="184">
        <v>46076.86789788194</v>
      </c>
      <c r="B172" s="86" t="s">
        <v>1279</v>
      </c>
      <c r="C172" s="86">
        <v>1.0</v>
      </c>
      <c r="D172" s="86">
        <v>20.0</v>
      </c>
      <c r="E172" s="86"/>
      <c r="F172" s="86"/>
      <c r="G172" s="86">
        <v>1600.0</v>
      </c>
      <c r="H172" s="86">
        <v>3500.0</v>
      </c>
      <c r="I172" s="185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 ht="15.75" customHeight="1">
      <c r="A173" s="184">
        <v>46076.87381</v>
      </c>
      <c r="B173" s="86" t="s">
        <v>398</v>
      </c>
      <c r="C173" s="86">
        <v>1.0</v>
      </c>
      <c r="D173" s="86">
        <v>8.0</v>
      </c>
      <c r="E173" s="86"/>
      <c r="F173" s="86"/>
      <c r="G173" s="86">
        <v>3000.0</v>
      </c>
      <c r="H173" s="86">
        <v>5000.0</v>
      </c>
      <c r="I173" s="185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 ht="15.75" customHeight="1">
      <c r="A174" s="184">
        <v>46076.87381</v>
      </c>
      <c r="B174" s="86" t="s">
        <v>187</v>
      </c>
      <c r="C174" s="86">
        <v>1.0</v>
      </c>
      <c r="D174" s="86">
        <v>10.0</v>
      </c>
      <c r="E174" s="86"/>
      <c r="F174" s="86"/>
      <c r="G174" s="86">
        <v>500.0</v>
      </c>
      <c r="H174" s="86">
        <v>900.0</v>
      </c>
      <c r="I174" s="185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 ht="15.75" customHeight="1">
      <c r="A175" s="184">
        <v>46076.87381</v>
      </c>
      <c r="B175" s="86" t="s">
        <v>1018</v>
      </c>
      <c r="C175" s="86">
        <v>1.0</v>
      </c>
      <c r="D175" s="86">
        <v>4.0</v>
      </c>
      <c r="E175" s="86"/>
      <c r="F175" s="86"/>
      <c r="G175" s="86">
        <v>10600.0</v>
      </c>
      <c r="H175" s="86">
        <v>16000.0</v>
      </c>
      <c r="I175" s="185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 ht="15.75" customHeight="1">
      <c r="A176" s="184">
        <v>46076.87381</v>
      </c>
      <c r="B176" s="86" t="s">
        <v>1363</v>
      </c>
      <c r="C176" s="86">
        <v>1.0</v>
      </c>
      <c r="D176" s="86">
        <v>39.0</v>
      </c>
      <c r="E176" s="86"/>
      <c r="F176" s="86"/>
      <c r="G176" s="86">
        <v>2000.0</v>
      </c>
      <c r="H176" s="86">
        <v>3750.0</v>
      </c>
      <c r="I176" s="185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 ht="15.75" customHeight="1">
      <c r="A177" s="184">
        <v>46076.87381</v>
      </c>
      <c r="B177" s="86" t="s">
        <v>248</v>
      </c>
      <c r="C177" s="86">
        <v>1.0</v>
      </c>
      <c r="D177" s="86">
        <v>6.0</v>
      </c>
      <c r="E177" s="86"/>
      <c r="F177" s="86"/>
      <c r="G177" s="86">
        <v>999.0</v>
      </c>
      <c r="H177" s="86">
        <v>1800.0</v>
      </c>
      <c r="I177" s="185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 ht="15.75" customHeight="1">
      <c r="A178" s="184">
        <v>46076.87381</v>
      </c>
      <c r="B178" s="86" t="s">
        <v>1364</v>
      </c>
      <c r="C178" s="86">
        <v>1.0</v>
      </c>
      <c r="D178" s="86">
        <v>2.0</v>
      </c>
      <c r="E178" s="86"/>
      <c r="F178" s="86"/>
      <c r="G178" s="86">
        <v>2500.0</v>
      </c>
      <c r="H178" s="86">
        <v>3500.0</v>
      </c>
      <c r="I178" s="185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 ht="15.75" customHeight="1">
      <c r="A179" s="184">
        <v>46076.87381</v>
      </c>
      <c r="B179" s="86" t="s">
        <v>58</v>
      </c>
      <c r="C179" s="86">
        <v>1.0</v>
      </c>
      <c r="D179" s="86">
        <v>47.0</v>
      </c>
      <c r="E179" s="86"/>
      <c r="F179" s="86"/>
      <c r="G179" s="86">
        <v>500.0</v>
      </c>
      <c r="H179" s="86">
        <v>1000.0</v>
      </c>
      <c r="I179" s="185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 ht="15.75" customHeight="1">
      <c r="A180" s="184">
        <v>46076.87500521991</v>
      </c>
      <c r="B180" s="86" t="s">
        <v>2018</v>
      </c>
      <c r="C180" s="86">
        <v>1.0</v>
      </c>
      <c r="D180" s="86">
        <v>20.0</v>
      </c>
      <c r="E180" s="86"/>
      <c r="F180" s="86"/>
      <c r="G180" s="86">
        <v>1500.0</v>
      </c>
      <c r="H180" s="86">
        <v>2000.0</v>
      </c>
      <c r="I180" s="185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 ht="15.75" customHeight="1">
      <c r="A181" s="184">
        <v>46076.87632935185</v>
      </c>
      <c r="B181" s="86" t="s">
        <v>528</v>
      </c>
      <c r="C181" s="86">
        <v>1.0</v>
      </c>
      <c r="D181" s="86">
        <v>7.0</v>
      </c>
      <c r="E181" s="86"/>
      <c r="F181" s="86"/>
      <c r="G181" s="86">
        <v>2000.0</v>
      </c>
      <c r="H181" s="86">
        <v>3200.0</v>
      </c>
      <c r="I181" s="185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 ht="15.75" customHeight="1">
      <c r="A182" s="184">
        <v>46076.87632935185</v>
      </c>
      <c r="B182" s="86" t="s">
        <v>558</v>
      </c>
      <c r="C182" s="86">
        <v>1.0</v>
      </c>
      <c r="D182" s="86">
        <v>13.0</v>
      </c>
      <c r="E182" s="86"/>
      <c r="F182" s="86"/>
      <c r="G182" s="86">
        <v>1900.0</v>
      </c>
      <c r="H182" s="86">
        <v>3600.0</v>
      </c>
      <c r="I182" s="185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 ht="15.75" customHeight="1">
      <c r="A183" s="184">
        <v>46076.91645520833</v>
      </c>
      <c r="B183" s="86" t="s">
        <v>1279</v>
      </c>
      <c r="C183" s="86">
        <v>1.0</v>
      </c>
      <c r="D183" s="86">
        <v>16.0</v>
      </c>
      <c r="E183" s="86"/>
      <c r="F183" s="86"/>
      <c r="G183" s="86">
        <v>1900.0</v>
      </c>
      <c r="H183" s="86">
        <v>3500.0</v>
      </c>
      <c r="I183" s="185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 ht="15.75" customHeight="1">
      <c r="A184" s="184">
        <v>46076.91645520833</v>
      </c>
      <c r="B184" s="86" t="s">
        <v>338</v>
      </c>
      <c r="C184" s="86">
        <v>1.0</v>
      </c>
      <c r="D184" s="86">
        <v>5.0</v>
      </c>
      <c r="E184" s="86"/>
      <c r="F184" s="86"/>
      <c r="G184" s="86">
        <v>1300.0</v>
      </c>
      <c r="H184" s="86">
        <v>3200.0</v>
      </c>
      <c r="I184" s="185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 ht="15.75" customHeight="1">
      <c r="A185" s="184">
        <v>46076.92454892361</v>
      </c>
      <c r="B185" s="86" t="s">
        <v>199</v>
      </c>
      <c r="C185" s="86">
        <v>1.0</v>
      </c>
      <c r="D185" s="86">
        <v>6.0</v>
      </c>
      <c r="E185" s="86"/>
      <c r="F185" s="86" t="s">
        <v>47</v>
      </c>
      <c r="G185" s="86">
        <v>1403.0</v>
      </c>
      <c r="H185" s="86">
        <v>2300.0</v>
      </c>
      <c r="I185" s="185">
        <v>46294.0</v>
      </c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 ht="15.75" customHeight="1">
      <c r="A186" s="184">
        <v>46076.92557478009</v>
      </c>
      <c r="B186" s="86" t="s">
        <v>201</v>
      </c>
      <c r="C186" s="86">
        <v>1.0</v>
      </c>
      <c r="D186" s="86">
        <v>8.0</v>
      </c>
      <c r="E186" s="86"/>
      <c r="F186" s="86" t="s">
        <v>47</v>
      </c>
      <c r="G186" s="86">
        <v>809.0</v>
      </c>
      <c r="H186" s="86">
        <v>2000.0</v>
      </c>
      <c r="I186" s="185">
        <v>46251.0</v>
      </c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 ht="15.75" customHeight="1">
      <c r="A187" s="184">
        <v>46076.92766625</v>
      </c>
      <c r="B187" s="86" t="s">
        <v>380</v>
      </c>
      <c r="C187" s="86">
        <v>1.0</v>
      </c>
      <c r="D187" s="86">
        <v>2.0</v>
      </c>
      <c r="E187" s="86"/>
      <c r="F187" s="86" t="s">
        <v>47</v>
      </c>
      <c r="G187" s="86">
        <v>676.0</v>
      </c>
      <c r="H187" s="86">
        <v>1400.0</v>
      </c>
      <c r="I187" s="185">
        <v>46721.0</v>
      </c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 ht="15.75" customHeight="1">
      <c r="A188" s="184">
        <v>46076.92878236111</v>
      </c>
      <c r="B188" s="86" t="s">
        <v>417</v>
      </c>
      <c r="C188" s="86">
        <v>1.0</v>
      </c>
      <c r="D188" s="86">
        <v>7.0</v>
      </c>
      <c r="E188" s="86"/>
      <c r="F188" s="86" t="s">
        <v>47</v>
      </c>
      <c r="G188" s="86">
        <v>855.0</v>
      </c>
      <c r="H188" s="86">
        <v>2000.0</v>
      </c>
      <c r="I188" s="185">
        <v>46207.0</v>
      </c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 ht="15.75" customHeight="1">
      <c r="A189" s="184">
        <v>46076.92915694445</v>
      </c>
      <c r="B189" s="86" t="s">
        <v>417</v>
      </c>
      <c r="C189" s="86">
        <v>1.0</v>
      </c>
      <c r="D189" s="86">
        <v>8.0</v>
      </c>
      <c r="E189" s="86"/>
      <c r="F189" s="86" t="s">
        <v>47</v>
      </c>
      <c r="G189" s="86">
        <v>855.0</v>
      </c>
      <c r="H189" s="86">
        <v>2000.0</v>
      </c>
      <c r="I189" s="185">
        <v>46190.0</v>
      </c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 ht="15.75" customHeight="1">
      <c r="A190" s="184">
        <v>46076.93011579861</v>
      </c>
      <c r="B190" s="86" t="s">
        <v>370</v>
      </c>
      <c r="C190" s="86">
        <v>1.0</v>
      </c>
      <c r="D190" s="86">
        <v>3.0</v>
      </c>
      <c r="E190" s="86"/>
      <c r="F190" s="86" t="s">
        <v>47</v>
      </c>
      <c r="G190" s="86">
        <v>749.0</v>
      </c>
      <c r="H190" s="86">
        <v>2000.0</v>
      </c>
      <c r="I190" s="185">
        <v>46050.0</v>
      </c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 ht="15.75" customHeight="1">
      <c r="A191" s="184">
        <v>46076.9353131713</v>
      </c>
      <c r="B191" s="86" t="s">
        <v>374</v>
      </c>
      <c r="C191" s="86">
        <v>1.0</v>
      </c>
      <c r="D191" s="86">
        <v>4.0</v>
      </c>
      <c r="E191" s="86"/>
      <c r="F191" s="86" t="s">
        <v>47</v>
      </c>
      <c r="G191" s="86">
        <v>1233.0</v>
      </c>
      <c r="H191" s="86">
        <v>2100.0</v>
      </c>
      <c r="I191" s="185">
        <v>46225.0</v>
      </c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 ht="15.75" customHeight="1">
      <c r="A192" s="184">
        <v>46076.93769616898</v>
      </c>
      <c r="B192" s="86" t="s">
        <v>378</v>
      </c>
      <c r="C192" s="86">
        <v>1.0</v>
      </c>
      <c r="D192" s="86">
        <v>3.0</v>
      </c>
      <c r="E192" s="86"/>
      <c r="F192" s="86" t="s">
        <v>47</v>
      </c>
      <c r="G192" s="86">
        <v>430.0</v>
      </c>
      <c r="H192" s="86">
        <v>800.0</v>
      </c>
      <c r="I192" s="185">
        <v>46381.0</v>
      </c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 ht="15.75" customHeight="1">
      <c r="A193" s="184">
        <v>46076.93843060185</v>
      </c>
      <c r="B193" s="86" t="s">
        <v>376</v>
      </c>
      <c r="C193" s="86">
        <v>1.0</v>
      </c>
      <c r="D193" s="86">
        <v>3.0</v>
      </c>
      <c r="E193" s="86"/>
      <c r="F193" s="86" t="s">
        <v>47</v>
      </c>
      <c r="G193" s="86">
        <v>1352.0</v>
      </c>
      <c r="H193" s="86">
        <v>2300.0</v>
      </c>
      <c r="I193" s="185">
        <v>46716.0</v>
      </c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 ht="15.75" customHeight="1">
      <c r="A194" s="184">
        <v>46076.93900849537</v>
      </c>
      <c r="B194" s="86" t="s">
        <v>368</v>
      </c>
      <c r="C194" s="86">
        <v>1.0</v>
      </c>
      <c r="D194" s="86">
        <v>3.0</v>
      </c>
      <c r="E194" s="86"/>
      <c r="F194" s="86" t="s">
        <v>47</v>
      </c>
      <c r="G194" s="86">
        <v>994.0</v>
      </c>
      <c r="H194" s="86">
        <v>1800.0</v>
      </c>
      <c r="I194" s="185">
        <v>46402.0</v>
      </c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 ht="15.75" customHeight="1">
      <c r="A195" s="184">
        <v>46076.96805943287</v>
      </c>
      <c r="B195" s="86" t="s">
        <v>1267</v>
      </c>
      <c r="C195" s="86">
        <v>1.0</v>
      </c>
      <c r="D195" s="86">
        <v>20.0</v>
      </c>
      <c r="E195" s="86"/>
      <c r="F195" s="86"/>
      <c r="G195" s="86">
        <v>300.0</v>
      </c>
      <c r="H195" s="86">
        <v>500.0</v>
      </c>
      <c r="I195" s="185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 ht="15.75" customHeight="1">
      <c r="A196" s="184">
        <v>46076.96823892361</v>
      </c>
      <c r="B196" s="86" t="s">
        <v>1267</v>
      </c>
      <c r="C196" s="86">
        <v>1.0</v>
      </c>
      <c r="D196" s="86">
        <v>19.0</v>
      </c>
      <c r="E196" s="86"/>
      <c r="F196" s="86"/>
      <c r="G196" s="86">
        <v>300.0</v>
      </c>
      <c r="H196" s="86">
        <v>500.0</v>
      </c>
      <c r="I196" s="185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 ht="15.75" customHeight="1">
      <c r="A197" s="184">
        <v>46076.96836601852</v>
      </c>
      <c r="B197" s="86" t="s">
        <v>1267</v>
      </c>
      <c r="C197" s="86">
        <v>1.0</v>
      </c>
      <c r="D197" s="86">
        <v>18.0</v>
      </c>
      <c r="E197" s="86"/>
      <c r="F197" s="86"/>
      <c r="G197" s="86">
        <v>300.0</v>
      </c>
      <c r="H197" s="86">
        <v>500.0</v>
      </c>
      <c r="I197" s="185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 ht="15.75" customHeight="1">
      <c r="A198" s="184">
        <v>46076.9738334838</v>
      </c>
      <c r="B198" s="86" t="s">
        <v>1267</v>
      </c>
      <c r="C198" s="86">
        <v>1.0</v>
      </c>
      <c r="D198" s="86">
        <v>17.0</v>
      </c>
      <c r="E198" s="86"/>
      <c r="F198" s="86"/>
      <c r="G198" s="86">
        <v>300.0</v>
      </c>
      <c r="H198" s="86">
        <v>500.0</v>
      </c>
      <c r="I198" s="185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 ht="15.75" customHeight="1">
      <c r="A199" s="184">
        <v>46076.9738334838</v>
      </c>
      <c r="B199" s="86" t="s">
        <v>396</v>
      </c>
      <c r="C199" s="86">
        <v>1.0</v>
      </c>
      <c r="D199" s="86">
        <v>2.0</v>
      </c>
      <c r="E199" s="86"/>
      <c r="F199" s="86"/>
      <c r="G199" s="86">
        <v>3000.0</v>
      </c>
      <c r="H199" s="86">
        <v>5500.0</v>
      </c>
      <c r="I199" s="185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 ht="15.75" customHeight="1">
      <c r="A200" s="184">
        <v>46077.0046653588</v>
      </c>
      <c r="B200" s="86" t="s">
        <v>2019</v>
      </c>
      <c r="C200" s="86">
        <v>1.0</v>
      </c>
      <c r="D200" s="86">
        <v>6.0</v>
      </c>
      <c r="E200" s="86"/>
      <c r="F200" s="86" t="s">
        <v>47</v>
      </c>
      <c r="G200" s="86">
        <v>1534.0</v>
      </c>
      <c r="H200" s="86">
        <v>3000.0</v>
      </c>
      <c r="I200" s="185">
        <v>46194.0</v>
      </c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 ht="15.75" customHeight="1">
      <c r="A201" s="184">
        <v>46077.53024328704</v>
      </c>
      <c r="B201" s="86" t="s">
        <v>472</v>
      </c>
      <c r="C201" s="86">
        <v>1.0</v>
      </c>
      <c r="D201" s="86">
        <v>11.0</v>
      </c>
      <c r="E201" s="86"/>
      <c r="F201" s="86"/>
      <c r="G201" s="86">
        <v>2999.0</v>
      </c>
      <c r="H201" s="86">
        <v>4500.0</v>
      </c>
      <c r="I201" s="185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 ht="15.75" customHeight="1">
      <c r="A202" s="184">
        <v>46077.53024328704</v>
      </c>
      <c r="B202" s="86" t="s">
        <v>213</v>
      </c>
      <c r="C202" s="86">
        <v>1.0</v>
      </c>
      <c r="D202" s="86">
        <v>4.0</v>
      </c>
      <c r="E202" s="86"/>
      <c r="F202" s="86"/>
      <c r="G202" s="86">
        <v>1500.0</v>
      </c>
      <c r="H202" s="86">
        <v>3300.0</v>
      </c>
      <c r="I202" s="185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 ht="15.75" customHeight="1">
      <c r="A203" s="184">
        <v>46077.53024328704</v>
      </c>
      <c r="B203" s="86" t="s">
        <v>34</v>
      </c>
      <c r="C203" s="86">
        <v>1.0</v>
      </c>
      <c r="D203" s="86">
        <v>17.0</v>
      </c>
      <c r="E203" s="86"/>
      <c r="F203" s="86"/>
      <c r="G203" s="86">
        <v>1600.0</v>
      </c>
      <c r="H203" s="86">
        <v>2600.0</v>
      </c>
      <c r="I203" s="185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 ht="15.75" customHeight="1">
      <c r="A204" s="184">
        <v>46077.53024328704</v>
      </c>
      <c r="B204" s="86" t="s">
        <v>78</v>
      </c>
      <c r="C204" s="86">
        <v>1.0</v>
      </c>
      <c r="D204" s="86">
        <v>10.0</v>
      </c>
      <c r="E204" s="86"/>
      <c r="F204" s="86"/>
      <c r="G204" s="86">
        <v>1600.0</v>
      </c>
      <c r="H204" s="86">
        <v>2500.0</v>
      </c>
      <c r="I204" s="185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 ht="15.75" customHeight="1">
      <c r="A205" s="184">
        <v>46077.53024328704</v>
      </c>
      <c r="B205" s="86" t="s">
        <v>80</v>
      </c>
      <c r="C205" s="86">
        <v>1.0</v>
      </c>
      <c r="D205" s="86">
        <v>11.0</v>
      </c>
      <c r="E205" s="86"/>
      <c r="F205" s="86"/>
      <c r="G205" s="86">
        <v>1600.0</v>
      </c>
      <c r="H205" s="86">
        <v>2500.0</v>
      </c>
      <c r="I205" s="185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 ht="15.75" customHeight="1">
      <c r="A206" s="184">
        <v>46077.53024328704</v>
      </c>
      <c r="B206" s="86" t="s">
        <v>933</v>
      </c>
      <c r="C206" s="86">
        <v>1.0</v>
      </c>
      <c r="D206" s="86">
        <v>4.0</v>
      </c>
      <c r="E206" s="86"/>
      <c r="F206" s="86"/>
      <c r="G206" s="86">
        <v>2000.0</v>
      </c>
      <c r="H206" s="86">
        <v>4000.0</v>
      </c>
      <c r="I206" s="185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 ht="15.75" customHeight="1">
      <c r="A207" s="184">
        <v>46077.53024328704</v>
      </c>
      <c r="B207" s="86" t="s">
        <v>642</v>
      </c>
      <c r="C207" s="86">
        <v>1.0</v>
      </c>
      <c r="D207" s="86">
        <v>1.0</v>
      </c>
      <c r="E207" s="86"/>
      <c r="F207" s="86"/>
      <c r="G207" s="86">
        <v>2100.0</v>
      </c>
      <c r="H207" s="86">
        <v>4000.0</v>
      </c>
      <c r="I207" s="185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 ht="15.75" customHeight="1">
      <c r="A208" s="184">
        <v>46077.53024328704</v>
      </c>
      <c r="B208" s="86" t="s">
        <v>1363</v>
      </c>
      <c r="C208" s="86">
        <v>1.0</v>
      </c>
      <c r="D208" s="86">
        <v>38.0</v>
      </c>
      <c r="E208" s="86"/>
      <c r="F208" s="86"/>
      <c r="G208" s="86">
        <v>2500.0</v>
      </c>
      <c r="H208" s="86">
        <v>3400.0</v>
      </c>
      <c r="I208" s="185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 ht="15.75" customHeight="1">
      <c r="A209" s="184">
        <v>46077.58353332176</v>
      </c>
      <c r="B209" s="86" t="s">
        <v>215</v>
      </c>
      <c r="C209" s="86">
        <v>1.0</v>
      </c>
      <c r="D209" s="86">
        <v>12.0</v>
      </c>
      <c r="E209" s="86"/>
      <c r="F209" s="86" t="s">
        <v>217</v>
      </c>
      <c r="G209" s="86">
        <v>850.0</v>
      </c>
      <c r="H209" s="86">
        <v>1300.0</v>
      </c>
      <c r="I209" s="185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 ht="15.75" customHeight="1">
      <c r="A210" s="184">
        <v>46077.58605138889</v>
      </c>
      <c r="B210" s="86" t="s">
        <v>631</v>
      </c>
      <c r="C210" s="86">
        <v>1.0</v>
      </c>
      <c r="D210" s="86">
        <v>24.0</v>
      </c>
      <c r="E210" s="86"/>
      <c r="F210" s="86" t="s">
        <v>217</v>
      </c>
      <c r="G210" s="86">
        <v>1290.0</v>
      </c>
      <c r="H210" s="86">
        <v>2500.0</v>
      </c>
      <c r="I210" s="185">
        <v>46156.0</v>
      </c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 ht="15.75" customHeight="1">
      <c r="A211" s="184">
        <v>46077.63473850695</v>
      </c>
      <c r="B211" s="86" t="s">
        <v>1048</v>
      </c>
      <c r="C211" s="86">
        <v>1.0</v>
      </c>
      <c r="D211" s="86">
        <v>2.0</v>
      </c>
      <c r="E211" s="86"/>
      <c r="F211" s="86"/>
      <c r="G211" s="86">
        <v>1600.0</v>
      </c>
      <c r="H211" s="86">
        <v>2500.0</v>
      </c>
      <c r="I211" s="185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 ht="15.75" customHeight="1">
      <c r="A212" s="184">
        <v>46077.63473850695</v>
      </c>
      <c r="B212" s="86" t="s">
        <v>637</v>
      </c>
      <c r="C212" s="86">
        <v>1.0</v>
      </c>
      <c r="D212" s="86">
        <v>6.0</v>
      </c>
      <c r="E212" s="86"/>
      <c r="F212" s="86"/>
      <c r="G212" s="86">
        <v>6500.0</v>
      </c>
      <c r="H212" s="86">
        <v>9000.0</v>
      </c>
      <c r="I212" s="185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 ht="15.75" customHeight="1">
      <c r="A213" s="184">
        <v>46077.6674559838</v>
      </c>
      <c r="B213" s="86" t="s">
        <v>518</v>
      </c>
      <c r="C213" s="86">
        <v>1.0</v>
      </c>
      <c r="D213" s="86">
        <v>3.0</v>
      </c>
      <c r="E213" s="86"/>
      <c r="F213" s="86"/>
      <c r="G213" s="86">
        <v>1250.0</v>
      </c>
      <c r="H213" s="86">
        <v>2200.0</v>
      </c>
      <c r="I213" s="185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 ht="15.75" customHeight="1">
      <c r="A214" s="184">
        <v>46077.67114834491</v>
      </c>
      <c r="B214" s="86" t="s">
        <v>520</v>
      </c>
      <c r="C214" s="86">
        <v>1.0</v>
      </c>
      <c r="D214" s="86">
        <v>0.0</v>
      </c>
      <c r="E214" s="86"/>
      <c r="F214" s="86"/>
      <c r="G214" s="86">
        <v>1250.0</v>
      </c>
      <c r="H214" s="86">
        <v>2200.0</v>
      </c>
      <c r="I214" s="185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 ht="15.75" customHeight="1">
      <c r="A215" s="184">
        <v>46077.74701629629</v>
      </c>
      <c r="B215" s="86" t="s">
        <v>360</v>
      </c>
      <c r="C215" s="86">
        <v>1.0</v>
      </c>
      <c r="D215" s="86">
        <v>4.0</v>
      </c>
      <c r="E215" s="86"/>
      <c r="F215" s="86"/>
      <c r="G215" s="86">
        <v>1250.0</v>
      </c>
      <c r="H215" s="86">
        <v>2200.0</v>
      </c>
      <c r="I215" s="185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 ht="15.75" customHeight="1">
      <c r="A216" s="184">
        <v>46077.74701629629</v>
      </c>
      <c r="B216" s="86" t="s">
        <v>1279</v>
      </c>
      <c r="C216" s="86">
        <v>1.0</v>
      </c>
      <c r="D216" s="86">
        <v>15.0</v>
      </c>
      <c r="E216" s="86"/>
      <c r="F216" s="86"/>
      <c r="G216" s="86">
        <v>1700.0</v>
      </c>
      <c r="H216" s="86">
        <v>3500.0</v>
      </c>
      <c r="I216" s="185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 ht="15.75" customHeight="1">
      <c r="A217" s="184">
        <v>46077.74737958334</v>
      </c>
      <c r="B217" s="86" t="s">
        <v>356</v>
      </c>
      <c r="C217" s="86">
        <v>1.0</v>
      </c>
      <c r="D217" s="86">
        <v>1.0</v>
      </c>
      <c r="E217" s="86"/>
      <c r="F217" s="86"/>
      <c r="G217" s="86">
        <v>1900.0</v>
      </c>
      <c r="H217" s="86">
        <v>3500.0</v>
      </c>
      <c r="I217" s="185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 ht="15.75" customHeight="1">
      <c r="A218" s="184">
        <v>46077.74763148148</v>
      </c>
      <c r="B218" s="86" t="s">
        <v>360</v>
      </c>
      <c r="C218" s="86">
        <v>1.0</v>
      </c>
      <c r="D218" s="86">
        <v>0.0</v>
      </c>
      <c r="E218" s="86"/>
      <c r="F218" s="86"/>
      <c r="G218" s="86">
        <v>1000.0</v>
      </c>
      <c r="H218" s="86">
        <v>2000.0</v>
      </c>
      <c r="I218" s="185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 ht="15.75" customHeight="1">
      <c r="A219" s="184">
        <v>46077.74867731481</v>
      </c>
      <c r="B219" s="86" t="s">
        <v>230</v>
      </c>
      <c r="C219" s="86">
        <v>1.0</v>
      </c>
      <c r="D219" s="86">
        <v>9.0</v>
      </c>
      <c r="E219" s="86"/>
      <c r="F219" s="86"/>
      <c r="G219" s="86">
        <v>999.0</v>
      </c>
      <c r="H219" s="86">
        <v>1800.0</v>
      </c>
      <c r="I219" s="185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 ht="15.75" customHeight="1">
      <c r="A220" s="184">
        <v>46077.74867731481</v>
      </c>
      <c r="B220" s="86" t="s">
        <v>2018</v>
      </c>
      <c r="C220" s="86">
        <v>1.0</v>
      </c>
      <c r="D220" s="86">
        <v>20.0</v>
      </c>
      <c r="E220" s="86"/>
      <c r="F220" s="86"/>
      <c r="G220" s="86">
        <v>1200.0</v>
      </c>
      <c r="H220" s="86">
        <v>2000.0</v>
      </c>
      <c r="I220" s="185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 ht="15.75" customHeight="1">
      <c r="A221" s="184">
        <v>46077.75588721065</v>
      </c>
      <c r="B221" s="86" t="s">
        <v>979</v>
      </c>
      <c r="C221" s="86">
        <v>1.0</v>
      </c>
      <c r="D221" s="86">
        <v>2.0</v>
      </c>
      <c r="E221" s="86"/>
      <c r="F221" s="86"/>
      <c r="G221" s="86">
        <v>4000.0</v>
      </c>
      <c r="H221" s="86">
        <v>6000.0</v>
      </c>
      <c r="I221" s="185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</row>
    <row r="222" ht="15.75" customHeight="1">
      <c r="A222" s="184">
        <v>46077.7678790162</v>
      </c>
      <c r="B222" s="86" t="s">
        <v>1279</v>
      </c>
      <c r="C222" s="86">
        <v>1.0</v>
      </c>
      <c r="D222" s="86">
        <v>13.0</v>
      </c>
      <c r="E222" s="86"/>
      <c r="F222" s="86"/>
      <c r="G222" s="86">
        <v>1900.0</v>
      </c>
      <c r="H222" s="86">
        <v>3500.0</v>
      </c>
      <c r="I222" s="185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</row>
    <row r="223" ht="15.75" customHeight="1">
      <c r="A223" s="184">
        <v>46077.7678790162</v>
      </c>
      <c r="B223" s="86" t="s">
        <v>417</v>
      </c>
      <c r="C223" s="86">
        <v>1.0</v>
      </c>
      <c r="D223" s="86">
        <v>7.0</v>
      </c>
      <c r="E223" s="86"/>
      <c r="F223" s="86"/>
      <c r="G223" s="86">
        <v>900.0</v>
      </c>
      <c r="H223" s="86">
        <v>2000.0</v>
      </c>
      <c r="I223" s="185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</row>
    <row r="224" ht="15.75" customHeight="1">
      <c r="A224" s="184">
        <v>46077.79011435185</v>
      </c>
      <c r="B224" s="86" t="s">
        <v>1273</v>
      </c>
      <c r="C224" s="86">
        <v>1.0</v>
      </c>
      <c r="D224" s="86">
        <v>0.0</v>
      </c>
      <c r="E224" s="86"/>
      <c r="F224" s="86"/>
      <c r="G224" s="86">
        <v>1300.0</v>
      </c>
      <c r="H224" s="86">
        <v>2500.0</v>
      </c>
      <c r="I224" s="185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</row>
    <row r="225" ht="15.75" customHeight="1">
      <c r="A225" s="184">
        <v>46077.82639763889</v>
      </c>
      <c r="B225" s="86" t="s">
        <v>1401</v>
      </c>
      <c r="C225" s="86">
        <v>1.0</v>
      </c>
      <c r="D225" s="86">
        <v>1.0</v>
      </c>
      <c r="E225" s="86"/>
      <c r="F225" s="86"/>
      <c r="G225" s="86">
        <v>1250.0</v>
      </c>
      <c r="H225" s="86">
        <v>2000.0</v>
      </c>
      <c r="I225" s="185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</row>
    <row r="226" ht="15.75" customHeight="1">
      <c r="A226" s="184">
        <v>46077.88980822916</v>
      </c>
      <c r="B226" s="86" t="s">
        <v>353</v>
      </c>
      <c r="C226" s="86">
        <v>1.0</v>
      </c>
      <c r="D226" s="86">
        <v>48.0</v>
      </c>
      <c r="E226" s="86"/>
      <c r="F226" s="86"/>
      <c r="G226" s="86">
        <v>1400.0</v>
      </c>
      <c r="H226" s="86">
        <v>3500.0</v>
      </c>
      <c r="I226" s="185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</row>
    <row r="227" ht="15.75" customHeight="1">
      <c r="A227" s="184">
        <v>46077.89052393519</v>
      </c>
      <c r="B227" s="86" t="s">
        <v>823</v>
      </c>
      <c r="C227" s="86">
        <v>1.0</v>
      </c>
      <c r="D227" s="86">
        <v>1.0</v>
      </c>
      <c r="E227" s="86"/>
      <c r="F227" s="86"/>
      <c r="G227" s="86">
        <v>3000.0</v>
      </c>
      <c r="H227" s="86">
        <v>4500.0</v>
      </c>
      <c r="I227" s="185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</row>
    <row r="228" ht="15.75" customHeight="1">
      <c r="A228" s="184">
        <v>46077.89069798611</v>
      </c>
      <c r="B228" s="86" t="s">
        <v>971</v>
      </c>
      <c r="C228" s="86">
        <v>1.0</v>
      </c>
      <c r="D228" s="86">
        <v>0.0</v>
      </c>
      <c r="E228" s="86"/>
      <c r="F228" s="86"/>
      <c r="G228" s="86">
        <v>3000.0</v>
      </c>
      <c r="H228" s="86">
        <v>5500.0</v>
      </c>
      <c r="I228" s="185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</row>
    <row r="229" ht="15.75" customHeight="1">
      <c r="A229" s="184">
        <v>46078.01556462963</v>
      </c>
      <c r="B229" s="86" t="s">
        <v>396</v>
      </c>
      <c r="C229" s="86">
        <v>1.0</v>
      </c>
      <c r="D229" s="86">
        <v>2.0</v>
      </c>
      <c r="E229" s="86"/>
      <c r="F229" s="86"/>
      <c r="G229" s="86">
        <v>3000.0</v>
      </c>
      <c r="H229" s="86">
        <v>5500.0</v>
      </c>
      <c r="I229" s="185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</row>
    <row r="230" ht="15.75" customHeight="1">
      <c r="A230" s="184">
        <v>46078.06905701389</v>
      </c>
      <c r="B230" s="86" t="s">
        <v>1267</v>
      </c>
      <c r="C230" s="86">
        <v>1.0</v>
      </c>
      <c r="D230" s="86">
        <v>16.0</v>
      </c>
      <c r="E230" s="86"/>
      <c r="F230" s="86"/>
      <c r="G230" s="86">
        <v>300.0</v>
      </c>
      <c r="H230" s="86">
        <v>500.0</v>
      </c>
      <c r="I230" s="185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</row>
    <row r="231" ht="15.75" customHeight="1">
      <c r="A231" s="184">
        <v>46078.11350798611</v>
      </c>
      <c r="B231" s="86" t="s">
        <v>975</v>
      </c>
      <c r="C231" s="86">
        <v>1.0</v>
      </c>
      <c r="D231" s="86">
        <v>0.0</v>
      </c>
      <c r="E231" s="86"/>
      <c r="F231" s="86"/>
      <c r="G231" s="86">
        <v>1900.0</v>
      </c>
      <c r="H231" s="86">
        <v>3500.0</v>
      </c>
      <c r="I231" s="185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</row>
    <row r="232" ht="15.75" customHeight="1">
      <c r="A232" s="184">
        <v>46078.11435353009</v>
      </c>
      <c r="B232" s="86" t="s">
        <v>979</v>
      </c>
      <c r="C232" s="86">
        <v>1.0</v>
      </c>
      <c r="D232" s="86">
        <v>3.0</v>
      </c>
      <c r="E232" s="86"/>
      <c r="F232" s="86" t="s">
        <v>74</v>
      </c>
      <c r="G232" s="86">
        <v>1900.0</v>
      </c>
      <c r="H232" s="86">
        <v>3500.0</v>
      </c>
      <c r="I232" s="185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</row>
    <row r="233" ht="15.75" customHeight="1">
      <c r="A233" s="184">
        <v>46078.11481936343</v>
      </c>
      <c r="B233" s="86" t="s">
        <v>979</v>
      </c>
      <c r="C233" s="86">
        <v>1.0</v>
      </c>
      <c r="D233" s="86">
        <v>2.0</v>
      </c>
      <c r="E233" s="86"/>
      <c r="F233" s="86"/>
      <c r="G233" s="86">
        <v>1900.0</v>
      </c>
      <c r="H233" s="86">
        <v>3500.0</v>
      </c>
      <c r="I233" s="185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</row>
    <row r="234" ht="15.75" customHeight="1">
      <c r="A234" s="184">
        <v>46078.11515009259</v>
      </c>
      <c r="B234" s="86" t="s">
        <v>1277</v>
      </c>
      <c r="C234" s="86">
        <v>1.0</v>
      </c>
      <c r="D234" s="86">
        <v>12.0</v>
      </c>
      <c r="E234" s="86"/>
      <c r="F234" s="86" t="s">
        <v>114</v>
      </c>
      <c r="G234" s="86">
        <v>1900.0</v>
      </c>
      <c r="H234" s="86">
        <v>3500.0</v>
      </c>
      <c r="I234" s="185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</row>
    <row r="235" ht="15.75" customHeight="1">
      <c r="A235" s="184">
        <v>46078.11608788194</v>
      </c>
      <c r="B235" s="86" t="s">
        <v>351</v>
      </c>
      <c r="C235" s="86">
        <v>1.0</v>
      </c>
      <c r="D235" s="86">
        <v>0.0</v>
      </c>
      <c r="E235" s="86"/>
      <c r="F235" s="86"/>
      <c r="G235" s="86">
        <v>1900.0</v>
      </c>
      <c r="H235" s="86">
        <v>3500.0</v>
      </c>
      <c r="I235" s="185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</row>
    <row r="236" ht="15.75" customHeight="1">
      <c r="A236" s="184">
        <v>46078.11657192129</v>
      </c>
      <c r="B236" s="86" t="s">
        <v>973</v>
      </c>
      <c r="C236" s="86">
        <v>1.0</v>
      </c>
      <c r="D236" s="86">
        <v>0.0</v>
      </c>
      <c r="E236" s="86"/>
      <c r="F236" s="86"/>
      <c r="G236" s="86">
        <v>1900.0</v>
      </c>
      <c r="H236" s="86">
        <v>3500.0</v>
      </c>
      <c r="I236" s="185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</row>
    <row r="237" ht="15.75" customHeight="1">
      <c r="A237" s="184">
        <v>46078.11680730324</v>
      </c>
      <c r="B237" s="86" t="s">
        <v>977</v>
      </c>
      <c r="C237" s="86">
        <v>1.0</v>
      </c>
      <c r="D237" s="86">
        <v>0.0</v>
      </c>
      <c r="E237" s="86"/>
      <c r="F237" s="86"/>
      <c r="G237" s="86">
        <v>1900.0</v>
      </c>
      <c r="H237" s="86">
        <v>3500.0</v>
      </c>
      <c r="I237" s="185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</row>
    <row r="238" ht="15.75" customHeight="1">
      <c r="A238" s="184">
        <v>46078.11725744213</v>
      </c>
      <c r="B238" s="86" t="s">
        <v>358</v>
      </c>
      <c r="C238" s="86">
        <v>1.0</v>
      </c>
      <c r="D238" s="86">
        <v>0.0</v>
      </c>
      <c r="E238" s="86"/>
      <c r="F238" s="86"/>
      <c r="G238" s="86">
        <v>1900.0</v>
      </c>
      <c r="H238" s="86">
        <v>3500.0</v>
      </c>
      <c r="I238" s="185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</row>
    <row r="239" ht="15.75" customHeight="1">
      <c r="A239" s="184">
        <v>46078.14128697917</v>
      </c>
      <c r="B239" s="86" t="s">
        <v>1314</v>
      </c>
      <c r="C239" s="86">
        <v>1.0</v>
      </c>
      <c r="D239" s="86">
        <v>2.0</v>
      </c>
      <c r="E239" s="86"/>
      <c r="F239" s="86"/>
      <c r="G239" s="86">
        <v>1900.0</v>
      </c>
      <c r="H239" s="86">
        <v>3500.0</v>
      </c>
      <c r="I239" s="185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</row>
    <row r="240" ht="15.75" customHeight="1">
      <c r="A240" s="184">
        <v>46078.54185951389</v>
      </c>
      <c r="B240" s="86" t="s">
        <v>967</v>
      </c>
      <c r="C240" s="86">
        <v>1.0</v>
      </c>
      <c r="D240" s="86">
        <v>3.0</v>
      </c>
      <c r="E240" s="86"/>
      <c r="F240" s="86"/>
      <c r="G240" s="86">
        <v>2700.0</v>
      </c>
      <c r="H240" s="86">
        <v>4000.0</v>
      </c>
      <c r="I240" s="185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</row>
    <row r="241" ht="15.75" customHeight="1">
      <c r="A241" s="184">
        <v>46078.54185951389</v>
      </c>
      <c r="B241" s="86" t="s">
        <v>462</v>
      </c>
      <c r="C241" s="86">
        <v>1.0</v>
      </c>
      <c r="D241" s="86">
        <v>1.0</v>
      </c>
      <c r="E241" s="86"/>
      <c r="F241" s="86"/>
      <c r="G241" s="86">
        <v>1600.0</v>
      </c>
      <c r="H241" s="86">
        <v>2300.0</v>
      </c>
      <c r="I241" s="185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</row>
    <row r="242" ht="15.75" customHeight="1">
      <c r="A242" s="184">
        <v>46078.54185951389</v>
      </c>
      <c r="B242" s="86" t="s">
        <v>2020</v>
      </c>
      <c r="C242" s="86">
        <v>1.0</v>
      </c>
      <c r="D242" s="86">
        <v>6.0</v>
      </c>
      <c r="E242" s="86"/>
      <c r="F242" s="86"/>
      <c r="G242" s="86">
        <v>10000.0</v>
      </c>
      <c r="H242" s="86">
        <v>14000.0</v>
      </c>
      <c r="I242" s="185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</row>
    <row r="243" ht="15.75" customHeight="1">
      <c r="A243" s="184">
        <v>46078.54830185185</v>
      </c>
      <c r="B243" s="86" t="s">
        <v>1347</v>
      </c>
      <c r="C243" s="86">
        <v>1.0</v>
      </c>
      <c r="D243" s="86">
        <v>6.0</v>
      </c>
      <c r="E243" s="86"/>
      <c r="F243" s="86"/>
      <c r="G243" s="86">
        <v>4000.0</v>
      </c>
      <c r="H243" s="86">
        <v>6700.0</v>
      </c>
      <c r="I243" s="185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</row>
    <row r="244" ht="15.75" customHeight="1">
      <c r="A244" s="184">
        <v>46078.54830185185</v>
      </c>
      <c r="B244" s="86" t="s">
        <v>1174</v>
      </c>
      <c r="C244" s="86">
        <v>1.0</v>
      </c>
      <c r="D244" s="86">
        <v>5.0</v>
      </c>
      <c r="E244" s="86"/>
      <c r="F244" s="86"/>
      <c r="G244" s="86">
        <v>2000.0</v>
      </c>
      <c r="H244" s="86">
        <v>3500.0</v>
      </c>
      <c r="I244" s="185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</row>
    <row r="245" ht="15.75" customHeight="1">
      <c r="A245" s="184">
        <v>46078.56800540509</v>
      </c>
      <c r="B245" s="86" t="s">
        <v>574</v>
      </c>
      <c r="C245" s="86">
        <v>1.0</v>
      </c>
      <c r="D245" s="86">
        <v>28.0</v>
      </c>
      <c r="E245" s="86"/>
      <c r="F245" s="86"/>
      <c r="G245" s="86">
        <v>2000.0</v>
      </c>
      <c r="H245" s="86">
        <v>3000.0</v>
      </c>
      <c r="I245" s="185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</row>
    <row r="246" ht="15.75" customHeight="1">
      <c r="A246" s="184">
        <v>46078.56800540509</v>
      </c>
      <c r="B246" s="86" t="s">
        <v>170</v>
      </c>
      <c r="C246" s="86">
        <v>1.0</v>
      </c>
      <c r="D246" s="86">
        <v>3.0</v>
      </c>
      <c r="E246" s="86"/>
      <c r="F246" s="86"/>
      <c r="G246" s="86">
        <v>450.0</v>
      </c>
      <c r="H246" s="86">
        <v>600.0</v>
      </c>
      <c r="I246" s="185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</row>
    <row r="247" ht="15.75" customHeight="1">
      <c r="A247" s="184">
        <v>46078.56800540509</v>
      </c>
      <c r="B247" s="86" t="s">
        <v>961</v>
      </c>
      <c r="C247" s="86">
        <v>1.0</v>
      </c>
      <c r="D247" s="86">
        <v>2.0</v>
      </c>
      <c r="E247" s="86"/>
      <c r="F247" s="86"/>
      <c r="G247" s="86">
        <v>450.0</v>
      </c>
      <c r="H247" s="86">
        <v>600.0</v>
      </c>
      <c r="I247" s="185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</row>
    <row r="248" ht="15.75" customHeight="1">
      <c r="A248" s="184">
        <v>46078.58400283565</v>
      </c>
      <c r="B248" s="86" t="s">
        <v>1401</v>
      </c>
      <c r="C248" s="86">
        <v>1.0</v>
      </c>
      <c r="D248" s="86">
        <v>2.0</v>
      </c>
      <c r="E248" s="86"/>
      <c r="F248" s="86"/>
      <c r="G248" s="86">
        <v>1250.0</v>
      </c>
      <c r="H248" s="86">
        <v>2000.0</v>
      </c>
      <c r="I248" s="185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</row>
    <row r="249" ht="15.75" customHeight="1">
      <c r="A249" s="184">
        <v>46078.58774868055</v>
      </c>
      <c r="B249" s="86" t="s">
        <v>493</v>
      </c>
      <c r="C249" s="86">
        <v>1.0</v>
      </c>
      <c r="D249" s="86">
        <v>9.0</v>
      </c>
      <c r="E249" s="86"/>
      <c r="F249" s="86"/>
      <c r="G249" s="86">
        <v>1800.0</v>
      </c>
      <c r="H249" s="86">
        <v>2500.0</v>
      </c>
      <c r="I249" s="185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</row>
    <row r="250" ht="15.75" customHeight="1">
      <c r="A250" s="184">
        <v>46078.58774868055</v>
      </c>
      <c r="B250" s="86" t="s">
        <v>433</v>
      </c>
      <c r="C250" s="86">
        <v>1.0</v>
      </c>
      <c r="D250" s="86">
        <v>4.0</v>
      </c>
      <c r="E250" s="86"/>
      <c r="F250" s="86"/>
      <c r="G250" s="86">
        <v>1400.0</v>
      </c>
      <c r="H250" s="86">
        <v>2500.0</v>
      </c>
      <c r="I250" s="185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</row>
    <row r="251" ht="15.75" customHeight="1">
      <c r="A251" s="184">
        <v>46078.58774868055</v>
      </c>
      <c r="B251" s="86" t="s">
        <v>455</v>
      </c>
      <c r="C251" s="86">
        <v>1.0</v>
      </c>
      <c r="D251" s="86">
        <v>2.0</v>
      </c>
      <c r="E251" s="86"/>
      <c r="F251" s="86"/>
      <c r="G251" s="86">
        <v>1700.0</v>
      </c>
      <c r="H251" s="86">
        <v>2400.0</v>
      </c>
      <c r="I251" s="185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</row>
    <row r="252" ht="15.75" customHeight="1">
      <c r="A252" s="184">
        <v>46078.58878172454</v>
      </c>
      <c r="B252" s="86" t="s">
        <v>78</v>
      </c>
      <c r="C252" s="86">
        <v>1.0</v>
      </c>
      <c r="D252" s="86">
        <v>0.0</v>
      </c>
      <c r="E252" s="86"/>
      <c r="F252" s="86"/>
      <c r="G252" s="86">
        <v>1400.0</v>
      </c>
      <c r="H252" s="86">
        <v>2500.0</v>
      </c>
      <c r="I252" s="185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</row>
    <row r="253" ht="15.75" customHeight="1">
      <c r="A253" s="184">
        <v>46078.58929461805</v>
      </c>
      <c r="B253" s="86" t="s">
        <v>881</v>
      </c>
      <c r="C253" s="86">
        <v>1.0</v>
      </c>
      <c r="D253" s="86">
        <v>1.0</v>
      </c>
      <c r="E253" s="86"/>
      <c r="F253" s="86"/>
      <c r="G253" s="86">
        <v>1200.0</v>
      </c>
      <c r="H253" s="86">
        <v>2000.0</v>
      </c>
      <c r="I253" s="185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</row>
    <row r="254" ht="15.75" customHeight="1">
      <c r="A254" s="184">
        <v>46078.59005979167</v>
      </c>
      <c r="B254" s="86" t="s">
        <v>455</v>
      </c>
      <c r="C254" s="86">
        <v>1.0</v>
      </c>
      <c r="D254" s="86">
        <v>0.0</v>
      </c>
      <c r="E254" s="86"/>
      <c r="F254" s="86"/>
      <c r="G254" s="86">
        <v>1700.0</v>
      </c>
      <c r="H254" s="86">
        <v>2400.0</v>
      </c>
      <c r="I254" s="185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</row>
    <row r="255" ht="15.75" customHeight="1">
      <c r="A255" s="184">
        <v>46078.67948516204</v>
      </c>
      <c r="B255" s="86" t="s">
        <v>433</v>
      </c>
      <c r="C255" s="86">
        <v>1.0</v>
      </c>
      <c r="D255" s="86">
        <v>5.0</v>
      </c>
      <c r="E255" s="86"/>
      <c r="F255" s="86" t="s">
        <v>114</v>
      </c>
      <c r="G255" s="86">
        <v>1350.0</v>
      </c>
      <c r="H255" s="86">
        <v>2500.0</v>
      </c>
      <c r="I255" s="185">
        <v>46293.0</v>
      </c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</row>
    <row r="256" ht="15.75" customHeight="1">
      <c r="A256" s="184">
        <v>46078.68015517361</v>
      </c>
      <c r="B256" s="86" t="s">
        <v>1048</v>
      </c>
      <c r="C256" s="86">
        <v>1.0</v>
      </c>
      <c r="D256" s="86">
        <v>4.0</v>
      </c>
      <c r="E256" s="86"/>
      <c r="F256" s="86" t="s">
        <v>114</v>
      </c>
      <c r="G256" s="86">
        <v>1290.0</v>
      </c>
      <c r="H256" s="86">
        <v>2500.0</v>
      </c>
      <c r="I256" s="185">
        <v>46135.0</v>
      </c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</row>
    <row r="257" ht="15.75" customHeight="1">
      <c r="A257" s="184">
        <v>46078.68295164352</v>
      </c>
      <c r="B257" s="86" t="s">
        <v>550</v>
      </c>
      <c r="C257" s="86">
        <v>1.0</v>
      </c>
      <c r="D257" s="86">
        <v>8.0</v>
      </c>
      <c r="E257" s="86"/>
      <c r="F257" s="86"/>
      <c r="G257" s="86">
        <v>800.0</v>
      </c>
      <c r="H257" s="86">
        <v>1500.0</v>
      </c>
      <c r="I257" s="185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</row>
    <row r="258" ht="15.75" customHeight="1">
      <c r="A258" s="184">
        <v>46078.68295164352</v>
      </c>
      <c r="B258" s="86" t="s">
        <v>1164</v>
      </c>
      <c r="C258" s="86">
        <v>1.0</v>
      </c>
      <c r="D258" s="86">
        <v>5.0</v>
      </c>
      <c r="E258" s="86"/>
      <c r="F258" s="86"/>
      <c r="G258" s="86">
        <v>1600.0</v>
      </c>
      <c r="H258" s="86">
        <v>3500.0</v>
      </c>
      <c r="I258" s="185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</row>
    <row r="259" ht="15.75" customHeight="1">
      <c r="A259" s="184">
        <v>46078.68295164352</v>
      </c>
      <c r="B259" s="86" t="s">
        <v>1421</v>
      </c>
      <c r="C259" s="86">
        <v>1.0</v>
      </c>
      <c r="D259" s="86">
        <v>4.0</v>
      </c>
      <c r="E259" s="86"/>
      <c r="F259" s="86"/>
      <c r="G259" s="86">
        <v>2000.0</v>
      </c>
      <c r="H259" s="86">
        <v>3600.0</v>
      </c>
      <c r="I259" s="185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</row>
    <row r="260" ht="15.75" customHeight="1">
      <c r="A260" s="184">
        <v>46078.68295164352</v>
      </c>
      <c r="B260" s="86" t="s">
        <v>1422</v>
      </c>
      <c r="C260" s="86">
        <v>1.0</v>
      </c>
      <c r="D260" s="86">
        <v>5.0</v>
      </c>
      <c r="E260" s="86"/>
      <c r="F260" s="86"/>
      <c r="G260" s="86">
        <v>1600.0</v>
      </c>
      <c r="H260" s="86">
        <v>2340.0</v>
      </c>
      <c r="I260" s="185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</row>
    <row r="261" ht="15.75" customHeight="1">
      <c r="A261" s="184">
        <v>46078.68317334491</v>
      </c>
      <c r="B261" s="86" t="s">
        <v>885</v>
      </c>
      <c r="C261" s="86">
        <v>1.0</v>
      </c>
      <c r="D261" s="86">
        <v>2.0</v>
      </c>
      <c r="E261" s="86"/>
      <c r="F261" s="86" t="s">
        <v>114</v>
      </c>
      <c r="G261" s="86">
        <v>1300.0</v>
      </c>
      <c r="H261" s="86">
        <v>2000.0</v>
      </c>
      <c r="I261" s="185">
        <v>46242.0</v>
      </c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</row>
    <row r="262" ht="15.75" customHeight="1">
      <c r="A262" s="184">
        <v>46078.68373993056</v>
      </c>
      <c r="B262" s="86" t="s">
        <v>72</v>
      </c>
      <c r="C262" s="86">
        <v>1.0</v>
      </c>
      <c r="D262" s="86">
        <v>9.0</v>
      </c>
      <c r="E262" s="86"/>
      <c r="F262" s="86" t="s">
        <v>114</v>
      </c>
      <c r="G262" s="86">
        <v>900.0</v>
      </c>
      <c r="H262" s="86">
        <v>2000.0</v>
      </c>
      <c r="I262" s="185">
        <v>46154.0</v>
      </c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</row>
    <row r="263" ht="15.75" customHeight="1">
      <c r="A263" s="184">
        <v>46078.68524644676</v>
      </c>
      <c r="B263" s="86" t="s">
        <v>193</v>
      </c>
      <c r="C263" s="86">
        <v>1.0</v>
      </c>
      <c r="D263" s="86">
        <v>4.0</v>
      </c>
      <c r="E263" s="86"/>
      <c r="F263" s="86" t="s">
        <v>114</v>
      </c>
      <c r="G263" s="86">
        <v>1100.0</v>
      </c>
      <c r="H263" s="86">
        <v>2200.0</v>
      </c>
      <c r="I263" s="185">
        <v>46272.0</v>
      </c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</row>
    <row r="264" ht="15.75" customHeight="1">
      <c r="A264" s="184">
        <v>46078.69114416667</v>
      </c>
      <c r="B264" s="86" t="s">
        <v>719</v>
      </c>
      <c r="C264" s="86">
        <v>1.0</v>
      </c>
      <c r="D264" s="86">
        <v>9.0</v>
      </c>
      <c r="E264" s="86"/>
      <c r="F264" s="86"/>
      <c r="G264" s="86">
        <v>3700.0</v>
      </c>
      <c r="H264" s="86">
        <v>5500.0</v>
      </c>
      <c r="I264" s="185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</row>
    <row r="265" ht="15.75" customHeight="1">
      <c r="A265" s="184">
        <v>46078.69640071759</v>
      </c>
      <c r="B265" s="86" t="s">
        <v>1277</v>
      </c>
      <c r="C265" s="86">
        <v>1.0</v>
      </c>
      <c r="D265" s="86">
        <v>8.0</v>
      </c>
      <c r="E265" s="86"/>
      <c r="F265" s="86"/>
      <c r="G265" s="86"/>
      <c r="H265" s="86">
        <v>4300.0</v>
      </c>
      <c r="I265" s="185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</row>
    <row r="266" ht="15.75" customHeight="1">
      <c r="A266" s="184">
        <v>46078.7188841088</v>
      </c>
      <c r="B266" s="86" t="s">
        <v>427</v>
      </c>
      <c r="C266" s="86">
        <v>1.0</v>
      </c>
      <c r="D266" s="86">
        <v>4.0</v>
      </c>
      <c r="E266" s="86"/>
      <c r="F266" s="86"/>
      <c r="G266" s="86">
        <v>1200.0</v>
      </c>
      <c r="H266" s="86">
        <v>2000.0</v>
      </c>
      <c r="I266" s="185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</row>
    <row r="267" ht="15.75" customHeight="1">
      <c r="A267" s="184">
        <v>46078.7188841088</v>
      </c>
      <c r="B267" s="86" t="s">
        <v>435</v>
      </c>
      <c r="C267" s="86">
        <v>1.0</v>
      </c>
      <c r="D267" s="86">
        <v>4.0</v>
      </c>
      <c r="E267" s="86"/>
      <c r="F267" s="86"/>
      <c r="G267" s="86">
        <v>1200.0</v>
      </c>
      <c r="H267" s="86">
        <v>2200.0</v>
      </c>
      <c r="I267" s="185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</row>
    <row r="268" ht="15.75" customHeight="1">
      <c r="A268" s="184">
        <v>46078.73854298611</v>
      </c>
      <c r="B268" s="86" t="s">
        <v>86</v>
      </c>
      <c r="C268" s="86">
        <v>1.0</v>
      </c>
      <c r="D268" s="86">
        <v>4.0</v>
      </c>
      <c r="E268" s="86"/>
      <c r="F268" s="86"/>
      <c r="G268" s="86">
        <v>3000.0</v>
      </c>
      <c r="H268" s="86">
        <v>5000.0</v>
      </c>
      <c r="I268" s="185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</row>
    <row r="269" ht="15.75" customHeight="1">
      <c r="A269" s="184">
        <v>46078.73854298611</v>
      </c>
      <c r="B269" s="86" t="s">
        <v>631</v>
      </c>
      <c r="C269" s="86">
        <v>1.0</v>
      </c>
      <c r="D269" s="86">
        <v>22.0</v>
      </c>
      <c r="E269" s="86"/>
      <c r="F269" s="86"/>
      <c r="G269" s="86">
        <v>1500.0</v>
      </c>
      <c r="H269" s="86">
        <v>2500.0</v>
      </c>
      <c r="I269" s="185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</row>
    <row r="270" ht="15.75" customHeight="1">
      <c r="A270" s="184">
        <v>46078.74099415509</v>
      </c>
      <c r="B270" s="86" t="s">
        <v>757</v>
      </c>
      <c r="C270" s="86">
        <v>1.0</v>
      </c>
      <c r="D270" s="86">
        <v>2.0</v>
      </c>
      <c r="E270" s="86"/>
      <c r="F270" s="86" t="s">
        <v>759</v>
      </c>
      <c r="G270" s="86">
        <v>4000.0</v>
      </c>
      <c r="H270" s="86">
        <v>7500.0</v>
      </c>
      <c r="I270" s="185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</row>
    <row r="271" ht="15.75" customHeight="1">
      <c r="A271" s="184">
        <v>46078.76964921296</v>
      </c>
      <c r="B271" s="86" t="s">
        <v>34</v>
      </c>
      <c r="C271" s="86">
        <v>1.0</v>
      </c>
      <c r="D271" s="86">
        <v>16.0</v>
      </c>
      <c r="E271" s="86"/>
      <c r="F271" s="86"/>
      <c r="G271" s="86">
        <v>1700.0</v>
      </c>
      <c r="H271" s="86">
        <v>2500.0</v>
      </c>
      <c r="I271" s="185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</row>
    <row r="272" ht="15.75" customHeight="1">
      <c r="A272" s="184">
        <v>46078.77444753472</v>
      </c>
      <c r="B272" s="86" t="s">
        <v>388</v>
      </c>
      <c r="C272" s="86">
        <v>1.0</v>
      </c>
      <c r="D272" s="86">
        <v>1.0</v>
      </c>
      <c r="E272" s="86"/>
      <c r="F272" s="86"/>
      <c r="G272" s="86">
        <v>5000.0</v>
      </c>
      <c r="H272" s="86">
        <v>7000.0</v>
      </c>
      <c r="I272" s="185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</row>
    <row r="273" ht="15.75" customHeight="1">
      <c r="A273" s="184">
        <v>46078.7884741088</v>
      </c>
      <c r="B273" s="86" t="s">
        <v>1339</v>
      </c>
      <c r="C273" s="86">
        <v>1.0</v>
      </c>
      <c r="D273" s="86">
        <v>1.0</v>
      </c>
      <c r="E273" s="86"/>
      <c r="F273" s="86"/>
      <c r="G273" s="86">
        <v>450.0</v>
      </c>
      <c r="H273" s="86">
        <v>600.0</v>
      </c>
      <c r="I273" s="185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</row>
    <row r="274" ht="15.75" customHeight="1">
      <c r="A274" s="184">
        <v>46078.81244496528</v>
      </c>
      <c r="B274" s="86" t="s">
        <v>429</v>
      </c>
      <c r="C274" s="86">
        <v>1.0</v>
      </c>
      <c r="D274" s="86">
        <v>2.0</v>
      </c>
      <c r="E274" s="86"/>
      <c r="F274" s="86"/>
      <c r="G274" s="86">
        <v>1200.0</v>
      </c>
      <c r="H274" s="86">
        <v>2000.0</v>
      </c>
      <c r="I274" s="185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</row>
    <row r="275" ht="15.75" customHeight="1">
      <c r="A275" s="184">
        <v>46078.81244496528</v>
      </c>
      <c r="B275" s="86" t="s">
        <v>170</v>
      </c>
      <c r="C275" s="86">
        <v>1.0</v>
      </c>
      <c r="D275" s="86">
        <v>2.0</v>
      </c>
      <c r="E275" s="86"/>
      <c r="F275" s="86"/>
      <c r="G275" s="86">
        <v>450.0</v>
      </c>
      <c r="H275" s="86">
        <v>600.0</v>
      </c>
      <c r="I275" s="185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</row>
    <row r="276" ht="15.75" customHeight="1">
      <c r="A276" s="184">
        <v>46078.81244496528</v>
      </c>
      <c r="B276" s="86" t="s">
        <v>1339</v>
      </c>
      <c r="C276" s="86">
        <v>1.0</v>
      </c>
      <c r="D276" s="86">
        <v>0.0</v>
      </c>
      <c r="E276" s="86"/>
      <c r="F276" s="86"/>
      <c r="G276" s="86">
        <v>450.0</v>
      </c>
      <c r="H276" s="86">
        <v>600.0</v>
      </c>
      <c r="I276" s="185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</row>
    <row r="277" ht="15.75" customHeight="1">
      <c r="A277" s="184">
        <v>46078.81244496528</v>
      </c>
      <c r="B277" s="86" t="s">
        <v>1160</v>
      </c>
      <c r="C277" s="86">
        <v>1.0</v>
      </c>
      <c r="D277" s="86">
        <v>8.0</v>
      </c>
      <c r="E277" s="86"/>
      <c r="F277" s="86"/>
      <c r="G277" s="86">
        <v>1600.0</v>
      </c>
      <c r="H277" s="86">
        <v>2500.0</v>
      </c>
      <c r="I277" s="185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</row>
    <row r="278" ht="15.75" customHeight="1">
      <c r="A278" s="184">
        <v>46078.81244496528</v>
      </c>
      <c r="B278" s="86" t="s">
        <v>654</v>
      </c>
      <c r="C278" s="86">
        <v>1.0</v>
      </c>
      <c r="D278" s="86">
        <v>3.0</v>
      </c>
      <c r="E278" s="86"/>
      <c r="F278" s="86"/>
      <c r="G278" s="86">
        <v>3500.0</v>
      </c>
      <c r="H278" s="86">
        <v>5000.0</v>
      </c>
      <c r="I278" s="185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</row>
    <row r="279" ht="15.75" customHeight="1">
      <c r="A279" s="184">
        <v>46078.81244496528</v>
      </c>
      <c r="B279" s="86" t="s">
        <v>709</v>
      </c>
      <c r="C279" s="86">
        <v>1.0</v>
      </c>
      <c r="D279" s="86">
        <v>0.0</v>
      </c>
      <c r="E279" s="86"/>
      <c r="F279" s="86"/>
      <c r="G279" s="86">
        <v>1200.0</v>
      </c>
      <c r="H279" s="86">
        <v>2000.0</v>
      </c>
      <c r="I279" s="185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</row>
    <row r="280" ht="15.75" customHeight="1">
      <c r="A280" s="184">
        <v>46078.81244496528</v>
      </c>
      <c r="B280" s="86" t="s">
        <v>407</v>
      </c>
      <c r="C280" s="86">
        <v>1.0</v>
      </c>
      <c r="D280" s="86">
        <v>0.0</v>
      </c>
      <c r="E280" s="86"/>
      <c r="F280" s="86"/>
      <c r="G280" s="86">
        <v>1200.0</v>
      </c>
      <c r="H280" s="86">
        <v>2000.0</v>
      </c>
      <c r="I280" s="185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</row>
    <row r="281" ht="15.75" customHeight="1">
      <c r="A281" s="184">
        <v>46078.81244496528</v>
      </c>
      <c r="B281" s="86" t="s">
        <v>1434</v>
      </c>
      <c r="C281" s="86">
        <v>1.0</v>
      </c>
      <c r="D281" s="86">
        <v>1.0</v>
      </c>
      <c r="E281" s="86"/>
      <c r="F281" s="86"/>
      <c r="G281" s="86">
        <v>500.0</v>
      </c>
      <c r="H281" s="86">
        <v>700.0</v>
      </c>
      <c r="I281" s="185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</row>
    <row r="282" ht="15.75" customHeight="1">
      <c r="A282" s="184">
        <v>46078.81270475694</v>
      </c>
      <c r="B282" s="86" t="s">
        <v>220</v>
      </c>
      <c r="C282" s="86">
        <v>1.0</v>
      </c>
      <c r="D282" s="86">
        <v>1.0</v>
      </c>
      <c r="E282" s="86"/>
      <c r="F282" s="86"/>
      <c r="G282" s="86">
        <v>1000.0</v>
      </c>
      <c r="H282" s="86">
        <v>1500.0</v>
      </c>
      <c r="I282" s="185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</row>
    <row r="283" ht="15.75" customHeight="1">
      <c r="A283" s="184">
        <v>46078.82207407407</v>
      </c>
      <c r="B283" s="86" t="s">
        <v>131</v>
      </c>
      <c r="C283" s="86">
        <v>1.0</v>
      </c>
      <c r="D283" s="86">
        <v>3.0</v>
      </c>
      <c r="E283" s="86"/>
      <c r="F283" s="86"/>
      <c r="G283" s="86">
        <v>2400.0</v>
      </c>
      <c r="H283" s="86">
        <v>4000.0</v>
      </c>
      <c r="I283" s="185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</row>
    <row r="284" ht="15.75" customHeight="1">
      <c r="A284" s="184">
        <v>46078.83347930555</v>
      </c>
      <c r="B284" s="86" t="s">
        <v>654</v>
      </c>
      <c r="C284" s="86">
        <v>1.0</v>
      </c>
      <c r="D284" s="86">
        <v>1.0</v>
      </c>
      <c r="E284" s="86"/>
      <c r="F284" s="86"/>
      <c r="G284" s="86">
        <v>4500.0</v>
      </c>
      <c r="H284" s="86">
        <v>6000.0</v>
      </c>
      <c r="I284" s="185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</row>
    <row r="285" ht="15.75" customHeight="1">
      <c r="A285" s="184">
        <v>46078.83414655093</v>
      </c>
      <c r="B285" s="86" t="s">
        <v>656</v>
      </c>
      <c r="C285" s="86">
        <v>1.0</v>
      </c>
      <c r="D285" s="86">
        <v>2.0</v>
      </c>
      <c r="E285" s="86"/>
      <c r="F285" s="86"/>
      <c r="G285" s="86">
        <v>4500.0</v>
      </c>
      <c r="H285" s="86">
        <v>6000.0</v>
      </c>
      <c r="I285" s="185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</row>
    <row r="286" ht="15.75" customHeight="1">
      <c r="A286" s="184">
        <v>46078.83438085648</v>
      </c>
      <c r="B286" s="86" t="s">
        <v>654</v>
      </c>
      <c r="C286" s="86">
        <v>1.0</v>
      </c>
      <c r="D286" s="86">
        <v>0.0</v>
      </c>
      <c r="E286" s="86"/>
      <c r="F286" s="86"/>
      <c r="G286" s="86">
        <v>3500.0</v>
      </c>
      <c r="H286" s="86">
        <v>5000.0</v>
      </c>
      <c r="I286" s="185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</row>
    <row r="287" ht="15.75" customHeight="1">
      <c r="A287" s="184">
        <v>46078.84114435185</v>
      </c>
      <c r="B287" s="86" t="s">
        <v>574</v>
      </c>
      <c r="C287" s="86">
        <v>1.0</v>
      </c>
      <c r="D287" s="86">
        <v>27.0</v>
      </c>
      <c r="E287" s="86"/>
      <c r="F287" s="86"/>
      <c r="G287" s="86">
        <v>2000.0</v>
      </c>
      <c r="H287" s="86">
        <v>3000.0</v>
      </c>
      <c r="I287" s="185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</row>
    <row r="288" ht="15.75" customHeight="1">
      <c r="A288" s="184">
        <v>46078.84114435185</v>
      </c>
      <c r="B288" s="86" t="s">
        <v>431</v>
      </c>
      <c r="C288" s="86">
        <v>1.0</v>
      </c>
      <c r="D288" s="86">
        <v>1.0</v>
      </c>
      <c r="E288" s="86"/>
      <c r="F288" s="86"/>
      <c r="G288" s="86">
        <v>1300.0</v>
      </c>
      <c r="H288" s="86">
        <v>2000.0</v>
      </c>
      <c r="I288" s="185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</row>
    <row r="289" ht="15.75" customHeight="1">
      <c r="A289" s="184">
        <v>46078.84252306713</v>
      </c>
      <c r="B289" s="86" t="s">
        <v>1443</v>
      </c>
      <c r="C289" s="86">
        <v>1.0</v>
      </c>
      <c r="D289" s="86">
        <v>20.0</v>
      </c>
      <c r="E289" s="86"/>
      <c r="F289" s="86"/>
      <c r="G289" s="86">
        <v>1000.0</v>
      </c>
      <c r="H289" s="86">
        <v>2000.0</v>
      </c>
      <c r="I289" s="185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</row>
    <row r="290" ht="15.75" customHeight="1">
      <c r="A290" s="184">
        <v>46078.84311123843</v>
      </c>
      <c r="B290" s="86" t="s">
        <v>2018</v>
      </c>
      <c r="C290" s="86">
        <v>1.0</v>
      </c>
      <c r="D290" s="86">
        <v>10.0</v>
      </c>
      <c r="E290" s="86"/>
      <c r="F290" s="86"/>
      <c r="G290" s="86">
        <v>1000.0</v>
      </c>
      <c r="H290" s="86">
        <v>2200.0</v>
      </c>
      <c r="I290" s="185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</row>
    <row r="291" ht="15.75" customHeight="1">
      <c r="A291" s="184">
        <v>46078.85856546296</v>
      </c>
      <c r="B291" s="86" t="s">
        <v>721</v>
      </c>
      <c r="C291" s="86">
        <v>1.0</v>
      </c>
      <c r="D291" s="86">
        <v>4.0</v>
      </c>
      <c r="E291" s="86"/>
      <c r="F291" s="86"/>
      <c r="G291" s="86">
        <v>2200.0</v>
      </c>
      <c r="H291" s="86">
        <v>4500.0</v>
      </c>
      <c r="I291" s="185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</row>
    <row r="292" ht="15.75" customHeight="1">
      <c r="A292" s="184">
        <v>46078.85856546296</v>
      </c>
      <c r="B292" s="86" t="s">
        <v>998</v>
      </c>
      <c r="C292" s="86">
        <v>1.0</v>
      </c>
      <c r="D292" s="86">
        <v>2.0</v>
      </c>
      <c r="E292" s="86"/>
      <c r="F292" s="86"/>
      <c r="G292" s="86">
        <v>2200.0</v>
      </c>
      <c r="H292" s="86">
        <v>4500.0</v>
      </c>
      <c r="I292" s="185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</row>
    <row r="293" ht="15.75" customHeight="1">
      <c r="A293" s="184">
        <v>46078.85856546296</v>
      </c>
      <c r="B293" s="86" t="s">
        <v>1275</v>
      </c>
      <c r="C293" s="86">
        <v>1.0</v>
      </c>
      <c r="D293" s="86">
        <v>2.0</v>
      </c>
      <c r="E293" s="86"/>
      <c r="F293" s="86"/>
      <c r="G293" s="86">
        <v>500.0</v>
      </c>
      <c r="H293" s="86">
        <v>1000.0</v>
      </c>
      <c r="I293" s="185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</row>
    <row r="294" ht="15.75" customHeight="1">
      <c r="A294" s="184">
        <v>46078.86019435185</v>
      </c>
      <c r="B294" s="86" t="s">
        <v>119</v>
      </c>
      <c r="C294" s="86">
        <v>1.0</v>
      </c>
      <c r="D294" s="86">
        <v>2.0</v>
      </c>
      <c r="E294" s="86"/>
      <c r="F294" s="86"/>
      <c r="G294" s="86">
        <v>1000.0</v>
      </c>
      <c r="H294" s="86">
        <v>1500.0</v>
      </c>
      <c r="I294" s="185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</row>
    <row r="295" ht="15.75" customHeight="1">
      <c r="A295" s="184">
        <v>46078.86073513889</v>
      </c>
      <c r="B295" s="86" t="s">
        <v>1450</v>
      </c>
      <c r="C295" s="86">
        <v>1.0</v>
      </c>
      <c r="D295" s="86">
        <v>8.0</v>
      </c>
      <c r="E295" s="86"/>
      <c r="F295" s="86"/>
      <c r="G295" s="86">
        <v>2000.0</v>
      </c>
      <c r="H295" s="86">
        <v>2500.0</v>
      </c>
      <c r="I295" s="185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</row>
    <row r="296" ht="15.75" customHeight="1">
      <c r="A296" s="184">
        <v>46078.86195689814</v>
      </c>
      <c r="B296" s="86" t="s">
        <v>774</v>
      </c>
      <c r="C296" s="86">
        <v>1.0</v>
      </c>
      <c r="D296" s="86">
        <v>1.0</v>
      </c>
      <c r="E296" s="86"/>
      <c r="F296" s="86"/>
      <c r="G296" s="86">
        <v>1500.0</v>
      </c>
      <c r="H296" s="86">
        <v>3000.0</v>
      </c>
      <c r="I296" s="185">
        <v>46266.0</v>
      </c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</row>
    <row r="297" ht="15.75" customHeight="1">
      <c r="A297" s="184">
        <v>46078.89828219907</v>
      </c>
      <c r="B297" s="86" t="s">
        <v>370</v>
      </c>
      <c r="C297" s="86">
        <v>1.0</v>
      </c>
      <c r="D297" s="86">
        <v>2.0</v>
      </c>
      <c r="E297" s="86"/>
      <c r="F297" s="86"/>
      <c r="G297" s="86">
        <v>1200.0</v>
      </c>
      <c r="H297" s="86">
        <v>2000.0</v>
      </c>
      <c r="I297" s="185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</row>
    <row r="298" ht="15.75" customHeight="1">
      <c r="A298" s="184">
        <v>46078.89828219907</v>
      </c>
      <c r="B298" s="86" t="s">
        <v>1453</v>
      </c>
      <c r="C298" s="86">
        <v>1.0</v>
      </c>
      <c r="D298" s="86">
        <v>38.0</v>
      </c>
      <c r="E298" s="86"/>
      <c r="F298" s="86"/>
      <c r="G298" s="86">
        <v>6000.0</v>
      </c>
      <c r="H298" s="86">
        <v>8775.0</v>
      </c>
      <c r="I298" s="185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</row>
    <row r="299" ht="15.75" customHeight="1">
      <c r="A299" s="184">
        <v>46078.89848944444</v>
      </c>
      <c r="B299" s="86" t="s">
        <v>1243</v>
      </c>
      <c r="C299" s="86">
        <v>1.0</v>
      </c>
      <c r="D299" s="86">
        <v>3.0</v>
      </c>
      <c r="E299" s="86"/>
      <c r="F299" s="86"/>
      <c r="G299" s="86">
        <v>1000.0</v>
      </c>
      <c r="H299" s="86">
        <v>1200.0</v>
      </c>
      <c r="I299" s="185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</row>
    <row r="300" ht="15.75" customHeight="1">
      <c r="A300" s="184">
        <v>46078.89958956018</v>
      </c>
      <c r="B300" s="86" t="s">
        <v>1018</v>
      </c>
      <c r="C300" s="86">
        <v>1.0</v>
      </c>
      <c r="D300" s="86">
        <v>4.0</v>
      </c>
      <c r="E300" s="86"/>
      <c r="F300" s="86"/>
      <c r="G300" s="86">
        <v>10600.0</v>
      </c>
      <c r="H300" s="86">
        <v>16000.0</v>
      </c>
      <c r="I300" s="185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</row>
    <row r="301" ht="15.75" customHeight="1">
      <c r="A301" s="184">
        <v>46078.89958956018</v>
      </c>
      <c r="B301" s="86" t="s">
        <v>388</v>
      </c>
      <c r="C301" s="86">
        <v>1.0</v>
      </c>
      <c r="D301" s="86">
        <v>1.0</v>
      </c>
      <c r="E301" s="86"/>
      <c r="F301" s="86"/>
      <c r="G301" s="86">
        <v>5000.0</v>
      </c>
      <c r="H301" s="86">
        <v>7000.0</v>
      </c>
      <c r="I301" s="185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</row>
    <row r="302" ht="15.75" customHeight="1">
      <c r="A302" s="184">
        <v>46078.89958956018</v>
      </c>
      <c r="B302" s="86" t="s">
        <v>398</v>
      </c>
      <c r="C302" s="86">
        <v>1.0</v>
      </c>
      <c r="D302" s="86">
        <v>8.0</v>
      </c>
      <c r="E302" s="86"/>
      <c r="F302" s="86"/>
      <c r="G302" s="86">
        <v>3000.0</v>
      </c>
      <c r="H302" s="86">
        <v>4500.0</v>
      </c>
      <c r="I302" s="185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</row>
    <row r="303" ht="15.75" customHeight="1">
      <c r="A303" s="184">
        <v>46078.90087645833</v>
      </c>
      <c r="B303" s="86" t="s">
        <v>2021</v>
      </c>
      <c r="C303" s="86">
        <v>1.0</v>
      </c>
      <c r="D303" s="86">
        <v>1.0</v>
      </c>
      <c r="E303" s="86"/>
      <c r="F303" s="86"/>
      <c r="G303" s="86">
        <v>3000.0</v>
      </c>
      <c r="H303" s="86">
        <v>5000.0</v>
      </c>
      <c r="I303" s="185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</row>
    <row r="304" ht="15.75" customHeight="1">
      <c r="A304" s="184">
        <v>46078.90165662037</v>
      </c>
      <c r="B304" s="86" t="s">
        <v>2021</v>
      </c>
      <c r="C304" s="86">
        <v>1.0</v>
      </c>
      <c r="D304" s="86">
        <v>1.0</v>
      </c>
      <c r="E304" s="86"/>
      <c r="F304" s="86"/>
      <c r="G304" s="86">
        <v>3000.0</v>
      </c>
      <c r="H304" s="86">
        <v>5000.0</v>
      </c>
      <c r="I304" s="185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</row>
    <row r="305" ht="15.75" customHeight="1">
      <c r="A305" s="184">
        <v>46078.90165662037</v>
      </c>
      <c r="B305" s="86" t="s">
        <v>2022</v>
      </c>
      <c r="C305" s="86">
        <v>1.0</v>
      </c>
      <c r="D305" s="86">
        <v>8.0</v>
      </c>
      <c r="E305" s="86"/>
      <c r="F305" s="86"/>
      <c r="G305" s="86">
        <v>2000.0</v>
      </c>
      <c r="H305" s="86">
        <v>3000.0</v>
      </c>
      <c r="I305" s="185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</row>
    <row r="306" ht="15.75" customHeight="1">
      <c r="A306" s="184">
        <v>46078.90165662037</v>
      </c>
      <c r="B306" s="86" t="s">
        <v>682</v>
      </c>
      <c r="C306" s="86">
        <v>1.0</v>
      </c>
      <c r="D306" s="86">
        <v>5.0</v>
      </c>
      <c r="E306" s="86"/>
      <c r="F306" s="86"/>
      <c r="G306" s="86">
        <v>1000.0</v>
      </c>
      <c r="H306" s="86">
        <v>1500.0</v>
      </c>
      <c r="I306" s="185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</row>
    <row r="307" ht="15.75" customHeight="1">
      <c r="A307" s="184">
        <v>46078.90204961805</v>
      </c>
      <c r="B307" s="86" t="s">
        <v>682</v>
      </c>
      <c r="C307" s="86">
        <v>1.0</v>
      </c>
      <c r="D307" s="86">
        <v>0.0</v>
      </c>
      <c r="E307" s="86"/>
      <c r="F307" s="86"/>
      <c r="G307" s="86">
        <v>1000.0</v>
      </c>
      <c r="H307" s="86">
        <v>1500.0</v>
      </c>
      <c r="I307" s="185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</row>
    <row r="308" ht="15.75" customHeight="1">
      <c r="A308" s="184">
        <v>46078.90221292824</v>
      </c>
      <c r="B308" s="86" t="s">
        <v>682</v>
      </c>
      <c r="C308" s="86">
        <v>1.0</v>
      </c>
      <c r="D308" s="86">
        <v>0.0</v>
      </c>
      <c r="E308" s="86"/>
      <c r="F308" s="86"/>
      <c r="G308" s="86">
        <v>1000.0</v>
      </c>
      <c r="H308" s="86">
        <v>1500.0</v>
      </c>
      <c r="I308" s="185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</row>
    <row r="309" ht="15.75" customHeight="1">
      <c r="A309" s="184">
        <v>46078.90693778935</v>
      </c>
      <c r="B309" s="86" t="s">
        <v>721</v>
      </c>
      <c r="C309" s="86">
        <v>1.0</v>
      </c>
      <c r="D309" s="86">
        <v>3.0</v>
      </c>
      <c r="E309" s="86"/>
      <c r="F309" s="86"/>
      <c r="G309" s="86">
        <v>2500.0</v>
      </c>
      <c r="H309" s="86">
        <v>4500.0</v>
      </c>
      <c r="I309" s="185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</row>
    <row r="310" ht="15.75" customHeight="1">
      <c r="A310" s="184">
        <v>46078.9075172338</v>
      </c>
      <c r="B310" s="86" t="s">
        <v>1469</v>
      </c>
      <c r="C310" s="86">
        <v>1.0</v>
      </c>
      <c r="D310" s="86">
        <v>4.0</v>
      </c>
      <c r="E310" s="86"/>
      <c r="F310" s="86"/>
      <c r="G310" s="86">
        <v>9600.0</v>
      </c>
      <c r="H310" s="86">
        <v>14400.0</v>
      </c>
      <c r="I310" s="185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</row>
    <row r="311" ht="15.75" customHeight="1">
      <c r="A311" s="184">
        <v>46078.9075172338</v>
      </c>
      <c r="B311" s="86" t="s">
        <v>435</v>
      </c>
      <c r="C311" s="86">
        <v>1.0</v>
      </c>
      <c r="D311" s="86">
        <v>3.0</v>
      </c>
      <c r="E311" s="86"/>
      <c r="F311" s="86"/>
      <c r="G311" s="86">
        <v>1200.0</v>
      </c>
      <c r="H311" s="86">
        <v>2200.0</v>
      </c>
      <c r="I311" s="185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</row>
    <row r="312" ht="15.75" customHeight="1">
      <c r="A312" s="184">
        <v>46078.9075172338</v>
      </c>
      <c r="B312" s="86" t="s">
        <v>1267</v>
      </c>
      <c r="C312" s="86">
        <v>1.0</v>
      </c>
      <c r="D312" s="86">
        <v>12.0</v>
      </c>
      <c r="E312" s="86"/>
      <c r="F312" s="86"/>
      <c r="G312" s="86">
        <v>250.0</v>
      </c>
      <c r="H312" s="86">
        <v>500.0</v>
      </c>
      <c r="I312" s="185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</row>
    <row r="313" ht="15.75" customHeight="1">
      <c r="A313" s="184">
        <v>46078.90968113426</v>
      </c>
      <c r="B313" s="86" t="s">
        <v>211</v>
      </c>
      <c r="C313" s="86">
        <v>1.0</v>
      </c>
      <c r="D313" s="86">
        <v>3.0</v>
      </c>
      <c r="E313" s="86"/>
      <c r="F313" s="86"/>
      <c r="G313" s="86">
        <v>1250.0</v>
      </c>
      <c r="H313" s="86">
        <v>2500.0</v>
      </c>
      <c r="I313" s="185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</row>
    <row r="314" ht="15.75" customHeight="1">
      <c r="A314" s="184">
        <v>46078.90968113426</v>
      </c>
      <c r="B314" s="86" t="s">
        <v>236</v>
      </c>
      <c r="C314" s="86">
        <v>1.0</v>
      </c>
      <c r="D314" s="86">
        <v>23.0</v>
      </c>
      <c r="E314" s="86"/>
      <c r="F314" s="86"/>
      <c r="G314" s="86">
        <v>1250.0</v>
      </c>
      <c r="H314" s="86">
        <v>1500.0</v>
      </c>
      <c r="I314" s="185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</row>
    <row r="315" ht="15.75" customHeight="1">
      <c r="A315" s="184">
        <v>46078.91108503472</v>
      </c>
      <c r="B315" s="86" t="s">
        <v>1474</v>
      </c>
      <c r="C315" s="86">
        <v>1.0</v>
      </c>
      <c r="D315" s="86">
        <v>4.0</v>
      </c>
      <c r="E315" s="86"/>
      <c r="F315" s="86"/>
      <c r="G315" s="86">
        <v>2000.0</v>
      </c>
      <c r="H315" s="86">
        <v>4000.0</v>
      </c>
      <c r="I315" s="185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</row>
    <row r="316" ht="15.75" customHeight="1">
      <c r="A316" s="184">
        <v>46078.91108503472</v>
      </c>
      <c r="B316" s="86" t="s">
        <v>1475</v>
      </c>
      <c r="C316" s="86">
        <v>1.0</v>
      </c>
      <c r="D316" s="86">
        <v>10.0</v>
      </c>
      <c r="E316" s="86"/>
      <c r="F316" s="86"/>
      <c r="G316" s="86">
        <v>750.0</v>
      </c>
      <c r="H316" s="86">
        <v>1500.0</v>
      </c>
      <c r="I316" s="185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</row>
    <row r="317" ht="15.75" customHeight="1">
      <c r="A317" s="184">
        <v>46078.91108503472</v>
      </c>
      <c r="B317" s="86" t="s">
        <v>1476</v>
      </c>
      <c r="C317" s="86">
        <v>1.0</v>
      </c>
      <c r="D317" s="86">
        <v>10.0</v>
      </c>
      <c r="E317" s="86"/>
      <c r="F317" s="86"/>
      <c r="G317" s="86">
        <v>550.0</v>
      </c>
      <c r="H317" s="86">
        <v>1100.0</v>
      </c>
      <c r="I317" s="185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</row>
    <row r="318" ht="15.75" customHeight="1">
      <c r="A318" s="184">
        <v>46078.91108503472</v>
      </c>
      <c r="B318" s="86" t="s">
        <v>1460</v>
      </c>
      <c r="C318" s="86">
        <v>1.0</v>
      </c>
      <c r="D318" s="86">
        <v>8.0</v>
      </c>
      <c r="E318" s="86"/>
      <c r="F318" s="86"/>
      <c r="G318" s="86">
        <v>500.0</v>
      </c>
      <c r="H318" s="86">
        <v>1000.0</v>
      </c>
      <c r="I318" s="185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</row>
    <row r="319" ht="15.75" customHeight="1">
      <c r="A319" s="184">
        <v>46078.91108503472</v>
      </c>
      <c r="B319" s="86" t="s">
        <v>99</v>
      </c>
      <c r="C319" s="86">
        <v>1.0</v>
      </c>
      <c r="D319" s="86">
        <v>10.0</v>
      </c>
      <c r="E319" s="86"/>
      <c r="F319" s="86"/>
      <c r="G319" s="86">
        <v>1000.0</v>
      </c>
      <c r="H319" s="86">
        <v>2000.0</v>
      </c>
      <c r="I319" s="185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</row>
    <row r="320" ht="15.75" customHeight="1">
      <c r="A320" s="184">
        <v>46078.91108503472</v>
      </c>
      <c r="B320" s="86" t="s">
        <v>230</v>
      </c>
      <c r="C320" s="86">
        <v>1.0</v>
      </c>
      <c r="D320" s="86">
        <v>8.0</v>
      </c>
      <c r="E320" s="86"/>
      <c r="F320" s="86"/>
      <c r="G320" s="86">
        <v>1500.0</v>
      </c>
      <c r="H320" s="86">
        <v>2000.0</v>
      </c>
      <c r="I320" s="185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</row>
    <row r="321" ht="15.75" customHeight="1">
      <c r="A321" s="184">
        <v>46078.94186086806</v>
      </c>
      <c r="B321" s="86" t="s">
        <v>723</v>
      </c>
      <c r="C321" s="86">
        <v>1.0</v>
      </c>
      <c r="D321" s="86">
        <v>2.0</v>
      </c>
      <c r="E321" s="86"/>
      <c r="F321" s="86"/>
      <c r="G321" s="86">
        <v>4800.0</v>
      </c>
      <c r="H321" s="86">
        <v>7200.0</v>
      </c>
      <c r="I321" s="185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</row>
    <row r="322" ht="15.75" customHeight="1">
      <c r="A322" s="184">
        <v>46079.03309700231</v>
      </c>
      <c r="B322" s="86" t="s">
        <v>2023</v>
      </c>
      <c r="C322" s="86">
        <v>1.0</v>
      </c>
      <c r="D322" s="86">
        <v>3.0</v>
      </c>
      <c r="E322" s="86"/>
      <c r="F322" s="86"/>
      <c r="G322" s="86">
        <v>7500.0</v>
      </c>
      <c r="H322" s="86">
        <v>9000.0</v>
      </c>
      <c r="I322" s="185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</row>
    <row r="323" ht="15.75" customHeight="1">
      <c r="A323" s="184">
        <v>46079.03352543982</v>
      </c>
      <c r="B323" s="86" t="s">
        <v>2024</v>
      </c>
      <c r="C323" s="86">
        <v>1.0</v>
      </c>
      <c r="D323" s="86">
        <v>1.0</v>
      </c>
      <c r="E323" s="86"/>
      <c r="F323" s="86"/>
      <c r="G323" s="86">
        <v>8000.0</v>
      </c>
      <c r="H323" s="86">
        <v>9000.0</v>
      </c>
      <c r="I323" s="185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</row>
    <row r="324" ht="15.75" customHeight="1">
      <c r="A324" s="184">
        <v>46079.03455314815</v>
      </c>
      <c r="B324" s="86" t="s">
        <v>572</v>
      </c>
      <c r="C324" s="86">
        <v>1.0</v>
      </c>
      <c r="D324" s="86">
        <v>2.0</v>
      </c>
      <c r="E324" s="86"/>
      <c r="F324" s="86"/>
      <c r="G324" s="86">
        <v>2000.0</v>
      </c>
      <c r="H324" s="86">
        <v>3000.0</v>
      </c>
      <c r="I324" s="185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</row>
    <row r="325" ht="15.75" customHeight="1">
      <c r="A325" s="184">
        <v>46079.13971185185</v>
      </c>
      <c r="B325" s="86" t="s">
        <v>532</v>
      </c>
      <c r="C325" s="86">
        <v>1.0</v>
      </c>
      <c r="D325" s="86">
        <v>10.0</v>
      </c>
      <c r="E325" s="86"/>
      <c r="F325" s="86"/>
      <c r="G325" s="86">
        <v>2500.0</v>
      </c>
      <c r="H325" s="86">
        <v>5000.0</v>
      </c>
      <c r="I325" s="185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</row>
    <row r="326" ht="15.75" customHeight="1">
      <c r="A326" s="184">
        <v>46079.55509905093</v>
      </c>
      <c r="B326" s="86" t="s">
        <v>579</v>
      </c>
      <c r="C326" s="86">
        <v>1.0</v>
      </c>
      <c r="D326" s="86">
        <v>9.0</v>
      </c>
      <c r="E326" s="86"/>
      <c r="F326" s="86"/>
      <c r="G326" s="86">
        <v>900.0</v>
      </c>
      <c r="H326" s="86">
        <v>3000.0</v>
      </c>
      <c r="I326" s="185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</row>
    <row r="327" ht="15.75" customHeight="1">
      <c r="A327" s="184">
        <v>46079.55509905093</v>
      </c>
      <c r="B327" s="86" t="s">
        <v>230</v>
      </c>
      <c r="C327" s="86">
        <v>1.0</v>
      </c>
      <c r="D327" s="86">
        <v>7.0</v>
      </c>
      <c r="E327" s="86"/>
      <c r="F327" s="86"/>
      <c r="G327" s="86">
        <v>1000.0</v>
      </c>
      <c r="H327" s="86">
        <v>1800.0</v>
      </c>
      <c r="I327" s="185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</row>
    <row r="328" ht="15.75" customHeight="1">
      <c r="A328" s="184">
        <v>46079.55509905093</v>
      </c>
      <c r="B328" s="86" t="s">
        <v>218</v>
      </c>
      <c r="C328" s="86">
        <v>1.0</v>
      </c>
      <c r="D328" s="86">
        <v>24.0</v>
      </c>
      <c r="E328" s="86"/>
      <c r="F328" s="86"/>
      <c r="G328" s="86">
        <v>1000.0</v>
      </c>
      <c r="H328" s="86">
        <v>2000.0</v>
      </c>
      <c r="I328" s="185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</row>
    <row r="329" ht="15.75" customHeight="1">
      <c r="A329" s="184">
        <v>46079.55509905093</v>
      </c>
      <c r="B329" s="86" t="s">
        <v>548</v>
      </c>
      <c r="C329" s="86">
        <v>1.0</v>
      </c>
      <c r="D329" s="86">
        <v>9.0</v>
      </c>
      <c r="E329" s="86"/>
      <c r="F329" s="86"/>
      <c r="G329" s="86">
        <v>800.0</v>
      </c>
      <c r="H329" s="86">
        <v>1200.0</v>
      </c>
      <c r="I329" s="185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</row>
    <row r="330" ht="15.75" customHeight="1">
      <c r="A330" s="184">
        <v>46079.55509905093</v>
      </c>
      <c r="B330" s="86" t="s">
        <v>546</v>
      </c>
      <c r="C330" s="86">
        <v>1.0</v>
      </c>
      <c r="D330" s="86">
        <v>9.0</v>
      </c>
      <c r="E330" s="86"/>
      <c r="F330" s="86"/>
      <c r="G330" s="86">
        <v>800.0</v>
      </c>
      <c r="H330" s="86">
        <v>1200.0</v>
      </c>
      <c r="I330" s="185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 ht="15.75" customHeight="1">
      <c r="A331" s="184">
        <v>46079.55509905093</v>
      </c>
      <c r="B331" s="86" t="s">
        <v>1479</v>
      </c>
      <c r="C331" s="86">
        <v>1.0</v>
      </c>
      <c r="D331" s="86">
        <v>11.0</v>
      </c>
      <c r="E331" s="86"/>
      <c r="F331" s="86"/>
      <c r="G331" s="86">
        <v>450.0</v>
      </c>
      <c r="H331" s="86">
        <v>600.0</v>
      </c>
      <c r="I331" s="185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 ht="15.75" customHeight="1">
      <c r="A332" s="184">
        <v>46079.55509905093</v>
      </c>
      <c r="B332" s="86" t="s">
        <v>170</v>
      </c>
      <c r="C332" s="86">
        <v>1.0</v>
      </c>
      <c r="D332" s="86">
        <v>1.0</v>
      </c>
      <c r="E332" s="86"/>
      <c r="F332" s="86"/>
      <c r="G332" s="86">
        <v>450.0</v>
      </c>
      <c r="H332" s="86">
        <v>600.0</v>
      </c>
      <c r="I332" s="185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 ht="15.75" customHeight="1">
      <c r="A333" s="184">
        <v>46079.59442854167</v>
      </c>
      <c r="B333" s="86" t="s">
        <v>441</v>
      </c>
      <c r="C333" s="86">
        <v>1.0</v>
      </c>
      <c r="D333" s="86">
        <v>1.0</v>
      </c>
      <c r="E333" s="86"/>
      <c r="F333" s="86"/>
      <c r="G333" s="86">
        <v>1200.0</v>
      </c>
      <c r="H333" s="86">
        <v>2000.0</v>
      </c>
      <c r="I333" s="185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</row>
    <row r="334" ht="15.75" customHeight="1">
      <c r="A334" s="184">
        <v>46079.59442854167</v>
      </c>
      <c r="B334" s="86" t="s">
        <v>713</v>
      </c>
      <c r="C334" s="86">
        <v>1.0</v>
      </c>
      <c r="D334" s="86">
        <v>6.0</v>
      </c>
      <c r="E334" s="86"/>
      <c r="F334" s="86"/>
      <c r="G334" s="86">
        <v>2000.0</v>
      </c>
      <c r="H334" s="86">
        <v>3000.0</v>
      </c>
      <c r="I334" s="185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</row>
    <row r="335" ht="15.75" customHeight="1">
      <c r="A335" s="184">
        <v>46079.6396399537</v>
      </c>
      <c r="B335" s="86" t="s">
        <v>478</v>
      </c>
      <c r="C335" s="86">
        <v>1.0</v>
      </c>
      <c r="D335" s="86">
        <v>12.0</v>
      </c>
      <c r="E335" s="86"/>
      <c r="F335" s="86"/>
      <c r="G335" s="86">
        <v>2500.0</v>
      </c>
      <c r="H335" s="86">
        <v>4500.0</v>
      </c>
      <c r="I335" s="185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</row>
    <row r="336" ht="15.75" customHeight="1">
      <c r="A336" s="184">
        <v>46079.64030991898</v>
      </c>
      <c r="B336" s="86" t="s">
        <v>1269</v>
      </c>
      <c r="C336" s="86">
        <v>1.0</v>
      </c>
      <c r="D336" s="86">
        <v>8.0</v>
      </c>
      <c r="E336" s="86"/>
      <c r="F336" s="86"/>
      <c r="G336" s="86">
        <v>2500.0</v>
      </c>
      <c r="H336" s="86">
        <v>4500.0</v>
      </c>
      <c r="I336" s="185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</row>
    <row r="337" ht="15.75" customHeight="1">
      <c r="A337" s="184">
        <v>46079.64059412037</v>
      </c>
      <c r="B337" s="86" t="s">
        <v>472</v>
      </c>
      <c r="C337" s="86">
        <v>1.0</v>
      </c>
      <c r="D337" s="86">
        <v>12.0</v>
      </c>
      <c r="E337" s="86"/>
      <c r="F337" s="86"/>
      <c r="G337" s="86">
        <v>2500.0</v>
      </c>
      <c r="H337" s="86">
        <v>4500.0</v>
      </c>
      <c r="I337" s="185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</row>
    <row r="338" ht="15.75" customHeight="1">
      <c r="A338" s="184">
        <v>46079.64215349537</v>
      </c>
      <c r="B338" s="86" t="s">
        <v>998</v>
      </c>
      <c r="C338" s="86">
        <v>1.0</v>
      </c>
      <c r="D338" s="86">
        <v>8.0</v>
      </c>
      <c r="E338" s="86"/>
      <c r="F338" s="86"/>
      <c r="G338" s="86">
        <v>2500.0</v>
      </c>
      <c r="H338" s="86">
        <v>4500.0</v>
      </c>
      <c r="I338" s="185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</row>
    <row r="339" ht="15.75" customHeight="1">
      <c r="A339" s="184">
        <v>46079.64242445602</v>
      </c>
      <c r="B339" s="86" t="s">
        <v>721</v>
      </c>
      <c r="C339" s="86">
        <v>1.0</v>
      </c>
      <c r="D339" s="86">
        <v>5.0</v>
      </c>
      <c r="E339" s="86"/>
      <c r="F339" s="86"/>
      <c r="G339" s="86">
        <v>2500.0</v>
      </c>
      <c r="H339" s="86">
        <v>4500.0</v>
      </c>
      <c r="I339" s="185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</row>
    <row r="340" ht="15.75" customHeight="1">
      <c r="A340" s="184">
        <v>46079.67313684028</v>
      </c>
      <c r="B340" s="86" t="s">
        <v>2025</v>
      </c>
      <c r="C340" s="86">
        <v>1.0</v>
      </c>
      <c r="D340" s="86">
        <v>12.0</v>
      </c>
      <c r="E340" s="86"/>
      <c r="F340" s="86"/>
      <c r="G340" s="86">
        <v>500.0</v>
      </c>
      <c r="H340" s="86">
        <v>700.0</v>
      </c>
      <c r="I340" s="185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</row>
    <row r="341" ht="15.75" customHeight="1">
      <c r="A341" s="184">
        <v>46079.67476017361</v>
      </c>
      <c r="B341" s="86" t="s">
        <v>1484</v>
      </c>
      <c r="C341" s="86">
        <v>1.0</v>
      </c>
      <c r="D341" s="86">
        <v>2.0</v>
      </c>
      <c r="E341" s="86"/>
      <c r="F341" s="86"/>
      <c r="G341" s="86">
        <v>27000.0</v>
      </c>
      <c r="H341" s="86">
        <v>4000.0</v>
      </c>
      <c r="I341" s="185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</row>
    <row r="342" ht="15.75" customHeight="1">
      <c r="A342" s="184">
        <v>46079.67476017361</v>
      </c>
      <c r="B342" s="86" t="s">
        <v>105</v>
      </c>
      <c r="C342" s="86">
        <v>1.0</v>
      </c>
      <c r="D342" s="86">
        <v>2.0</v>
      </c>
      <c r="E342" s="86"/>
      <c r="F342" s="86"/>
      <c r="G342" s="86">
        <v>4500.0</v>
      </c>
      <c r="H342" s="86">
        <v>7000.0</v>
      </c>
      <c r="I342" s="185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</row>
    <row r="343" ht="15.75" customHeight="1">
      <c r="A343" s="184">
        <v>46079.67476017361</v>
      </c>
      <c r="B343" s="86" t="s">
        <v>947</v>
      </c>
      <c r="C343" s="86">
        <v>1.0</v>
      </c>
      <c r="D343" s="86">
        <v>0.0</v>
      </c>
      <c r="E343" s="86"/>
      <c r="F343" s="86"/>
      <c r="G343" s="86">
        <v>4000.0</v>
      </c>
      <c r="H343" s="86">
        <v>6000.0</v>
      </c>
      <c r="I343" s="185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</row>
    <row r="344" ht="15.75" customHeight="1">
      <c r="A344" s="184">
        <v>46079.67476017361</v>
      </c>
      <c r="B344" s="86" t="s">
        <v>998</v>
      </c>
      <c r="C344" s="86">
        <v>1.0</v>
      </c>
      <c r="D344" s="86">
        <v>7.0</v>
      </c>
      <c r="E344" s="86"/>
      <c r="F344" s="86"/>
      <c r="G344" s="86">
        <v>2500.0</v>
      </c>
      <c r="H344" s="86">
        <v>4500.0</v>
      </c>
      <c r="I344" s="185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</row>
    <row r="345" ht="15.75" customHeight="1">
      <c r="A345" s="184">
        <v>46079.67476017361</v>
      </c>
      <c r="B345" s="86" t="s">
        <v>409</v>
      </c>
      <c r="C345" s="86">
        <v>1.0</v>
      </c>
      <c r="D345" s="86">
        <v>0.0</v>
      </c>
      <c r="E345" s="86"/>
      <c r="F345" s="86"/>
      <c r="G345" s="86">
        <v>1200.0</v>
      </c>
      <c r="H345" s="86">
        <v>2000.0</v>
      </c>
      <c r="I345" s="185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</row>
    <row r="346" ht="15.75" customHeight="1">
      <c r="A346" s="184">
        <v>46079.67476017361</v>
      </c>
      <c r="B346" s="86" t="s">
        <v>1486</v>
      </c>
      <c r="C346" s="86">
        <v>1.0</v>
      </c>
      <c r="D346" s="86">
        <v>6.0</v>
      </c>
      <c r="E346" s="86"/>
      <c r="F346" s="86"/>
      <c r="G346" s="86">
        <v>1400.0</v>
      </c>
      <c r="H346" s="86">
        <v>2000.0</v>
      </c>
      <c r="I346" s="185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</row>
    <row r="347" ht="15.75" customHeight="1">
      <c r="A347" s="184">
        <v>46079.67476017361</v>
      </c>
      <c r="B347" s="86" t="s">
        <v>676</v>
      </c>
      <c r="C347" s="86">
        <v>1.0</v>
      </c>
      <c r="D347" s="86">
        <v>2.0</v>
      </c>
      <c r="E347" s="86"/>
      <c r="F347" s="86"/>
      <c r="G347" s="86">
        <v>14000.0</v>
      </c>
      <c r="H347" s="86">
        <v>2000.0</v>
      </c>
      <c r="I347" s="185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</row>
    <row r="348" ht="15.75" customHeight="1">
      <c r="A348" s="184">
        <v>46079.67476017361</v>
      </c>
      <c r="B348" s="86" t="s">
        <v>508</v>
      </c>
      <c r="C348" s="86">
        <v>1.0</v>
      </c>
      <c r="D348" s="86">
        <v>2.0</v>
      </c>
      <c r="E348" s="86"/>
      <c r="F348" s="86"/>
      <c r="G348" s="86">
        <v>900.0</v>
      </c>
      <c r="H348" s="86">
        <v>1500.0</v>
      </c>
      <c r="I348" s="185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</row>
    <row r="349" ht="15.75" customHeight="1">
      <c r="A349" s="184">
        <v>46079.67476017361</v>
      </c>
      <c r="B349" s="86" t="s">
        <v>560</v>
      </c>
      <c r="C349" s="86">
        <v>1.0</v>
      </c>
      <c r="D349" s="86">
        <v>2.0</v>
      </c>
      <c r="E349" s="86"/>
      <c r="F349" s="86"/>
      <c r="G349" s="86">
        <v>1500.0</v>
      </c>
      <c r="H349" s="86">
        <v>3000.0</v>
      </c>
      <c r="I349" s="185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</row>
    <row r="350" ht="15.75" customHeight="1">
      <c r="A350" s="184">
        <v>46079.67476017361</v>
      </c>
      <c r="B350" s="86" t="s">
        <v>786</v>
      </c>
      <c r="C350" s="86">
        <v>1.0</v>
      </c>
      <c r="D350" s="86">
        <v>0.0</v>
      </c>
      <c r="E350" s="86"/>
      <c r="F350" s="86"/>
      <c r="G350" s="86">
        <v>4000.0</v>
      </c>
      <c r="H350" s="86">
        <v>7000.0</v>
      </c>
      <c r="I350" s="185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</row>
    <row r="351" ht="15.75" customHeight="1">
      <c r="A351" s="184">
        <v>46079.67555959491</v>
      </c>
      <c r="B351" s="86" t="s">
        <v>786</v>
      </c>
      <c r="C351" s="86">
        <v>1.0</v>
      </c>
      <c r="D351" s="86">
        <v>1.0</v>
      </c>
      <c r="E351" s="86"/>
      <c r="F351" s="86"/>
      <c r="G351" s="86">
        <v>4000.0</v>
      </c>
      <c r="H351" s="86">
        <v>7000.0</v>
      </c>
      <c r="I351" s="185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</row>
    <row r="352" ht="15.75" customHeight="1">
      <c r="A352" s="184">
        <v>46079.69215405093</v>
      </c>
      <c r="B352" s="86" t="s">
        <v>996</v>
      </c>
      <c r="C352" s="86">
        <v>1.0</v>
      </c>
      <c r="D352" s="86">
        <v>0.0</v>
      </c>
      <c r="E352" s="86"/>
      <c r="F352" s="86"/>
      <c r="G352" s="86">
        <v>1300.0</v>
      </c>
      <c r="H352" s="86">
        <v>2000.0</v>
      </c>
      <c r="I352" s="185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</row>
    <row r="353" ht="15.75" customHeight="1">
      <c r="A353" s="184">
        <v>46079.77137868055</v>
      </c>
      <c r="B353" s="86" t="s">
        <v>1490</v>
      </c>
      <c r="C353" s="86">
        <v>1.0</v>
      </c>
      <c r="D353" s="86">
        <v>38.0</v>
      </c>
      <c r="E353" s="86"/>
      <c r="F353" s="86"/>
      <c r="G353" s="86">
        <v>3000.0</v>
      </c>
      <c r="H353" s="86">
        <v>4050.0</v>
      </c>
      <c r="I353" s="185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</row>
    <row r="354" ht="15.75" customHeight="1">
      <c r="A354" s="184">
        <v>46079.77137868055</v>
      </c>
      <c r="B354" s="86" t="s">
        <v>127</v>
      </c>
      <c r="C354" s="86">
        <v>1.0</v>
      </c>
      <c r="D354" s="86">
        <v>2.0</v>
      </c>
      <c r="E354" s="86"/>
      <c r="F354" s="86"/>
      <c r="G354" s="86">
        <v>1500.0</v>
      </c>
      <c r="H354" s="86">
        <v>3000.0</v>
      </c>
      <c r="I354" s="185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</row>
    <row r="355" ht="15.75" customHeight="1">
      <c r="A355" s="184">
        <v>46079.77137868055</v>
      </c>
      <c r="B355" s="86" t="s">
        <v>642</v>
      </c>
      <c r="C355" s="86">
        <v>1.0</v>
      </c>
      <c r="D355" s="86">
        <v>0.0</v>
      </c>
      <c r="E355" s="86"/>
      <c r="F355" s="86"/>
      <c r="G355" s="86">
        <v>2200.0</v>
      </c>
      <c r="H355" s="86">
        <v>4000.0</v>
      </c>
      <c r="I355" s="185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</row>
    <row r="356" ht="15.75" customHeight="1">
      <c r="A356" s="184">
        <v>46079.77137868055</v>
      </c>
      <c r="B356" s="86" t="s">
        <v>933</v>
      </c>
      <c r="C356" s="86">
        <v>1.0</v>
      </c>
      <c r="D356" s="86">
        <v>3.0</v>
      </c>
      <c r="E356" s="86"/>
      <c r="F356" s="86"/>
      <c r="G356" s="86">
        <v>2200.0</v>
      </c>
      <c r="H356" s="86">
        <v>4000.0</v>
      </c>
      <c r="I356" s="185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</row>
    <row r="357" ht="15.75" customHeight="1">
      <c r="A357" s="184">
        <v>46079.77137868055</v>
      </c>
      <c r="B357" s="86" t="s">
        <v>598</v>
      </c>
      <c r="C357" s="86">
        <v>1.0</v>
      </c>
      <c r="D357" s="86">
        <v>1.0</v>
      </c>
      <c r="E357" s="86"/>
      <c r="F357" s="86"/>
      <c r="G357" s="86">
        <v>3000.0</v>
      </c>
      <c r="H357" s="86">
        <v>4000.0</v>
      </c>
      <c r="I357" s="185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</row>
    <row r="358" ht="15.75" customHeight="1">
      <c r="A358" s="184">
        <v>46079.77167342592</v>
      </c>
      <c r="B358" s="86" t="s">
        <v>598</v>
      </c>
      <c r="C358" s="86">
        <v>1.0</v>
      </c>
      <c r="D358" s="86">
        <v>2.0</v>
      </c>
      <c r="E358" s="86"/>
      <c r="F358" s="86"/>
      <c r="G358" s="86">
        <v>3000.0</v>
      </c>
      <c r="H358" s="86">
        <v>4000.0</v>
      </c>
      <c r="I358" s="185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</row>
    <row r="359" ht="15.75" customHeight="1">
      <c r="A359" s="184">
        <v>46079.77306826389</v>
      </c>
      <c r="B359" s="86" t="s">
        <v>745</v>
      </c>
      <c r="C359" s="86">
        <v>1.0</v>
      </c>
      <c r="D359" s="86">
        <v>2.0</v>
      </c>
      <c r="E359" s="86"/>
      <c r="F359" s="86"/>
      <c r="G359" s="86">
        <v>4000.0</v>
      </c>
      <c r="H359" s="86">
        <v>6000.0</v>
      </c>
      <c r="I359" s="185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</row>
    <row r="360" ht="15.75" customHeight="1">
      <c r="A360" s="184">
        <v>46079.77462626158</v>
      </c>
      <c r="B360" s="86" t="s">
        <v>1493</v>
      </c>
      <c r="C360" s="86">
        <v>1.0</v>
      </c>
      <c r="D360" s="86">
        <v>9.0</v>
      </c>
      <c r="E360" s="86"/>
      <c r="F360" s="86"/>
      <c r="G360" s="86">
        <v>1300.0</v>
      </c>
      <c r="H360" s="86">
        <v>3000.0</v>
      </c>
      <c r="I360" s="185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</row>
    <row r="361" ht="15.75" customHeight="1">
      <c r="A361" s="184">
        <v>46079.77873472223</v>
      </c>
      <c r="B361" s="86" t="s">
        <v>627</v>
      </c>
      <c r="C361" s="86">
        <v>1.0</v>
      </c>
      <c r="D361" s="86">
        <v>6.0</v>
      </c>
      <c r="E361" s="86"/>
      <c r="F361" s="86" t="s">
        <v>74</v>
      </c>
      <c r="G361" s="86">
        <v>955.0</v>
      </c>
      <c r="H361" s="86">
        <v>1800.0</v>
      </c>
      <c r="I361" s="185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</row>
    <row r="362" ht="15.75" customHeight="1">
      <c r="A362" s="184">
        <v>46079.77946861111</v>
      </c>
      <c r="B362" s="86" t="s">
        <v>624</v>
      </c>
      <c r="C362" s="86">
        <v>1.0</v>
      </c>
      <c r="D362" s="86">
        <v>1.0</v>
      </c>
      <c r="E362" s="86"/>
      <c r="F362" s="86" t="s">
        <v>74</v>
      </c>
      <c r="G362" s="86">
        <v>957.0</v>
      </c>
      <c r="H362" s="86">
        <v>1800.0</v>
      </c>
      <c r="I362" s="185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</row>
    <row r="363" ht="15.75" customHeight="1">
      <c r="A363" s="184">
        <v>46079.78024303241</v>
      </c>
      <c r="B363" s="86" t="s">
        <v>425</v>
      </c>
      <c r="C363" s="86">
        <v>1.0</v>
      </c>
      <c r="D363" s="86">
        <v>1.0</v>
      </c>
      <c r="E363" s="86"/>
      <c r="F363" s="86" t="s">
        <v>74</v>
      </c>
      <c r="G363" s="86">
        <v>1209.0</v>
      </c>
      <c r="H363" s="86">
        <v>2000.0</v>
      </c>
      <c r="I363" s="185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</row>
    <row r="364" ht="15.75" customHeight="1">
      <c r="A364" s="184">
        <v>46079.78079424769</v>
      </c>
      <c r="B364" s="86" t="s">
        <v>123</v>
      </c>
      <c r="C364" s="86">
        <v>1.0</v>
      </c>
      <c r="D364" s="86">
        <v>9.0</v>
      </c>
      <c r="E364" s="86"/>
      <c r="F364" s="86" t="s">
        <v>74</v>
      </c>
      <c r="G364" s="86">
        <v>1562.0</v>
      </c>
      <c r="H364" s="86">
        <v>3500.0</v>
      </c>
      <c r="I364" s="185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</row>
    <row r="365" ht="15.75" customHeight="1">
      <c r="A365" s="184">
        <v>46079.78128728009</v>
      </c>
      <c r="B365" s="86" t="s">
        <v>91</v>
      </c>
      <c r="C365" s="86">
        <v>1.0</v>
      </c>
      <c r="D365" s="86">
        <v>7.0</v>
      </c>
      <c r="E365" s="86"/>
      <c r="F365" s="86" t="s">
        <v>74</v>
      </c>
      <c r="G365" s="86">
        <v>1924.0</v>
      </c>
      <c r="H365" s="86">
        <v>3500.0</v>
      </c>
      <c r="I365" s="185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</row>
    <row r="366" ht="15.75" customHeight="1">
      <c r="A366" s="184">
        <v>46079.78181887732</v>
      </c>
      <c r="B366" s="86" t="s">
        <v>518</v>
      </c>
      <c r="C366" s="86">
        <v>1.0</v>
      </c>
      <c r="D366" s="86">
        <v>4.0</v>
      </c>
      <c r="E366" s="86"/>
      <c r="F366" s="86" t="s">
        <v>74</v>
      </c>
      <c r="G366" s="86">
        <v>1245.0</v>
      </c>
      <c r="H366" s="86">
        <v>2200.0</v>
      </c>
      <c r="I366" s="185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</row>
    <row r="367" ht="15.75" customHeight="1">
      <c r="A367" s="184">
        <v>46079.78386765046</v>
      </c>
      <c r="B367" s="86" t="s">
        <v>871</v>
      </c>
      <c r="C367" s="86">
        <v>1.0</v>
      </c>
      <c r="D367" s="86">
        <v>4.0</v>
      </c>
      <c r="E367" s="86"/>
      <c r="F367" s="86" t="s">
        <v>74</v>
      </c>
      <c r="G367" s="86">
        <v>2499.0</v>
      </c>
      <c r="H367" s="86">
        <v>4500.0</v>
      </c>
      <c r="I367" s="185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</row>
    <row r="368" ht="15.75" customHeight="1">
      <c r="A368" s="184">
        <v>46079.7841880787</v>
      </c>
      <c r="B368" s="86" t="s">
        <v>1307</v>
      </c>
      <c r="C368" s="86">
        <v>1.0</v>
      </c>
      <c r="D368" s="86">
        <v>8.0</v>
      </c>
      <c r="E368" s="86"/>
      <c r="F368" s="86" t="s">
        <v>74</v>
      </c>
      <c r="G368" s="86">
        <v>3700.0</v>
      </c>
      <c r="H368" s="86">
        <v>7200.0</v>
      </c>
      <c r="I368" s="185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</row>
    <row r="369" ht="15.75" customHeight="1">
      <c r="A369" s="184">
        <v>46079.78611760417</v>
      </c>
      <c r="B369" s="86" t="s">
        <v>1347</v>
      </c>
      <c r="C369" s="86">
        <v>1.0</v>
      </c>
      <c r="D369" s="86">
        <v>7.0</v>
      </c>
      <c r="E369" s="86"/>
      <c r="F369" s="86" t="s">
        <v>74</v>
      </c>
      <c r="G369" s="86">
        <v>3023.0</v>
      </c>
      <c r="H369" s="86">
        <v>6500.0</v>
      </c>
      <c r="I369" s="185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</row>
    <row r="370" ht="15.75" customHeight="1">
      <c r="A370" s="184">
        <v>46079.78724603009</v>
      </c>
      <c r="B370" s="86" t="s">
        <v>131</v>
      </c>
      <c r="C370" s="86">
        <v>1.0</v>
      </c>
      <c r="D370" s="86">
        <v>4.0</v>
      </c>
      <c r="E370" s="86"/>
      <c r="F370" s="86"/>
      <c r="G370" s="86">
        <v>1965.0</v>
      </c>
      <c r="H370" s="86">
        <v>4000.0</v>
      </c>
      <c r="I370" s="185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</row>
    <row r="371" ht="15.75" customHeight="1">
      <c r="A371" s="184">
        <v>46079.78877744213</v>
      </c>
      <c r="B371" s="86" t="s">
        <v>472</v>
      </c>
      <c r="C371" s="86">
        <v>1.0</v>
      </c>
      <c r="D371" s="86">
        <v>13.0</v>
      </c>
      <c r="E371" s="86"/>
      <c r="F371" s="86" t="s">
        <v>74</v>
      </c>
      <c r="G371" s="86">
        <v>1537.0</v>
      </c>
      <c r="H371" s="86">
        <v>4500.0</v>
      </c>
      <c r="I371" s="185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</row>
    <row r="372" ht="15.75" customHeight="1">
      <c r="A372" s="184">
        <v>46079.78922353009</v>
      </c>
      <c r="B372" s="86" t="s">
        <v>1174</v>
      </c>
      <c r="C372" s="86">
        <v>1.0</v>
      </c>
      <c r="D372" s="86">
        <v>6.0</v>
      </c>
      <c r="E372" s="86"/>
      <c r="F372" s="86" t="s">
        <v>74</v>
      </c>
      <c r="G372" s="86">
        <v>1537.0</v>
      </c>
      <c r="H372" s="86">
        <v>3500.0</v>
      </c>
      <c r="I372" s="185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</row>
    <row r="373" ht="15.75" customHeight="1">
      <c r="A373" s="184">
        <v>46079.79021224537</v>
      </c>
      <c r="B373" s="86" t="s">
        <v>1160</v>
      </c>
      <c r="C373" s="86">
        <v>1.0</v>
      </c>
      <c r="D373" s="86">
        <v>9.0</v>
      </c>
      <c r="E373" s="86"/>
      <c r="F373" s="86" t="s">
        <v>74</v>
      </c>
      <c r="G373" s="86">
        <v>1600.0</v>
      </c>
      <c r="H373" s="86">
        <v>2500.0</v>
      </c>
      <c r="I373" s="185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</row>
    <row r="374" ht="15.75" customHeight="1">
      <c r="A374" s="184">
        <v>46079.79112604167</v>
      </c>
      <c r="B374" s="86" t="s">
        <v>670</v>
      </c>
      <c r="C374" s="86">
        <v>1.0</v>
      </c>
      <c r="D374" s="86">
        <v>2.0</v>
      </c>
      <c r="E374" s="86"/>
      <c r="F374" s="86" t="s">
        <v>74</v>
      </c>
      <c r="G374" s="86">
        <v>2300.0</v>
      </c>
      <c r="H374" s="86">
        <v>3500.0</v>
      </c>
      <c r="I374" s="185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</row>
    <row r="375" ht="15.75" customHeight="1">
      <c r="A375" s="184">
        <v>46079.79181380787</v>
      </c>
      <c r="B375" s="86" t="s">
        <v>455</v>
      </c>
      <c r="C375" s="86">
        <v>1.0</v>
      </c>
      <c r="D375" s="86">
        <v>1.0</v>
      </c>
      <c r="E375" s="86"/>
      <c r="F375" s="86" t="s">
        <v>74</v>
      </c>
      <c r="G375" s="86">
        <v>1620.0</v>
      </c>
      <c r="H375" s="86">
        <v>2500.0</v>
      </c>
      <c r="I375" s="185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</row>
    <row r="376" ht="15.75" customHeight="1">
      <c r="A376" s="184">
        <v>46079.79269880787</v>
      </c>
      <c r="B376" s="86" t="s">
        <v>240</v>
      </c>
      <c r="C376" s="86">
        <v>1.0</v>
      </c>
      <c r="D376" s="86">
        <v>6.0</v>
      </c>
      <c r="E376" s="86"/>
      <c r="F376" s="86"/>
      <c r="G376" s="86">
        <v>556.0</v>
      </c>
      <c r="H376" s="86">
        <v>1300.0</v>
      </c>
      <c r="I376" s="185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</row>
    <row r="377" ht="15.75" customHeight="1">
      <c r="A377" s="184">
        <v>46079.79343722222</v>
      </c>
      <c r="B377" s="86" t="s">
        <v>185</v>
      </c>
      <c r="C377" s="86">
        <v>1.0</v>
      </c>
      <c r="D377" s="86">
        <v>5.0</v>
      </c>
      <c r="E377" s="86"/>
      <c r="F377" s="86" t="s">
        <v>74</v>
      </c>
      <c r="G377" s="86">
        <v>1130.0</v>
      </c>
      <c r="H377" s="86">
        <v>2200.0</v>
      </c>
      <c r="I377" s="185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</row>
    <row r="378" ht="15.75" customHeight="1">
      <c r="A378" s="184">
        <v>46079.79409957176</v>
      </c>
      <c r="B378" s="86" t="s">
        <v>103</v>
      </c>
      <c r="C378" s="86">
        <v>1.0</v>
      </c>
      <c r="D378" s="86">
        <v>5.0</v>
      </c>
      <c r="E378" s="86"/>
      <c r="F378" s="86" t="s">
        <v>74</v>
      </c>
      <c r="G378" s="86">
        <v>875.0</v>
      </c>
      <c r="H378" s="86">
        <v>2000.0</v>
      </c>
      <c r="I378" s="185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</row>
    <row r="379" ht="15.75" customHeight="1">
      <c r="A379" s="184">
        <v>46079.79596961806</v>
      </c>
      <c r="B379" s="86" t="s">
        <v>421</v>
      </c>
      <c r="C379" s="86">
        <v>1.0</v>
      </c>
      <c r="D379" s="86">
        <v>7.0</v>
      </c>
      <c r="E379" s="86"/>
      <c r="F379" s="86"/>
      <c r="G379" s="86">
        <v>1950.0</v>
      </c>
      <c r="H379" s="86">
        <v>3200.0</v>
      </c>
      <c r="I379" s="185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</row>
    <row r="380" ht="15.75" customHeight="1">
      <c r="A380" s="184">
        <v>46079.80483506944</v>
      </c>
      <c r="B380" s="86" t="s">
        <v>642</v>
      </c>
      <c r="C380" s="86">
        <v>1.0</v>
      </c>
      <c r="D380" s="86">
        <v>1.0</v>
      </c>
      <c r="E380" s="86"/>
      <c r="F380" s="86" t="s">
        <v>74</v>
      </c>
      <c r="G380" s="86">
        <v>1849.0</v>
      </c>
      <c r="H380" s="86">
        <v>4000.0</v>
      </c>
      <c r="I380" s="185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</row>
    <row r="381" ht="15.75" customHeight="1">
      <c r="A381" s="184">
        <v>46079.80534344907</v>
      </c>
      <c r="B381" s="86" t="s">
        <v>351</v>
      </c>
      <c r="C381" s="86">
        <v>1.0</v>
      </c>
      <c r="D381" s="86">
        <v>24.0</v>
      </c>
      <c r="E381" s="86"/>
      <c r="F381" s="86" t="s">
        <v>147</v>
      </c>
      <c r="G381" s="86">
        <v>2000.0</v>
      </c>
      <c r="H381" s="86">
        <v>4000.0</v>
      </c>
      <c r="I381" s="185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</row>
    <row r="382" ht="15.75" customHeight="1">
      <c r="A382" s="184">
        <v>46079.80596834491</v>
      </c>
      <c r="B382" s="86" t="s">
        <v>1279</v>
      </c>
      <c r="C382" s="86">
        <v>1.0</v>
      </c>
      <c r="D382" s="86">
        <v>14.0</v>
      </c>
      <c r="E382" s="86"/>
      <c r="F382" s="86" t="s">
        <v>147</v>
      </c>
      <c r="G382" s="86">
        <v>1870.0</v>
      </c>
      <c r="H382" s="86">
        <v>3500.0</v>
      </c>
      <c r="I382" s="185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</row>
    <row r="383" ht="15.75" customHeight="1">
      <c r="A383" s="184">
        <v>46079.80630704861</v>
      </c>
      <c r="B383" s="86" t="s">
        <v>360</v>
      </c>
      <c r="C383" s="86">
        <v>1.0</v>
      </c>
      <c r="D383" s="86">
        <v>18.0</v>
      </c>
      <c r="E383" s="86"/>
      <c r="F383" s="86" t="s">
        <v>147</v>
      </c>
      <c r="G383" s="86">
        <v>899.0</v>
      </c>
      <c r="H383" s="86">
        <v>2000.0</v>
      </c>
      <c r="I383" s="185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</row>
    <row r="384" ht="15.75" customHeight="1">
      <c r="A384" s="184">
        <v>46079.80670105324</v>
      </c>
      <c r="B384" s="86" t="s">
        <v>1271</v>
      </c>
      <c r="C384" s="86">
        <v>1.0</v>
      </c>
      <c r="D384" s="86">
        <v>12.0</v>
      </c>
      <c r="E384" s="86"/>
      <c r="F384" s="86" t="s">
        <v>147</v>
      </c>
      <c r="G384" s="86">
        <v>2200.0</v>
      </c>
      <c r="H384" s="86">
        <v>5000.0</v>
      </c>
      <c r="I384" s="185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</row>
    <row r="385" ht="15.75" customHeight="1">
      <c r="A385" s="184">
        <v>46079.80718612269</v>
      </c>
      <c r="B385" s="86" t="s">
        <v>640</v>
      </c>
      <c r="C385" s="86">
        <v>1.0</v>
      </c>
      <c r="D385" s="86">
        <v>6.0</v>
      </c>
      <c r="E385" s="86"/>
      <c r="F385" s="86" t="s">
        <v>147</v>
      </c>
      <c r="G385" s="86">
        <v>4399.0</v>
      </c>
      <c r="H385" s="86">
        <v>9000.0</v>
      </c>
      <c r="I385" s="185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</row>
    <row r="386" ht="15.75" customHeight="1">
      <c r="A386" s="184">
        <v>46079.81613534722</v>
      </c>
      <c r="B386" s="86" t="s">
        <v>903</v>
      </c>
      <c r="C386" s="86">
        <v>1.0</v>
      </c>
      <c r="D386" s="86">
        <v>0.0</v>
      </c>
      <c r="E386" s="86"/>
      <c r="F386" s="86"/>
      <c r="G386" s="86">
        <v>999.0</v>
      </c>
      <c r="H386" s="86">
        <v>3000.0</v>
      </c>
      <c r="I386" s="185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</row>
    <row r="387" ht="15.75" customHeight="1">
      <c r="A387" s="184">
        <v>46079.8343824537</v>
      </c>
      <c r="B387" s="86" t="s">
        <v>1496</v>
      </c>
      <c r="C387" s="86">
        <v>1.0</v>
      </c>
      <c r="D387" s="86">
        <v>8.0</v>
      </c>
      <c r="E387" s="86"/>
      <c r="F387" s="86"/>
      <c r="G387" s="86">
        <v>2500.0</v>
      </c>
      <c r="H387" s="86">
        <v>3600.0</v>
      </c>
      <c r="I387" s="185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</row>
    <row r="388" ht="15.75" customHeight="1">
      <c r="A388" s="184">
        <v>46079.8343824537</v>
      </c>
      <c r="B388" s="86" t="s">
        <v>419</v>
      </c>
      <c r="C388" s="86">
        <v>1.0</v>
      </c>
      <c r="D388" s="86">
        <v>2.0</v>
      </c>
      <c r="E388" s="86"/>
      <c r="F388" s="86"/>
      <c r="G388" s="86">
        <v>1300.0</v>
      </c>
      <c r="H388" s="86">
        <v>2500.0</v>
      </c>
      <c r="I388" s="185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</row>
    <row r="389" ht="15.75" customHeight="1">
      <c r="A389" s="184">
        <v>46079.8343824537</v>
      </c>
      <c r="B389" s="86" t="s">
        <v>1338</v>
      </c>
      <c r="C389" s="86">
        <v>1.0</v>
      </c>
      <c r="D389" s="86">
        <v>0.0</v>
      </c>
      <c r="E389" s="86"/>
      <c r="F389" s="86"/>
      <c r="G389" s="86">
        <v>450.0</v>
      </c>
      <c r="H389" s="86">
        <v>600.0</v>
      </c>
      <c r="I389" s="185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</row>
    <row r="390" ht="15.75" customHeight="1">
      <c r="A390" s="184">
        <v>46079.8343824537</v>
      </c>
      <c r="B390" s="86" t="s">
        <v>1497</v>
      </c>
      <c r="C390" s="86">
        <v>1.0</v>
      </c>
      <c r="D390" s="86">
        <v>0.0</v>
      </c>
      <c r="E390" s="86"/>
      <c r="F390" s="86"/>
      <c r="G390" s="86">
        <v>450.0</v>
      </c>
      <c r="H390" s="86">
        <v>600.0</v>
      </c>
      <c r="I390" s="185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</row>
    <row r="391" ht="15.75" customHeight="1">
      <c r="A391" s="184">
        <v>46079.8343824537</v>
      </c>
      <c r="B391" s="86" t="s">
        <v>1340</v>
      </c>
      <c r="C391" s="86">
        <v>1.0</v>
      </c>
      <c r="D391" s="86">
        <v>3.0</v>
      </c>
      <c r="E391" s="86"/>
      <c r="F391" s="86"/>
      <c r="G391" s="86">
        <v>450.0</v>
      </c>
      <c r="H391" s="86">
        <v>600.0</v>
      </c>
      <c r="I391" s="185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</row>
    <row r="392" ht="15.75" customHeight="1">
      <c r="A392" s="184">
        <v>46079.83488761574</v>
      </c>
      <c r="B392" s="86" t="s">
        <v>719</v>
      </c>
      <c r="C392" s="86">
        <v>1.0</v>
      </c>
      <c r="D392" s="86">
        <v>8.0</v>
      </c>
      <c r="E392" s="86"/>
      <c r="F392" s="86"/>
      <c r="G392" s="86">
        <v>3200.0</v>
      </c>
      <c r="H392" s="86">
        <v>5500.0</v>
      </c>
      <c r="I392" s="185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</row>
    <row r="393" ht="15.75" customHeight="1">
      <c r="A393" s="184">
        <v>46079.83488761574</v>
      </c>
      <c r="B393" s="86" t="s">
        <v>1500</v>
      </c>
      <c r="C393" s="86">
        <v>1.0</v>
      </c>
      <c r="D393" s="86">
        <v>8.0</v>
      </c>
      <c r="E393" s="86"/>
      <c r="F393" s="86"/>
      <c r="G393" s="86">
        <v>2000.0</v>
      </c>
      <c r="H393" s="86">
        <v>3000.0</v>
      </c>
      <c r="I393" s="185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</row>
    <row r="394" ht="15.75" customHeight="1">
      <c r="A394" s="184">
        <v>46079.84116329861</v>
      </c>
      <c r="B394" s="86" t="s">
        <v>889</v>
      </c>
      <c r="C394" s="86">
        <v>1.0</v>
      </c>
      <c r="D394" s="86">
        <v>1.0</v>
      </c>
      <c r="E394" s="86"/>
      <c r="F394" s="86"/>
      <c r="G394" s="86">
        <v>2500.0</v>
      </c>
      <c r="H394" s="86">
        <v>4500.0</v>
      </c>
      <c r="I394" s="185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</row>
    <row r="395" ht="15.75" customHeight="1">
      <c r="A395" s="184">
        <v>46079.84419247685</v>
      </c>
      <c r="B395" s="86" t="s">
        <v>189</v>
      </c>
      <c r="C395" s="86">
        <v>1.0</v>
      </c>
      <c r="D395" s="86">
        <v>3.0</v>
      </c>
      <c r="E395" s="86"/>
      <c r="F395" s="86"/>
      <c r="G395" s="86">
        <v>1700.0</v>
      </c>
      <c r="H395" s="86">
        <v>3000.0</v>
      </c>
      <c r="I395" s="185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</row>
    <row r="396" ht="15.75" customHeight="1">
      <c r="A396" s="184">
        <v>46079.84441293981</v>
      </c>
      <c r="B396" s="86" t="s">
        <v>562</v>
      </c>
      <c r="C396" s="86">
        <v>1.0</v>
      </c>
      <c r="D396" s="86">
        <v>2.0</v>
      </c>
      <c r="E396" s="86"/>
      <c r="F396" s="86"/>
      <c r="G396" s="86">
        <v>1700.0</v>
      </c>
      <c r="H396" s="86">
        <v>3000.0</v>
      </c>
      <c r="I396" s="185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</row>
    <row r="397" ht="15.75" customHeight="1">
      <c r="A397" s="184">
        <v>46079.84497224537</v>
      </c>
      <c r="B397" s="86" t="s">
        <v>562</v>
      </c>
      <c r="C397" s="86">
        <v>1.0</v>
      </c>
      <c r="D397" s="86">
        <v>3.0</v>
      </c>
      <c r="E397" s="86"/>
      <c r="F397" s="86" t="s">
        <v>147</v>
      </c>
      <c r="G397" s="86">
        <v>1500.0</v>
      </c>
      <c r="H397" s="86">
        <v>3000.0</v>
      </c>
      <c r="I397" s="185">
        <v>46211.0</v>
      </c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</row>
    <row r="398" ht="15.75" customHeight="1">
      <c r="A398" s="184">
        <v>46079.84543626157</v>
      </c>
      <c r="B398" s="86" t="s">
        <v>189</v>
      </c>
      <c r="C398" s="86">
        <v>1.0</v>
      </c>
      <c r="D398" s="86">
        <v>4.0</v>
      </c>
      <c r="E398" s="86"/>
      <c r="F398" s="86" t="s">
        <v>147</v>
      </c>
      <c r="G398" s="86">
        <v>1700.0</v>
      </c>
      <c r="H398" s="86">
        <v>3000.0</v>
      </c>
      <c r="I398" s="185">
        <v>46194.0</v>
      </c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</row>
    <row r="399" ht="15.75" customHeight="1">
      <c r="A399" s="184">
        <v>46079.84590309028</v>
      </c>
      <c r="B399" s="86" t="s">
        <v>528</v>
      </c>
      <c r="C399" s="86">
        <v>1.0</v>
      </c>
      <c r="D399" s="86">
        <v>8.0</v>
      </c>
      <c r="E399" s="86"/>
      <c r="F399" s="86"/>
      <c r="G399" s="86">
        <v>2200.0</v>
      </c>
      <c r="H399" s="86">
        <v>3200.0</v>
      </c>
      <c r="I399" s="185">
        <v>46079.0</v>
      </c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</row>
    <row r="400" ht="15.75" customHeight="1">
      <c r="A400" s="184">
        <v>46079.84762782407</v>
      </c>
      <c r="B400" s="86" t="s">
        <v>1503</v>
      </c>
      <c r="C400" s="86">
        <v>1.0</v>
      </c>
      <c r="D400" s="86">
        <v>2.0</v>
      </c>
      <c r="E400" s="86"/>
      <c r="F400" s="86"/>
      <c r="G400" s="86">
        <v>1300.0</v>
      </c>
      <c r="H400" s="86">
        <v>1700.0</v>
      </c>
      <c r="I400" s="185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 ht="15.75" customHeight="1">
      <c r="A401" s="184">
        <v>46079.84762782407</v>
      </c>
      <c r="B401" s="86" t="s">
        <v>193</v>
      </c>
      <c r="C401" s="86">
        <v>1.0</v>
      </c>
      <c r="D401" s="86">
        <v>3.0</v>
      </c>
      <c r="E401" s="86"/>
      <c r="F401" s="86"/>
      <c r="G401" s="86">
        <v>1100.0</v>
      </c>
      <c r="H401" s="86">
        <v>2200.0</v>
      </c>
      <c r="I401" s="185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</row>
    <row r="402" ht="15.75" customHeight="1">
      <c r="A402" s="184">
        <v>46079.84822239583</v>
      </c>
      <c r="B402" s="86" t="s">
        <v>506</v>
      </c>
      <c r="C402" s="86">
        <v>1.0</v>
      </c>
      <c r="D402" s="86">
        <v>9.0</v>
      </c>
      <c r="E402" s="86"/>
      <c r="F402" s="86"/>
      <c r="G402" s="86">
        <v>500.0</v>
      </c>
      <c r="H402" s="86">
        <v>700.0</v>
      </c>
      <c r="I402" s="185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</row>
    <row r="403" ht="15.75" customHeight="1">
      <c r="A403" s="184">
        <v>46079.84845721065</v>
      </c>
      <c r="B403" s="86" t="s">
        <v>506</v>
      </c>
      <c r="C403" s="86">
        <v>1.0</v>
      </c>
      <c r="D403" s="86">
        <v>9.0</v>
      </c>
      <c r="E403" s="86"/>
      <c r="F403" s="86"/>
      <c r="G403" s="86">
        <v>500.0</v>
      </c>
      <c r="H403" s="86">
        <v>700.0</v>
      </c>
      <c r="I403" s="185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</row>
    <row r="404" ht="15.75" customHeight="1">
      <c r="A404" s="184">
        <v>46079.84869302083</v>
      </c>
      <c r="B404" s="86" t="s">
        <v>506</v>
      </c>
      <c r="C404" s="86">
        <v>1.0</v>
      </c>
      <c r="D404" s="86">
        <v>7.0</v>
      </c>
      <c r="E404" s="86"/>
      <c r="F404" s="86"/>
      <c r="G404" s="86">
        <v>500.0</v>
      </c>
      <c r="H404" s="86">
        <v>700.0</v>
      </c>
      <c r="I404" s="185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</row>
    <row r="405" ht="15.75" customHeight="1">
      <c r="A405" s="184">
        <v>46079.85197309028</v>
      </c>
      <c r="B405" s="86" t="s">
        <v>646</v>
      </c>
      <c r="C405" s="86">
        <v>1.0</v>
      </c>
      <c r="D405" s="86">
        <v>0.0</v>
      </c>
      <c r="E405" s="86"/>
      <c r="F405" s="86"/>
      <c r="G405" s="86">
        <v>1500.0</v>
      </c>
      <c r="H405" s="86">
        <v>3500.0</v>
      </c>
      <c r="I405" s="185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</row>
    <row r="406" ht="15.75" customHeight="1">
      <c r="A406" s="184">
        <v>46079.85714104167</v>
      </c>
      <c r="B406" s="86" t="s">
        <v>205</v>
      </c>
      <c r="C406" s="86">
        <v>1.0</v>
      </c>
      <c r="D406" s="86">
        <v>3.0</v>
      </c>
      <c r="E406" s="86"/>
      <c r="F406" s="86" t="s">
        <v>74</v>
      </c>
      <c r="G406" s="86">
        <v>2900.0</v>
      </c>
      <c r="H406" s="86">
        <v>4500.0</v>
      </c>
      <c r="I406" s="185">
        <v>46091.0</v>
      </c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</row>
    <row r="407" ht="15.75" customHeight="1">
      <c r="A407" s="184">
        <v>46079.85861940972</v>
      </c>
      <c r="B407" s="86" t="s">
        <v>1044</v>
      </c>
      <c r="C407" s="86">
        <v>1.0</v>
      </c>
      <c r="D407" s="86">
        <v>2.0</v>
      </c>
      <c r="E407" s="86"/>
      <c r="F407" s="86"/>
      <c r="G407" s="86">
        <v>3000.0</v>
      </c>
      <c r="H407" s="86">
        <v>4500.0</v>
      </c>
      <c r="I407" s="185">
        <v>46102.0</v>
      </c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</row>
    <row r="408" ht="15.75" customHeight="1">
      <c r="A408" s="184">
        <v>46079.86505295139</v>
      </c>
      <c r="B408" s="86" t="s">
        <v>721</v>
      </c>
      <c r="C408" s="86">
        <v>1.0</v>
      </c>
      <c r="D408" s="86">
        <v>4.0</v>
      </c>
      <c r="E408" s="86"/>
      <c r="F408" s="86"/>
      <c r="G408" s="86">
        <v>2500.0</v>
      </c>
      <c r="H408" s="86">
        <v>4500.0</v>
      </c>
      <c r="I408" s="185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</row>
    <row r="409" ht="15.75" customHeight="1">
      <c r="A409" s="184">
        <v>46079.86505295139</v>
      </c>
      <c r="B409" s="86" t="s">
        <v>1510</v>
      </c>
      <c r="C409" s="86">
        <v>1.0</v>
      </c>
      <c r="D409" s="86">
        <v>4.0</v>
      </c>
      <c r="E409" s="86"/>
      <c r="F409" s="86"/>
      <c r="G409" s="86">
        <v>6500.0</v>
      </c>
      <c r="H409" s="86">
        <v>9199.0</v>
      </c>
      <c r="I409" s="185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</row>
    <row r="410" ht="15.75" customHeight="1">
      <c r="A410" s="184">
        <v>46079.87473146991</v>
      </c>
      <c r="B410" s="86" t="s">
        <v>629</v>
      </c>
      <c r="C410" s="86">
        <v>1.0</v>
      </c>
      <c r="D410" s="86">
        <v>24.0</v>
      </c>
      <c r="E410" s="86"/>
      <c r="F410" s="86" t="s">
        <v>74</v>
      </c>
      <c r="G410" s="86">
        <v>1034.0</v>
      </c>
      <c r="H410" s="86">
        <v>2000.0</v>
      </c>
      <c r="I410" s="185">
        <v>46170.0</v>
      </c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</row>
    <row r="411" ht="15.75" customHeight="1">
      <c r="A411" s="184">
        <v>46079.87761282407</v>
      </c>
      <c r="B411" s="86" t="s">
        <v>427</v>
      </c>
      <c r="C411" s="86">
        <v>1.0</v>
      </c>
      <c r="D411" s="86">
        <v>5.0</v>
      </c>
      <c r="E411" s="86"/>
      <c r="F411" s="86" t="s">
        <v>74</v>
      </c>
      <c r="G411" s="86">
        <v>1200.0</v>
      </c>
      <c r="H411" s="86">
        <v>2000.0</v>
      </c>
      <c r="I411" s="185">
        <v>46201.0</v>
      </c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</row>
    <row r="412" ht="15.75" customHeight="1">
      <c r="A412" s="184">
        <v>46079.87805728009</v>
      </c>
      <c r="B412" s="86" t="s">
        <v>425</v>
      </c>
      <c r="C412" s="86">
        <v>1.0</v>
      </c>
      <c r="D412" s="86">
        <v>2.0</v>
      </c>
      <c r="E412" s="86"/>
      <c r="F412" s="86" t="s">
        <v>74</v>
      </c>
      <c r="G412" s="86">
        <v>1200.0</v>
      </c>
      <c r="H412" s="86">
        <v>2000.0</v>
      </c>
      <c r="I412" s="185">
        <v>46361.0</v>
      </c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</row>
    <row r="413" ht="15.75" customHeight="1">
      <c r="A413" s="184">
        <v>46079.87860820602</v>
      </c>
      <c r="B413" s="86" t="s">
        <v>518</v>
      </c>
      <c r="C413" s="86">
        <v>1.0</v>
      </c>
      <c r="D413" s="86">
        <v>5.0</v>
      </c>
      <c r="E413" s="86"/>
      <c r="F413" s="86" t="s">
        <v>74</v>
      </c>
      <c r="G413" s="86">
        <v>1200.0</v>
      </c>
      <c r="H413" s="86">
        <v>2200.0</v>
      </c>
      <c r="I413" s="185">
        <v>46340.0</v>
      </c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</row>
    <row r="414" ht="15.75" customHeight="1">
      <c r="A414" s="184">
        <v>46079.87951930556</v>
      </c>
      <c r="B414" s="86" t="s">
        <v>520</v>
      </c>
      <c r="C414" s="86">
        <v>1.0</v>
      </c>
      <c r="D414" s="86">
        <v>20.0</v>
      </c>
      <c r="E414" s="86"/>
      <c r="F414" s="86" t="s">
        <v>74</v>
      </c>
      <c r="G414" s="86">
        <v>1200.0</v>
      </c>
      <c r="H414" s="86">
        <v>2200.0</v>
      </c>
      <c r="I414" s="185">
        <v>46506.0</v>
      </c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</row>
    <row r="415" ht="15.75" customHeight="1">
      <c r="A415" s="184">
        <v>46079.88020778935</v>
      </c>
      <c r="B415" s="86" t="s">
        <v>627</v>
      </c>
      <c r="C415" s="86">
        <v>1.0</v>
      </c>
      <c r="D415" s="86">
        <v>30.0</v>
      </c>
      <c r="E415" s="86"/>
      <c r="F415" s="86" t="s">
        <v>74</v>
      </c>
      <c r="G415" s="86">
        <v>1200.0</v>
      </c>
      <c r="H415" s="86">
        <v>1800.0</v>
      </c>
      <c r="I415" s="185">
        <v>46184.0</v>
      </c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</row>
    <row r="416" ht="15.75" customHeight="1">
      <c r="A416" s="184">
        <v>46079.88089450231</v>
      </c>
      <c r="B416" s="86" t="s">
        <v>624</v>
      </c>
      <c r="C416" s="86">
        <v>1.0</v>
      </c>
      <c r="D416" s="86">
        <v>24.0</v>
      </c>
      <c r="E416" s="86"/>
      <c r="F416" s="86"/>
      <c r="G416" s="86">
        <v>1200.0</v>
      </c>
      <c r="H416" s="86">
        <v>1800.0</v>
      </c>
      <c r="I416" s="185">
        <v>46177.0</v>
      </c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</row>
    <row r="417" ht="15.75" customHeight="1">
      <c r="A417" s="184">
        <v>46079.88143917824</v>
      </c>
      <c r="B417" s="86" t="s">
        <v>1267</v>
      </c>
      <c r="C417" s="86">
        <v>1.0</v>
      </c>
      <c r="D417" s="86">
        <v>13.0</v>
      </c>
      <c r="E417" s="86"/>
      <c r="F417" s="86"/>
      <c r="G417" s="86">
        <v>700.0</v>
      </c>
      <c r="H417" s="86">
        <v>500.0</v>
      </c>
      <c r="I417" s="185">
        <v>46297.0</v>
      </c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</row>
    <row r="418" ht="15.75" customHeight="1">
      <c r="A418" s="184">
        <v>46079.88217024306</v>
      </c>
      <c r="B418" s="86" t="s">
        <v>80</v>
      </c>
      <c r="C418" s="86">
        <v>1.0</v>
      </c>
      <c r="D418" s="86">
        <v>12.0</v>
      </c>
      <c r="E418" s="86"/>
      <c r="F418" s="86" t="s">
        <v>47</v>
      </c>
      <c r="G418" s="86"/>
      <c r="H418" s="86">
        <v>2500.0</v>
      </c>
      <c r="I418" s="185">
        <v>46346.0</v>
      </c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</row>
    <row r="419" ht="15.75" customHeight="1">
      <c r="A419" s="184">
        <v>46079.8840546875</v>
      </c>
      <c r="B419" s="86" t="s">
        <v>40</v>
      </c>
      <c r="C419" s="86">
        <v>1.0</v>
      </c>
      <c r="D419" s="86">
        <v>11.0</v>
      </c>
      <c r="E419" s="86"/>
      <c r="F419" s="86" t="s">
        <v>42</v>
      </c>
      <c r="G419" s="86"/>
      <c r="H419" s="86">
        <v>2700.0</v>
      </c>
      <c r="I419" s="185">
        <v>46133.0</v>
      </c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</row>
    <row r="420" ht="15.75" customHeight="1">
      <c r="A420" s="184">
        <v>46079.88451359954</v>
      </c>
      <c r="B420" s="86" t="s">
        <v>453</v>
      </c>
      <c r="C420" s="86">
        <v>1.0</v>
      </c>
      <c r="D420" s="86">
        <v>7.0</v>
      </c>
      <c r="E420" s="86"/>
      <c r="F420" s="86" t="s">
        <v>47</v>
      </c>
      <c r="G420" s="86"/>
      <c r="H420" s="86">
        <v>1600.0</v>
      </c>
      <c r="I420" s="185">
        <v>46295.0</v>
      </c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</row>
    <row r="421" ht="15.75" customHeight="1">
      <c r="A421" s="184">
        <v>46079.88486071759</v>
      </c>
      <c r="B421" s="86" t="s">
        <v>54</v>
      </c>
      <c r="C421" s="86">
        <v>1.0</v>
      </c>
      <c r="D421" s="86">
        <v>11.0</v>
      </c>
      <c r="E421" s="86"/>
      <c r="F421" s="86"/>
      <c r="G421" s="86"/>
      <c r="H421" s="86">
        <v>1000.0</v>
      </c>
      <c r="I421" s="185">
        <v>46174.0</v>
      </c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</row>
    <row r="422" ht="15.75" customHeight="1">
      <c r="A422" s="184">
        <v>46079.88681059028</v>
      </c>
      <c r="B422" s="86" t="s">
        <v>58</v>
      </c>
      <c r="C422" s="86">
        <v>1.0</v>
      </c>
      <c r="D422" s="86">
        <v>48.0</v>
      </c>
      <c r="E422" s="86"/>
      <c r="F422" s="86" t="s">
        <v>56</v>
      </c>
      <c r="G422" s="86"/>
      <c r="H422" s="86">
        <v>1000.0</v>
      </c>
      <c r="I422" s="185">
        <v>46229.0</v>
      </c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</row>
    <row r="423" ht="15.75" customHeight="1">
      <c r="A423" s="184">
        <v>46079.89135228009</v>
      </c>
      <c r="B423" s="86" t="s">
        <v>460</v>
      </c>
      <c r="C423" s="86">
        <v>1.0</v>
      </c>
      <c r="D423" s="86">
        <v>6.0</v>
      </c>
      <c r="E423" s="86"/>
      <c r="F423" s="86" t="s">
        <v>147</v>
      </c>
      <c r="G423" s="86"/>
      <c r="H423" s="86">
        <v>2200.0</v>
      </c>
      <c r="I423" s="185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</row>
    <row r="424" ht="15.75" customHeight="1">
      <c r="A424" s="184">
        <v>46079.89917944444</v>
      </c>
      <c r="B424" s="86" t="s">
        <v>678</v>
      </c>
      <c r="C424" s="86">
        <v>1.0</v>
      </c>
      <c r="D424" s="86">
        <v>1.0</v>
      </c>
      <c r="E424" s="86"/>
      <c r="F424" s="86" t="s">
        <v>147</v>
      </c>
      <c r="G424" s="86"/>
      <c r="H424" s="86">
        <v>3000.0</v>
      </c>
      <c r="I424" s="185">
        <v>46093.0</v>
      </c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</row>
    <row r="425" ht="15.75" customHeight="1">
      <c r="A425" s="184">
        <v>46079.9001658912</v>
      </c>
      <c r="B425" s="86" t="s">
        <v>2016</v>
      </c>
      <c r="C425" s="86">
        <v>1.0</v>
      </c>
      <c r="D425" s="86">
        <v>3.0</v>
      </c>
      <c r="E425" s="86"/>
      <c r="F425" s="86"/>
      <c r="G425" s="86"/>
      <c r="H425" s="86"/>
      <c r="I425" s="185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</row>
    <row r="426" ht="15.75" customHeight="1">
      <c r="A426" s="184">
        <v>46079.90148494213</v>
      </c>
      <c r="B426" s="86" t="s">
        <v>711</v>
      </c>
      <c r="C426" s="86">
        <v>1.0</v>
      </c>
      <c r="D426" s="86">
        <v>2.0</v>
      </c>
      <c r="E426" s="86"/>
      <c r="F426" s="86" t="s">
        <v>147</v>
      </c>
      <c r="G426" s="86"/>
      <c r="H426" s="86">
        <v>2500.0</v>
      </c>
      <c r="I426" s="185">
        <v>46211.0</v>
      </c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</row>
    <row r="427" ht="15.75" customHeight="1">
      <c r="A427" s="184">
        <v>46079.90235953704</v>
      </c>
      <c r="B427" s="86" t="s">
        <v>72</v>
      </c>
      <c r="C427" s="86">
        <v>1.0</v>
      </c>
      <c r="D427" s="86">
        <v>10.0</v>
      </c>
      <c r="E427" s="86"/>
      <c r="F427" s="86" t="s">
        <v>74</v>
      </c>
      <c r="G427" s="86"/>
      <c r="H427" s="86">
        <v>2000.0</v>
      </c>
      <c r="I427" s="185">
        <v>46154.0</v>
      </c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</row>
    <row r="428" ht="15.75" customHeight="1">
      <c r="A428" s="184">
        <v>46079.90275498843</v>
      </c>
      <c r="B428" s="86" t="s">
        <v>76</v>
      </c>
      <c r="C428" s="86">
        <v>1.0</v>
      </c>
      <c r="D428" s="86">
        <v>15.0</v>
      </c>
      <c r="E428" s="86"/>
      <c r="F428" s="86" t="s">
        <v>74</v>
      </c>
      <c r="G428" s="86"/>
      <c r="H428" s="86">
        <v>2000.0</v>
      </c>
      <c r="I428" s="185">
        <v>46122.0</v>
      </c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</row>
    <row r="429" ht="15.75" customHeight="1">
      <c r="A429" s="184">
        <v>46079.95430232639</v>
      </c>
      <c r="B429" s="86" t="s">
        <v>644</v>
      </c>
      <c r="C429" s="86">
        <v>1.0</v>
      </c>
      <c r="D429" s="86">
        <v>6.0</v>
      </c>
      <c r="E429" s="86"/>
      <c r="F429" s="86"/>
      <c r="G429" s="86"/>
      <c r="H429" s="86">
        <v>7000.0</v>
      </c>
      <c r="I429" s="185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</row>
    <row r="430" ht="15.75" customHeight="1">
      <c r="A430" s="184">
        <v>46079.96317203704</v>
      </c>
      <c r="B430" s="86" t="s">
        <v>544</v>
      </c>
      <c r="C430" s="86">
        <v>1.0</v>
      </c>
      <c r="D430" s="86">
        <v>9.0</v>
      </c>
      <c r="E430" s="86"/>
      <c r="F430" s="86" t="s">
        <v>74</v>
      </c>
      <c r="G430" s="86"/>
      <c r="H430" s="86">
        <v>7200.0</v>
      </c>
      <c r="I430" s="185">
        <v>46232.0</v>
      </c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</row>
    <row r="431" ht="15.75" customHeight="1">
      <c r="A431" s="184">
        <v>46079.96387446759</v>
      </c>
      <c r="B431" s="86" t="s">
        <v>536</v>
      </c>
      <c r="C431" s="86">
        <v>1.0</v>
      </c>
      <c r="D431" s="86">
        <v>8.0</v>
      </c>
      <c r="E431" s="86"/>
      <c r="F431" s="86" t="s">
        <v>74</v>
      </c>
      <c r="G431" s="86"/>
      <c r="H431" s="86">
        <v>6500.0</v>
      </c>
      <c r="I431" s="185">
        <v>46197.0</v>
      </c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</row>
    <row r="432" ht="15.75" customHeight="1">
      <c r="A432" s="184">
        <v>46079.96476315973</v>
      </c>
      <c r="B432" s="86" t="s">
        <v>2026</v>
      </c>
      <c r="C432" s="86">
        <v>1.0</v>
      </c>
      <c r="D432" s="86">
        <v>28.0</v>
      </c>
      <c r="E432" s="86"/>
      <c r="F432" s="86" t="s">
        <v>74</v>
      </c>
      <c r="G432" s="86"/>
      <c r="H432" s="86">
        <v>3000.0</v>
      </c>
      <c r="I432" s="185">
        <v>46116.0</v>
      </c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</row>
    <row r="433" ht="15.75" customHeight="1">
      <c r="A433" s="184">
        <v>46079.96523412037</v>
      </c>
      <c r="B433" s="86" t="s">
        <v>2027</v>
      </c>
      <c r="C433" s="86">
        <v>1.0</v>
      </c>
      <c r="D433" s="86">
        <v>3.0</v>
      </c>
      <c r="E433" s="86"/>
      <c r="F433" s="86" t="s">
        <v>74</v>
      </c>
      <c r="G433" s="86"/>
      <c r="H433" s="86">
        <v>3200.0</v>
      </c>
      <c r="I433" s="185">
        <v>46123.0</v>
      </c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</row>
    <row r="434" ht="15.75" customHeight="1">
      <c r="A434" s="184">
        <v>46079.9657191088</v>
      </c>
      <c r="B434" s="86" t="s">
        <v>570</v>
      </c>
      <c r="C434" s="86">
        <v>1.0</v>
      </c>
      <c r="D434" s="86">
        <v>4.0</v>
      </c>
      <c r="E434" s="86"/>
      <c r="F434" s="86" t="s">
        <v>74</v>
      </c>
      <c r="G434" s="86"/>
      <c r="H434" s="86">
        <v>3200.0</v>
      </c>
      <c r="I434" s="185">
        <v>46085.0</v>
      </c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</row>
    <row r="435" ht="15.75" customHeight="1">
      <c r="A435" s="184">
        <v>46079.9665733912</v>
      </c>
      <c r="B435" s="86" t="s">
        <v>1008</v>
      </c>
      <c r="C435" s="86">
        <v>1.0</v>
      </c>
      <c r="D435" s="86">
        <v>9.0</v>
      </c>
      <c r="E435" s="86"/>
      <c r="F435" s="86" t="s">
        <v>74</v>
      </c>
      <c r="G435" s="86"/>
      <c r="H435" s="86">
        <v>7000.0</v>
      </c>
      <c r="I435" s="185">
        <v>46096.0</v>
      </c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</row>
    <row r="436" ht="15.75" customHeight="1">
      <c r="A436" s="184">
        <v>46080.21309748843</v>
      </c>
      <c r="B436" s="86" t="s">
        <v>1211</v>
      </c>
      <c r="C436" s="86">
        <v>1.0</v>
      </c>
      <c r="D436" s="86">
        <v>0.0</v>
      </c>
      <c r="E436" s="86"/>
      <c r="F436" s="86"/>
      <c r="G436" s="86"/>
      <c r="H436" s="86">
        <v>9000.0</v>
      </c>
      <c r="I436" s="185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</row>
    <row r="437" ht="15.75" customHeight="1">
      <c r="A437" s="184">
        <v>46080.21761821759</v>
      </c>
      <c r="B437" s="86" t="s">
        <v>121</v>
      </c>
      <c r="C437" s="86">
        <v>1.0</v>
      </c>
      <c r="D437" s="86">
        <v>10.0</v>
      </c>
      <c r="E437" s="86"/>
      <c r="F437" s="86"/>
      <c r="G437" s="86"/>
      <c r="H437" s="86"/>
      <c r="I437" s="185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</row>
    <row r="438" ht="15.75" customHeight="1">
      <c r="A438" s="184">
        <v>46080.21869847222</v>
      </c>
      <c r="B438" s="86" t="s">
        <v>674</v>
      </c>
      <c r="C438" s="86">
        <v>1.0</v>
      </c>
      <c r="D438" s="86">
        <v>2.0</v>
      </c>
      <c r="E438" s="86"/>
      <c r="F438" s="86"/>
      <c r="G438" s="86"/>
      <c r="H438" s="86"/>
      <c r="I438" s="185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</row>
    <row r="439" ht="15.75" customHeight="1">
      <c r="A439" s="184">
        <v>46080.21987414352</v>
      </c>
      <c r="B439" s="86" t="s">
        <v>145</v>
      </c>
      <c r="C439" s="86">
        <v>1.0</v>
      </c>
      <c r="D439" s="86">
        <v>10.0</v>
      </c>
      <c r="E439" s="86"/>
      <c r="F439" s="86"/>
      <c r="G439" s="86"/>
      <c r="H439" s="86"/>
      <c r="I439" s="185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</row>
    <row r="440" ht="15.75" customHeight="1">
      <c r="A440" s="184">
        <v>46080.2206409375</v>
      </c>
      <c r="B440" s="86" t="s">
        <v>770</v>
      </c>
      <c r="C440" s="86">
        <v>1.0</v>
      </c>
      <c r="D440" s="86">
        <v>1.0</v>
      </c>
      <c r="E440" s="86"/>
      <c r="F440" s="86"/>
      <c r="G440" s="86"/>
      <c r="H440" s="86">
        <v>5000.0</v>
      </c>
      <c r="I440" s="185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</row>
    <row r="441" ht="15.75" customHeight="1">
      <c r="A441" s="184">
        <v>46080.50051908565</v>
      </c>
      <c r="B441" s="86" t="s">
        <v>731</v>
      </c>
      <c r="C441" s="86">
        <v>1.0</v>
      </c>
      <c r="D441" s="86">
        <v>1.0</v>
      </c>
      <c r="E441" s="86"/>
      <c r="F441" s="86"/>
      <c r="G441" s="86"/>
      <c r="H441" s="86">
        <v>3000.0</v>
      </c>
      <c r="I441" s="185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</row>
    <row r="442" ht="15.75" customHeight="1">
      <c r="A442" s="184">
        <v>46080.51902408565</v>
      </c>
      <c r="B442" s="86" t="s">
        <v>707</v>
      </c>
      <c r="C442" s="86">
        <v>1.0</v>
      </c>
      <c r="D442" s="86">
        <v>0.0</v>
      </c>
      <c r="E442" s="86"/>
      <c r="F442" s="86"/>
      <c r="G442" s="86"/>
      <c r="H442" s="86">
        <v>2000.0</v>
      </c>
      <c r="I442" s="185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</row>
    <row r="443" ht="15.75" customHeight="1">
      <c r="A443" s="184">
        <v>46080.51902408565</v>
      </c>
      <c r="B443" s="86" t="s">
        <v>711</v>
      </c>
      <c r="C443" s="86">
        <v>1.0</v>
      </c>
      <c r="D443" s="86">
        <v>1.0</v>
      </c>
      <c r="E443" s="86"/>
      <c r="F443" s="86"/>
      <c r="G443" s="86"/>
      <c r="H443" s="86">
        <v>2500.0</v>
      </c>
      <c r="I443" s="185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</row>
    <row r="444" ht="15.75" customHeight="1">
      <c r="A444" s="184">
        <v>46080.51902408565</v>
      </c>
      <c r="B444" s="86" t="s">
        <v>731</v>
      </c>
      <c r="C444" s="86">
        <v>1.0</v>
      </c>
      <c r="D444" s="86">
        <v>0.0</v>
      </c>
      <c r="E444" s="86"/>
      <c r="F444" s="86"/>
      <c r="G444" s="86"/>
      <c r="H444" s="86">
        <v>3000.0</v>
      </c>
      <c r="I444" s="185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</row>
    <row r="445" ht="15.75" customHeight="1">
      <c r="A445" s="184">
        <v>46080.54837284722</v>
      </c>
      <c r="B445" s="86" t="s">
        <v>2020</v>
      </c>
      <c r="C445" s="86">
        <v>1.0</v>
      </c>
      <c r="D445" s="86">
        <v>6.0</v>
      </c>
      <c r="E445" s="86"/>
      <c r="F445" s="86"/>
      <c r="G445" s="86"/>
      <c r="H445" s="86"/>
      <c r="I445" s="185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</row>
    <row r="446" ht="15.75" customHeight="1">
      <c r="A446" s="184">
        <v>46080.54930047454</v>
      </c>
      <c r="B446" s="86" t="s">
        <v>2021</v>
      </c>
      <c r="C446" s="86">
        <v>1.0</v>
      </c>
      <c r="D446" s="86">
        <v>0.0</v>
      </c>
      <c r="E446" s="86"/>
      <c r="F446" s="86"/>
      <c r="G446" s="86"/>
      <c r="H446" s="86"/>
      <c r="I446" s="185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</row>
    <row r="447" ht="15.75" customHeight="1">
      <c r="A447" s="184">
        <v>46080.54967324074</v>
      </c>
      <c r="B447" s="86" t="s">
        <v>2028</v>
      </c>
      <c r="C447" s="86">
        <v>1.0</v>
      </c>
      <c r="D447" s="86">
        <v>9.0</v>
      </c>
      <c r="E447" s="86"/>
      <c r="F447" s="86"/>
      <c r="G447" s="86"/>
      <c r="H447" s="86"/>
      <c r="I447" s="185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</row>
    <row r="448" ht="15.75" customHeight="1">
      <c r="A448" s="184">
        <v>46080.55015944444</v>
      </c>
      <c r="B448" s="86" t="s">
        <v>2029</v>
      </c>
      <c r="C448" s="86">
        <v>1.0</v>
      </c>
      <c r="D448" s="86">
        <v>8.0</v>
      </c>
      <c r="E448" s="86"/>
      <c r="F448" s="86"/>
      <c r="G448" s="86"/>
      <c r="H448" s="86"/>
      <c r="I448" s="185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</row>
    <row r="449" ht="15.75" customHeight="1">
      <c r="A449" s="184">
        <v>46080.55060453703</v>
      </c>
      <c r="B449" s="86" t="s">
        <v>2030</v>
      </c>
      <c r="C449" s="86">
        <v>1.0</v>
      </c>
      <c r="D449" s="86">
        <v>6.0</v>
      </c>
      <c r="E449" s="86"/>
      <c r="F449" s="86"/>
      <c r="G449" s="86"/>
      <c r="H449" s="86"/>
      <c r="I449" s="185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</row>
    <row r="450" ht="15.75" customHeight="1">
      <c r="A450" s="184">
        <v>46080.55115262731</v>
      </c>
      <c r="B450" s="86" t="s">
        <v>2031</v>
      </c>
      <c r="C450" s="86">
        <v>1.0</v>
      </c>
      <c r="D450" s="86">
        <v>4.0</v>
      </c>
      <c r="E450" s="86"/>
      <c r="F450" s="86"/>
      <c r="G450" s="86"/>
      <c r="H450" s="86"/>
      <c r="I450" s="185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</row>
    <row r="451" ht="15.75" customHeight="1">
      <c r="A451" s="184">
        <v>46080.55214637732</v>
      </c>
      <c r="B451" s="86" t="s">
        <v>2032</v>
      </c>
      <c r="C451" s="86">
        <v>1.0</v>
      </c>
      <c r="D451" s="86">
        <v>2.0</v>
      </c>
      <c r="E451" s="86"/>
      <c r="F451" s="86"/>
      <c r="G451" s="86"/>
      <c r="H451" s="86"/>
      <c r="I451" s="185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</row>
    <row r="452" ht="15.75" customHeight="1">
      <c r="A452" s="184">
        <v>46080.5526040625</v>
      </c>
      <c r="B452" s="86" t="s">
        <v>2017</v>
      </c>
      <c r="C452" s="86">
        <v>1.0</v>
      </c>
      <c r="D452" s="86">
        <v>0.0</v>
      </c>
      <c r="E452" s="86"/>
      <c r="F452" s="86"/>
      <c r="G452" s="86"/>
      <c r="H452" s="86"/>
      <c r="I452" s="185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</row>
    <row r="453" ht="15.75" customHeight="1">
      <c r="A453" s="184">
        <v>46080.55347059028</v>
      </c>
      <c r="B453" s="86" t="s">
        <v>871</v>
      </c>
      <c r="C453" s="86">
        <v>1.0</v>
      </c>
      <c r="D453" s="86">
        <v>3.0</v>
      </c>
      <c r="E453" s="86"/>
      <c r="F453" s="86"/>
      <c r="G453" s="86"/>
      <c r="H453" s="86">
        <v>1600.0</v>
      </c>
      <c r="I453" s="185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</row>
    <row r="454" ht="15.75" customHeight="1">
      <c r="A454" s="184">
        <v>46080.56064745371</v>
      </c>
      <c r="B454" s="86" t="s">
        <v>1314</v>
      </c>
      <c r="C454" s="86">
        <v>1.0</v>
      </c>
      <c r="D454" s="86">
        <v>2.0</v>
      </c>
      <c r="E454" s="86"/>
      <c r="F454" s="86"/>
      <c r="G454" s="86"/>
      <c r="H454" s="86"/>
      <c r="I454" s="185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</row>
    <row r="455" ht="15.75" customHeight="1">
      <c r="A455" s="184">
        <v>46080.56087077547</v>
      </c>
      <c r="B455" s="86" t="s">
        <v>1515</v>
      </c>
      <c r="C455" s="86">
        <v>1.0</v>
      </c>
      <c r="D455" s="86">
        <v>2.0</v>
      </c>
      <c r="E455" s="86"/>
      <c r="F455" s="86"/>
      <c r="G455" s="86"/>
      <c r="H455" s="86">
        <v>2000.0</v>
      </c>
      <c r="I455" s="185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</row>
    <row r="456" ht="15.75" customHeight="1">
      <c r="A456" s="184">
        <v>46080.68195040509</v>
      </c>
      <c r="B456" s="86" t="s">
        <v>1518</v>
      </c>
      <c r="C456" s="86">
        <v>1.0</v>
      </c>
      <c r="D456" s="86">
        <v>1.0</v>
      </c>
      <c r="E456" s="86"/>
      <c r="F456" s="86"/>
      <c r="G456" s="86"/>
      <c r="H456" s="86">
        <v>15999.0</v>
      </c>
      <c r="I456" s="185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</row>
    <row r="457" ht="15.75" customHeight="1">
      <c r="A457" s="184">
        <v>46080.71888241898</v>
      </c>
      <c r="B457" s="86" t="s">
        <v>1339</v>
      </c>
      <c r="C457" s="86">
        <v>1.0</v>
      </c>
      <c r="D457" s="86">
        <v>1.0</v>
      </c>
      <c r="E457" s="86"/>
      <c r="F457" s="86"/>
      <c r="G457" s="86"/>
      <c r="H457" s="86"/>
      <c r="I457" s="185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</row>
    <row r="458" ht="15.75" customHeight="1">
      <c r="A458" s="184">
        <v>46080.71911099537</v>
      </c>
      <c r="B458" s="86" t="s">
        <v>1338</v>
      </c>
      <c r="C458" s="86">
        <v>1.0</v>
      </c>
      <c r="D458" s="86">
        <v>1.0</v>
      </c>
      <c r="E458" s="86"/>
      <c r="F458" s="86"/>
      <c r="G458" s="86"/>
      <c r="H458" s="86"/>
      <c r="I458" s="185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</row>
    <row r="459" ht="15.75" customHeight="1">
      <c r="A459" s="184">
        <v>46080.72407221065</v>
      </c>
      <c r="B459" s="86" t="s">
        <v>431</v>
      </c>
      <c r="C459" s="86">
        <v>1.0</v>
      </c>
      <c r="D459" s="86">
        <v>0.0</v>
      </c>
      <c r="E459" s="86"/>
      <c r="F459" s="86"/>
      <c r="G459" s="86"/>
      <c r="H459" s="86">
        <v>2000.0</v>
      </c>
      <c r="I459" s="185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</row>
    <row r="460" ht="15.75" customHeight="1">
      <c r="A460" s="184">
        <v>46080.72407221065</v>
      </c>
      <c r="B460" s="86" t="s">
        <v>624</v>
      </c>
      <c r="C460" s="86">
        <v>1.0</v>
      </c>
      <c r="D460" s="86">
        <v>23.0</v>
      </c>
      <c r="E460" s="86"/>
      <c r="F460" s="86"/>
      <c r="G460" s="86"/>
      <c r="H460" s="86">
        <v>1800.0</v>
      </c>
      <c r="I460" s="185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</row>
    <row r="461" ht="15.75" customHeight="1">
      <c r="A461" s="184">
        <v>46080.72407221065</v>
      </c>
      <c r="B461" s="86" t="s">
        <v>180</v>
      </c>
      <c r="C461" s="86">
        <v>1.0</v>
      </c>
      <c r="D461" s="86">
        <v>0.0</v>
      </c>
      <c r="E461" s="86"/>
      <c r="F461" s="86"/>
      <c r="G461" s="86"/>
      <c r="H461" s="86">
        <v>600.0</v>
      </c>
      <c r="I461" s="185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</row>
    <row r="462" ht="15.75" customHeight="1">
      <c r="A462" s="184">
        <v>46080.72407221065</v>
      </c>
      <c r="B462" s="86" t="s">
        <v>1207</v>
      </c>
      <c r="C462" s="86">
        <v>1.0</v>
      </c>
      <c r="D462" s="86">
        <v>0.0</v>
      </c>
      <c r="E462" s="86"/>
      <c r="F462" s="86"/>
      <c r="G462" s="86"/>
      <c r="H462" s="86">
        <v>600.0</v>
      </c>
      <c r="I462" s="185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</row>
    <row r="463" ht="15.75" customHeight="1">
      <c r="A463" s="184">
        <v>46080.72442636574</v>
      </c>
      <c r="B463" s="86" t="s">
        <v>1207</v>
      </c>
      <c r="C463" s="86">
        <v>1.0</v>
      </c>
      <c r="D463" s="86">
        <v>4.0</v>
      </c>
      <c r="E463" s="86"/>
      <c r="F463" s="86"/>
      <c r="G463" s="86"/>
      <c r="H463" s="86"/>
      <c r="I463" s="185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</row>
    <row r="464" ht="15.75" customHeight="1">
      <c r="A464" s="184">
        <v>46080.72554438657</v>
      </c>
      <c r="B464" s="86" t="s">
        <v>721</v>
      </c>
      <c r="C464" s="86">
        <v>1.0</v>
      </c>
      <c r="D464" s="86">
        <v>3.0</v>
      </c>
      <c r="E464" s="86"/>
      <c r="F464" s="86"/>
      <c r="G464" s="86"/>
      <c r="H464" s="86">
        <v>4500.0</v>
      </c>
      <c r="I464" s="185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</row>
    <row r="465" ht="15.75" customHeight="1">
      <c r="A465" s="184">
        <v>46080.72554438657</v>
      </c>
      <c r="B465" s="86" t="s">
        <v>478</v>
      </c>
      <c r="C465" s="86">
        <v>1.0</v>
      </c>
      <c r="D465" s="86">
        <v>11.0</v>
      </c>
      <c r="E465" s="86"/>
      <c r="F465" s="86"/>
      <c r="G465" s="86"/>
      <c r="H465" s="86">
        <v>4500.0</v>
      </c>
      <c r="I465" s="185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</row>
    <row r="466" ht="15.75" customHeight="1">
      <c r="A466" s="184">
        <v>46080.72554438657</v>
      </c>
      <c r="B466" s="86" t="s">
        <v>501</v>
      </c>
      <c r="C466" s="86">
        <v>1.0</v>
      </c>
      <c r="D466" s="86">
        <v>1.0</v>
      </c>
      <c r="E466" s="86"/>
      <c r="F466" s="86"/>
      <c r="G466" s="86"/>
      <c r="H466" s="86">
        <v>1000.0</v>
      </c>
      <c r="I466" s="185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</row>
    <row r="467" ht="15.75" customHeight="1">
      <c r="A467" s="184">
        <v>46080.73611961806</v>
      </c>
      <c r="B467" s="86" t="s">
        <v>1340</v>
      </c>
      <c r="C467" s="86">
        <v>1.0</v>
      </c>
      <c r="D467" s="86">
        <v>2.0</v>
      </c>
      <c r="E467" s="86"/>
      <c r="F467" s="86"/>
      <c r="G467" s="86"/>
      <c r="H467" s="86"/>
      <c r="I467" s="185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</row>
    <row r="468" ht="15.75" customHeight="1">
      <c r="A468" s="184">
        <v>46080.73662537037</v>
      </c>
      <c r="B468" s="86" t="s">
        <v>1497</v>
      </c>
      <c r="C468" s="86">
        <v>1.0</v>
      </c>
      <c r="D468" s="86">
        <v>3.0</v>
      </c>
      <c r="E468" s="86"/>
      <c r="F468" s="86"/>
      <c r="G468" s="86"/>
      <c r="H468" s="86"/>
      <c r="I468" s="185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</row>
    <row r="469" ht="15.75" customHeight="1">
      <c r="A469" s="184">
        <v>46080.7371788426</v>
      </c>
      <c r="B469" s="86" t="s">
        <v>1479</v>
      </c>
      <c r="C469" s="86">
        <v>1.0</v>
      </c>
      <c r="D469" s="86">
        <v>0.0</v>
      </c>
      <c r="E469" s="86"/>
      <c r="F469" s="86"/>
      <c r="G469" s="86"/>
      <c r="H469" s="86"/>
      <c r="I469" s="185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</row>
    <row r="470" ht="15.75" customHeight="1">
      <c r="A470" s="184">
        <v>46080.73830694445</v>
      </c>
      <c r="B470" s="86" t="s">
        <v>959</v>
      </c>
      <c r="C470" s="86">
        <v>1.0</v>
      </c>
      <c r="D470" s="86">
        <v>0.0</v>
      </c>
      <c r="E470" s="86"/>
      <c r="F470" s="86"/>
      <c r="G470" s="86"/>
      <c r="H470" s="86"/>
      <c r="I470" s="185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</row>
    <row r="471" ht="15.75" customHeight="1">
      <c r="A471" s="184">
        <v>46080.74286943287</v>
      </c>
      <c r="B471" s="86" t="s">
        <v>493</v>
      </c>
      <c r="C471" s="86">
        <v>1.0</v>
      </c>
      <c r="D471" s="86">
        <v>1.0</v>
      </c>
      <c r="E471" s="86"/>
      <c r="F471" s="86"/>
      <c r="G471" s="86"/>
      <c r="H471" s="86"/>
      <c r="I471" s="185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</row>
    <row r="472" ht="15.75" customHeight="1">
      <c r="A472" s="184">
        <v>46080.74322975695</v>
      </c>
      <c r="B472" s="86" t="s">
        <v>1002</v>
      </c>
      <c r="C472" s="86">
        <v>1.0</v>
      </c>
      <c r="D472" s="86">
        <v>0.0</v>
      </c>
      <c r="E472" s="86"/>
      <c r="F472" s="86"/>
      <c r="G472" s="86"/>
      <c r="H472" s="86"/>
      <c r="I472" s="185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</row>
    <row r="473" ht="15.75" customHeight="1">
      <c r="A473" s="184">
        <v>46080.74340269676</v>
      </c>
      <c r="B473" s="86" t="s">
        <v>1000</v>
      </c>
      <c r="C473" s="86">
        <v>1.0</v>
      </c>
      <c r="D473" s="86">
        <v>0.0</v>
      </c>
      <c r="E473" s="86"/>
      <c r="F473" s="86"/>
      <c r="G473" s="86"/>
      <c r="H473" s="86"/>
      <c r="I473" s="185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</row>
    <row r="474" ht="15.75" customHeight="1">
      <c r="A474" s="184">
        <v>46080.74367973379</v>
      </c>
      <c r="B474" s="86" t="s">
        <v>160</v>
      </c>
      <c r="C474" s="86">
        <v>1.0</v>
      </c>
      <c r="D474" s="86">
        <v>9.0</v>
      </c>
      <c r="E474" s="86"/>
      <c r="F474" s="86"/>
      <c r="G474" s="86"/>
      <c r="H474" s="86"/>
      <c r="I474" s="185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</row>
    <row r="475" ht="15.75" customHeight="1">
      <c r="A475" s="184">
        <v>46080.74795425926</v>
      </c>
      <c r="B475" s="86" t="s">
        <v>646</v>
      </c>
      <c r="C475" s="86">
        <v>1.0</v>
      </c>
      <c r="D475" s="86">
        <v>1.0</v>
      </c>
      <c r="E475" s="86"/>
      <c r="F475" s="86"/>
      <c r="G475" s="86"/>
      <c r="H475" s="86"/>
      <c r="I475" s="185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</row>
    <row r="476" ht="15.75" customHeight="1">
      <c r="A476" s="184">
        <v>46080.74824954861</v>
      </c>
      <c r="B476" s="86" t="s">
        <v>646</v>
      </c>
      <c r="C476" s="86">
        <v>1.0</v>
      </c>
      <c r="D476" s="86">
        <v>0.0</v>
      </c>
      <c r="E476" s="86"/>
      <c r="F476" s="86"/>
      <c r="G476" s="86"/>
      <c r="H476" s="86">
        <v>3500.0</v>
      </c>
      <c r="I476" s="185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</row>
    <row r="477" ht="15.75" customHeight="1">
      <c r="A477" s="184">
        <v>46080.77062533564</v>
      </c>
      <c r="B477" s="86" t="s">
        <v>66</v>
      </c>
      <c r="C477" s="86">
        <v>1.0</v>
      </c>
      <c r="D477" s="86">
        <v>18.0</v>
      </c>
      <c r="E477" s="86"/>
      <c r="F477" s="86" t="s">
        <v>42</v>
      </c>
      <c r="G477" s="86"/>
      <c r="H477" s="86">
        <v>2500.0</v>
      </c>
      <c r="I477" s="185">
        <v>46153.0</v>
      </c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</row>
    <row r="478" ht="15.75" customHeight="1">
      <c r="A478" s="184">
        <v>46080.77317239583</v>
      </c>
      <c r="B478" s="86" t="s">
        <v>358</v>
      </c>
      <c r="C478" s="86">
        <v>1.0</v>
      </c>
      <c r="D478" s="86">
        <v>90.0</v>
      </c>
      <c r="E478" s="86"/>
      <c r="F478" s="86" t="s">
        <v>42</v>
      </c>
      <c r="G478" s="86">
        <v>1400.0</v>
      </c>
      <c r="H478" s="86">
        <v>3600.0</v>
      </c>
      <c r="I478" s="185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</row>
    <row r="479" ht="15.75" customHeight="1">
      <c r="A479" s="184">
        <v>46080.78231359953</v>
      </c>
      <c r="B479" s="86" t="s">
        <v>61</v>
      </c>
      <c r="C479" s="86">
        <v>1.0</v>
      </c>
      <c r="D479" s="86">
        <v>20.0</v>
      </c>
      <c r="E479" s="86"/>
      <c r="F479" s="86"/>
      <c r="G479" s="86"/>
      <c r="H479" s="86">
        <v>600.0</v>
      </c>
      <c r="I479" s="185">
        <v>46220.0</v>
      </c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</row>
    <row r="480" ht="15.75" customHeight="1">
      <c r="A480" s="184">
        <v>46080.79219028935</v>
      </c>
      <c r="B480" s="86" t="s">
        <v>604</v>
      </c>
      <c r="C480" s="86">
        <v>1.0</v>
      </c>
      <c r="D480" s="86">
        <v>6.0</v>
      </c>
      <c r="E480" s="86"/>
      <c r="F480" s="86"/>
      <c r="G480" s="86"/>
      <c r="H480" s="86">
        <v>2200.0</v>
      </c>
      <c r="I480" s="185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</row>
    <row r="481" ht="15.75" customHeight="1">
      <c r="A481" s="184">
        <v>46080.79256519676</v>
      </c>
      <c r="B481" s="86" t="s">
        <v>607</v>
      </c>
      <c r="C481" s="86">
        <v>1.0</v>
      </c>
      <c r="D481" s="86">
        <v>4.0</v>
      </c>
      <c r="E481" s="86"/>
      <c r="F481" s="86"/>
      <c r="G481" s="86"/>
      <c r="H481" s="86">
        <v>1600.0</v>
      </c>
      <c r="I481" s="185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</row>
    <row r="482" ht="15.75" customHeight="1">
      <c r="A482" s="184">
        <v>46080.79917943287</v>
      </c>
      <c r="B482" s="86" t="s">
        <v>187</v>
      </c>
      <c r="C482" s="86">
        <v>1.0</v>
      </c>
      <c r="D482" s="86">
        <v>6.0</v>
      </c>
      <c r="E482" s="86"/>
      <c r="F482" s="86"/>
      <c r="G482" s="86"/>
      <c r="H482" s="86">
        <v>900.0</v>
      </c>
      <c r="I482" s="185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</row>
    <row r="483" ht="15.75" customHeight="1">
      <c r="A483" s="184">
        <v>46080.79932511574</v>
      </c>
      <c r="B483" s="86" t="s">
        <v>187</v>
      </c>
      <c r="C483" s="86">
        <v>1.0</v>
      </c>
      <c r="D483" s="86">
        <v>7.0</v>
      </c>
      <c r="E483" s="86"/>
      <c r="F483" s="86"/>
      <c r="G483" s="86"/>
      <c r="H483" s="86"/>
      <c r="I483" s="185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</row>
    <row r="484" ht="15.75" customHeight="1">
      <c r="A484" s="184">
        <v>46080.80892686343</v>
      </c>
      <c r="B484" s="86" t="s">
        <v>1529</v>
      </c>
      <c r="C484" s="86">
        <v>1.0</v>
      </c>
      <c r="D484" s="86">
        <v>2.0</v>
      </c>
      <c r="E484" s="86"/>
      <c r="F484" s="86"/>
      <c r="G484" s="86"/>
      <c r="H484" s="86">
        <v>2500.0</v>
      </c>
      <c r="I484" s="185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</row>
    <row r="485" ht="15.75" customHeight="1">
      <c r="A485" s="184">
        <v>46080.80892686343</v>
      </c>
      <c r="B485" s="86" t="s">
        <v>594</v>
      </c>
      <c r="C485" s="86">
        <v>1.0</v>
      </c>
      <c r="D485" s="86">
        <v>3.0</v>
      </c>
      <c r="E485" s="86"/>
      <c r="F485" s="86"/>
      <c r="G485" s="86"/>
      <c r="H485" s="86">
        <v>2500.0</v>
      </c>
      <c r="I485" s="185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</row>
    <row r="486" ht="15.75" customHeight="1">
      <c r="A486" s="184">
        <v>46080.80892686343</v>
      </c>
      <c r="B486" s="86" t="s">
        <v>195</v>
      </c>
      <c r="C486" s="86">
        <v>1.0</v>
      </c>
      <c r="D486" s="86">
        <v>15.0</v>
      </c>
      <c r="E486" s="86"/>
      <c r="F486" s="86"/>
      <c r="G486" s="86"/>
      <c r="H486" s="86">
        <v>2200.0</v>
      </c>
      <c r="I486" s="185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</row>
    <row r="487" ht="15.75" customHeight="1">
      <c r="A487" s="184">
        <v>46080.80892686343</v>
      </c>
      <c r="B487" s="86" t="s">
        <v>713</v>
      </c>
      <c r="C487" s="86">
        <v>1.0</v>
      </c>
      <c r="D487" s="86">
        <v>5.0</v>
      </c>
      <c r="E487" s="86"/>
      <c r="F487" s="86"/>
      <c r="G487" s="86"/>
      <c r="H487" s="86">
        <v>3000.0</v>
      </c>
      <c r="I487" s="185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</row>
    <row r="488" ht="15.75" customHeight="1">
      <c r="A488" s="184">
        <v>46080.82500153935</v>
      </c>
      <c r="B488" s="86" t="s">
        <v>1211</v>
      </c>
      <c r="C488" s="86">
        <v>1.0</v>
      </c>
      <c r="D488" s="86">
        <v>1.0</v>
      </c>
      <c r="E488" s="86"/>
      <c r="F488" s="86"/>
      <c r="G488" s="86"/>
      <c r="H488" s="86"/>
      <c r="I488" s="185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</row>
    <row r="489" ht="15.75" customHeight="1">
      <c r="A489" s="184">
        <v>46080.83165442129</v>
      </c>
      <c r="B489" s="86" t="s">
        <v>749</v>
      </c>
      <c r="C489" s="86">
        <v>1.0</v>
      </c>
      <c r="D489" s="86">
        <v>0.0</v>
      </c>
      <c r="E489" s="86"/>
      <c r="F489" s="86"/>
      <c r="G489" s="86"/>
      <c r="H489" s="86"/>
      <c r="I489" s="185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</row>
    <row r="490" ht="15.75" customHeight="1">
      <c r="A490" s="184">
        <v>46080.83238635417</v>
      </c>
      <c r="B490" s="86" t="s">
        <v>619</v>
      </c>
      <c r="C490" s="86">
        <v>1.0</v>
      </c>
      <c r="D490" s="86">
        <v>3.0</v>
      </c>
      <c r="E490" s="86"/>
      <c r="F490" s="86"/>
      <c r="G490" s="86"/>
      <c r="H490" s="86"/>
      <c r="I490" s="185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</row>
    <row r="491" ht="15.75" customHeight="1">
      <c r="A491" s="184">
        <v>46080.83288094908</v>
      </c>
      <c r="B491" s="86" t="s">
        <v>749</v>
      </c>
      <c r="C491" s="86">
        <v>1.0</v>
      </c>
      <c r="D491" s="86">
        <v>1.0</v>
      </c>
      <c r="E491" s="86"/>
      <c r="F491" s="86"/>
      <c r="G491" s="86"/>
      <c r="H491" s="86"/>
      <c r="I491" s="185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</row>
    <row r="492" ht="15.75" customHeight="1">
      <c r="A492" s="184">
        <v>46080.83378855324</v>
      </c>
      <c r="B492" s="86" t="s">
        <v>749</v>
      </c>
      <c r="C492" s="86">
        <v>1.0</v>
      </c>
      <c r="D492" s="86">
        <v>0.0</v>
      </c>
      <c r="E492" s="86"/>
      <c r="F492" s="86"/>
      <c r="G492" s="86"/>
      <c r="H492" s="86">
        <v>4000.0</v>
      </c>
      <c r="I492" s="185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</row>
    <row r="493" ht="15.75" customHeight="1">
      <c r="A493" s="184">
        <v>46080.83641859954</v>
      </c>
      <c r="B493" s="86" t="s">
        <v>398</v>
      </c>
      <c r="C493" s="86">
        <v>1.0</v>
      </c>
      <c r="D493" s="86">
        <v>2.0</v>
      </c>
      <c r="E493" s="86"/>
      <c r="F493" s="86"/>
      <c r="G493" s="86"/>
      <c r="H493" s="86"/>
      <c r="I493" s="185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</row>
    <row r="494" ht="15.75" customHeight="1">
      <c r="A494" s="184">
        <v>46080.83708398148</v>
      </c>
      <c r="B494" s="86" t="s">
        <v>2033</v>
      </c>
      <c r="C494" s="86">
        <v>1.0</v>
      </c>
      <c r="D494" s="86">
        <v>5.0</v>
      </c>
      <c r="E494" s="86"/>
      <c r="F494" s="86"/>
      <c r="G494" s="86"/>
      <c r="H494" s="86"/>
      <c r="I494" s="185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</row>
    <row r="495" ht="15.75" customHeight="1">
      <c r="A495" s="184">
        <v>46080.83875449074</v>
      </c>
      <c r="B495" s="86" t="s">
        <v>1534</v>
      </c>
      <c r="C495" s="86">
        <v>1.0</v>
      </c>
      <c r="D495" s="86">
        <v>2.0</v>
      </c>
      <c r="E495" s="86"/>
      <c r="F495" s="86"/>
      <c r="G495" s="86"/>
      <c r="H495" s="86">
        <v>3300.0</v>
      </c>
      <c r="I495" s="185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</row>
    <row r="496" ht="15.75" customHeight="1">
      <c r="A496" s="184">
        <v>46080.83875449074</v>
      </c>
      <c r="B496" s="86" t="s">
        <v>1535</v>
      </c>
      <c r="C496" s="86">
        <v>1.0</v>
      </c>
      <c r="D496" s="86">
        <v>5.0</v>
      </c>
      <c r="E496" s="86"/>
      <c r="F496" s="86"/>
      <c r="G496" s="86"/>
      <c r="H496" s="86">
        <v>3495.0</v>
      </c>
      <c r="I496" s="185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</row>
    <row r="497" ht="15.75" customHeight="1">
      <c r="A497" s="184">
        <v>46080.83875449074</v>
      </c>
      <c r="B497" s="86" t="s">
        <v>1235</v>
      </c>
      <c r="C497" s="86">
        <v>1.0</v>
      </c>
      <c r="D497" s="86">
        <v>3.0</v>
      </c>
      <c r="E497" s="86"/>
      <c r="F497" s="86"/>
      <c r="G497" s="86"/>
      <c r="H497" s="86">
        <v>4500.0</v>
      </c>
      <c r="I497" s="185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</row>
    <row r="498" ht="15.75" customHeight="1">
      <c r="A498" s="184">
        <v>46080.8399803588</v>
      </c>
      <c r="B498" s="86" t="s">
        <v>1347</v>
      </c>
      <c r="C498" s="86">
        <v>1.0</v>
      </c>
      <c r="D498" s="86">
        <v>8.0</v>
      </c>
      <c r="E498" s="86"/>
      <c r="F498" s="86"/>
      <c r="G498" s="86"/>
      <c r="H498" s="86">
        <v>6700.0</v>
      </c>
      <c r="I498" s="185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</row>
    <row r="499" ht="15.75" customHeight="1">
      <c r="A499" s="184">
        <v>46080.840951875</v>
      </c>
      <c r="B499" s="86" t="s">
        <v>536</v>
      </c>
      <c r="C499" s="86">
        <v>1.0</v>
      </c>
      <c r="D499" s="86">
        <v>6.0</v>
      </c>
      <c r="E499" s="86"/>
      <c r="F499" s="86"/>
      <c r="G499" s="86"/>
      <c r="H499" s="86">
        <v>6700.0</v>
      </c>
      <c r="I499" s="185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</row>
    <row r="500" ht="15.75" customHeight="1">
      <c r="A500" s="184">
        <v>46080.840951875</v>
      </c>
      <c r="B500" s="86" t="s">
        <v>893</v>
      </c>
      <c r="C500" s="86">
        <v>1.0</v>
      </c>
      <c r="D500" s="86">
        <v>2.0</v>
      </c>
      <c r="E500" s="86"/>
      <c r="F500" s="86"/>
      <c r="G500" s="86"/>
      <c r="H500" s="86">
        <v>4500.0</v>
      </c>
      <c r="I500" s="185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</row>
    <row r="501" ht="15.75" customHeight="1">
      <c r="A501" s="184">
        <v>46080.840951875</v>
      </c>
      <c r="B501" s="86" t="s">
        <v>1538</v>
      </c>
      <c r="C501" s="86">
        <v>1.0</v>
      </c>
      <c r="D501" s="86">
        <v>2.0</v>
      </c>
      <c r="E501" s="86"/>
      <c r="F501" s="86"/>
      <c r="G501" s="86"/>
      <c r="H501" s="86">
        <v>2220.0</v>
      </c>
      <c r="I501" s="185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</row>
    <row r="502" ht="15.75" customHeight="1">
      <c r="A502" s="184">
        <v>46080.84336791667</v>
      </c>
      <c r="B502" s="86" t="s">
        <v>721</v>
      </c>
      <c r="C502" s="86">
        <v>1.0</v>
      </c>
      <c r="D502" s="86">
        <v>2.0</v>
      </c>
      <c r="E502" s="86"/>
      <c r="F502" s="86"/>
      <c r="G502" s="86"/>
      <c r="H502" s="86">
        <v>4500.0</v>
      </c>
      <c r="I502" s="185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</row>
    <row r="503" ht="15.75" customHeight="1">
      <c r="A503" s="184">
        <v>46080.84336791667</v>
      </c>
      <c r="B503" s="86" t="s">
        <v>633</v>
      </c>
      <c r="C503" s="86">
        <v>1.0</v>
      </c>
      <c r="D503" s="86">
        <v>3.0</v>
      </c>
      <c r="E503" s="86"/>
      <c r="F503" s="86"/>
      <c r="G503" s="86"/>
      <c r="H503" s="86">
        <v>2000.0</v>
      </c>
      <c r="I503" s="185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</row>
    <row r="504" ht="15.75" customHeight="1">
      <c r="A504" s="184">
        <v>46080.84336791667</v>
      </c>
      <c r="B504" s="86" t="s">
        <v>215</v>
      </c>
      <c r="C504" s="86">
        <v>1.0</v>
      </c>
      <c r="D504" s="86">
        <v>11.0</v>
      </c>
      <c r="E504" s="86"/>
      <c r="F504" s="86"/>
      <c r="G504" s="86"/>
      <c r="H504" s="86">
        <v>1500.0</v>
      </c>
      <c r="I504" s="185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</row>
    <row r="505" ht="15.75" customHeight="1">
      <c r="A505" s="184">
        <v>46080.84656489583</v>
      </c>
      <c r="B505" s="86" t="s">
        <v>702</v>
      </c>
      <c r="C505" s="86">
        <v>1.0</v>
      </c>
      <c r="D505" s="86">
        <v>0.0</v>
      </c>
      <c r="E505" s="86"/>
      <c r="F505" s="86"/>
      <c r="G505" s="86"/>
      <c r="H505" s="86">
        <v>10000.0</v>
      </c>
      <c r="I505" s="185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</row>
    <row r="506" ht="15.75" customHeight="1">
      <c r="A506" s="184">
        <v>46080.86251518519</v>
      </c>
      <c r="B506" s="86" t="s">
        <v>642</v>
      </c>
      <c r="C506" s="86">
        <v>1.0</v>
      </c>
      <c r="D506" s="86">
        <v>9.0</v>
      </c>
      <c r="E506" s="86"/>
      <c r="F506" s="86"/>
      <c r="G506" s="86"/>
      <c r="H506" s="86"/>
      <c r="I506" s="185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</row>
    <row r="507" ht="15.75" customHeight="1">
      <c r="A507" s="184">
        <v>46080.86283861111</v>
      </c>
      <c r="B507" s="86" t="s">
        <v>642</v>
      </c>
      <c r="C507" s="86">
        <v>1.0</v>
      </c>
      <c r="D507" s="86">
        <v>11.0</v>
      </c>
      <c r="E507" s="86"/>
      <c r="F507" s="86"/>
      <c r="G507" s="86"/>
      <c r="H507" s="86"/>
      <c r="I507" s="185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</row>
    <row r="508" ht="15.75" customHeight="1">
      <c r="A508" s="184">
        <v>46080.86331709491</v>
      </c>
      <c r="B508" s="86" t="s">
        <v>1307</v>
      </c>
      <c r="C508" s="86">
        <v>1.0</v>
      </c>
      <c r="D508" s="86">
        <v>8.0</v>
      </c>
      <c r="E508" s="86"/>
      <c r="F508" s="86"/>
      <c r="G508" s="86"/>
      <c r="H508" s="86">
        <v>7200.0</v>
      </c>
      <c r="I508" s="185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</row>
    <row r="509" ht="15.75" customHeight="1">
      <c r="A509" s="184">
        <v>46080.86331709491</v>
      </c>
      <c r="B509" s="86" t="s">
        <v>1042</v>
      </c>
      <c r="C509" s="86">
        <v>1.0</v>
      </c>
      <c r="D509" s="86">
        <v>2.0</v>
      </c>
      <c r="E509" s="86"/>
      <c r="F509" s="86"/>
      <c r="G509" s="86"/>
      <c r="H509" s="86">
        <v>3000.0</v>
      </c>
      <c r="I509" s="185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</row>
    <row r="510" ht="15.75" customHeight="1">
      <c r="A510" s="184">
        <v>46080.86331709491</v>
      </c>
      <c r="B510" s="86" t="s">
        <v>666</v>
      </c>
      <c r="C510" s="86">
        <v>1.0</v>
      </c>
      <c r="D510" s="86">
        <v>2.0</v>
      </c>
      <c r="E510" s="86"/>
      <c r="F510" s="86"/>
      <c r="G510" s="86"/>
      <c r="H510" s="86">
        <v>1500.0</v>
      </c>
      <c r="I510" s="185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</row>
    <row r="511" ht="15.75" customHeight="1">
      <c r="A511" s="184">
        <v>46080.86331709491</v>
      </c>
      <c r="B511" s="86" t="s">
        <v>642</v>
      </c>
      <c r="C511" s="86">
        <v>1.0</v>
      </c>
      <c r="D511" s="86">
        <v>9.0</v>
      </c>
      <c r="E511" s="86"/>
      <c r="F511" s="86"/>
      <c r="G511" s="86"/>
      <c r="H511" s="86">
        <v>4000.0</v>
      </c>
      <c r="I511" s="185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</row>
    <row r="512" ht="15.75" customHeight="1">
      <c r="A512" s="184">
        <v>46080.91795741898</v>
      </c>
      <c r="B512" s="86" t="s">
        <v>2034</v>
      </c>
      <c r="C512" s="86">
        <v>1.0</v>
      </c>
      <c r="D512" s="86">
        <v>2.0</v>
      </c>
      <c r="E512" s="86"/>
      <c r="F512" s="86"/>
      <c r="G512" s="86"/>
      <c r="H512" s="86">
        <v>3400.0</v>
      </c>
      <c r="I512" s="185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</row>
    <row r="513" ht="15.75" customHeight="1">
      <c r="A513" s="184">
        <v>46080.91845084491</v>
      </c>
      <c r="B513" s="86" t="s">
        <v>2035</v>
      </c>
      <c r="C513" s="86">
        <v>1.0</v>
      </c>
      <c r="D513" s="86">
        <v>4.0</v>
      </c>
      <c r="E513" s="86"/>
      <c r="F513" s="86"/>
      <c r="G513" s="86"/>
      <c r="H513" s="86"/>
      <c r="I513" s="185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</row>
    <row r="514" ht="15.75" customHeight="1">
      <c r="A514" s="184">
        <v>46080.91914070602</v>
      </c>
      <c r="B514" s="86" t="s">
        <v>2035</v>
      </c>
      <c r="C514" s="86">
        <v>1.0</v>
      </c>
      <c r="D514" s="86">
        <v>4.0</v>
      </c>
      <c r="E514" s="86"/>
      <c r="F514" s="86"/>
      <c r="G514" s="86"/>
      <c r="H514" s="86"/>
      <c r="I514" s="185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</row>
    <row r="515" ht="15.75" customHeight="1">
      <c r="A515" s="184">
        <v>46080.92002091435</v>
      </c>
      <c r="B515" s="86" t="s">
        <v>2018</v>
      </c>
      <c r="C515" s="86">
        <v>1.0</v>
      </c>
      <c r="D515" s="86">
        <v>10.0</v>
      </c>
      <c r="E515" s="86"/>
      <c r="F515" s="86"/>
      <c r="G515" s="86"/>
      <c r="H515" s="86"/>
      <c r="I515" s="185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</row>
    <row r="516" ht="15.75" customHeight="1">
      <c r="A516" s="184">
        <v>46080.92276943287</v>
      </c>
      <c r="B516" s="86" t="s">
        <v>1547</v>
      </c>
      <c r="C516" s="86">
        <v>1.0</v>
      </c>
      <c r="D516" s="86">
        <v>4.0</v>
      </c>
      <c r="E516" s="86"/>
      <c r="F516" s="86"/>
      <c r="G516" s="86"/>
      <c r="H516" s="86">
        <v>1170.0</v>
      </c>
      <c r="I516" s="185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</row>
    <row r="517" ht="15.75" customHeight="1">
      <c r="A517" s="184">
        <v>46080.92276943287</v>
      </c>
      <c r="B517" s="86" t="s">
        <v>534</v>
      </c>
      <c r="C517" s="86">
        <v>1.0</v>
      </c>
      <c r="D517" s="86">
        <v>1.0</v>
      </c>
      <c r="E517" s="86"/>
      <c r="F517" s="86"/>
      <c r="G517" s="86"/>
      <c r="H517" s="86">
        <v>3400.0</v>
      </c>
      <c r="I517" s="185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</row>
    <row r="518" ht="15.75" customHeight="1">
      <c r="A518" s="184">
        <v>46080.92276943287</v>
      </c>
      <c r="B518" s="86" t="s">
        <v>536</v>
      </c>
      <c r="C518" s="86">
        <v>1.0</v>
      </c>
      <c r="D518" s="86">
        <v>5.0</v>
      </c>
      <c r="E518" s="86"/>
      <c r="F518" s="86"/>
      <c r="G518" s="86"/>
      <c r="H518" s="86">
        <v>6700.0</v>
      </c>
      <c r="I518" s="185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</row>
    <row r="519" ht="15.75" customHeight="1">
      <c r="A519" s="184">
        <v>46080.92276943287</v>
      </c>
      <c r="B519" s="86" t="s">
        <v>1548</v>
      </c>
      <c r="C519" s="86">
        <v>1.0</v>
      </c>
      <c r="D519" s="86">
        <v>2.0</v>
      </c>
      <c r="E519" s="86"/>
      <c r="F519" s="86"/>
      <c r="G519" s="86"/>
      <c r="H519" s="86">
        <v>1625.0</v>
      </c>
      <c r="I519" s="185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</row>
    <row r="520" ht="15.75" customHeight="1">
      <c r="A520" s="184">
        <v>46080.92276943287</v>
      </c>
      <c r="B520" s="86" t="s">
        <v>1549</v>
      </c>
      <c r="C520" s="86">
        <v>1.0</v>
      </c>
      <c r="D520" s="86">
        <v>10.0</v>
      </c>
      <c r="E520" s="86"/>
      <c r="F520" s="86"/>
      <c r="G520" s="86"/>
      <c r="H520" s="86">
        <v>803.0</v>
      </c>
      <c r="I520" s="185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</row>
    <row r="521" ht="15.75" customHeight="1">
      <c r="A521" s="184">
        <v>46080.92276943287</v>
      </c>
      <c r="B521" s="86" t="s">
        <v>1550</v>
      </c>
      <c r="C521" s="86">
        <v>1.0</v>
      </c>
      <c r="D521" s="86">
        <v>1.0</v>
      </c>
      <c r="E521" s="86"/>
      <c r="F521" s="86"/>
      <c r="G521" s="86"/>
      <c r="H521" s="86">
        <v>1855.0</v>
      </c>
      <c r="I521" s="185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</row>
    <row r="522" ht="15.75" customHeight="1">
      <c r="A522" s="184">
        <v>46080.92276943287</v>
      </c>
      <c r="B522" s="86" t="s">
        <v>715</v>
      </c>
      <c r="C522" s="86">
        <v>1.0</v>
      </c>
      <c r="D522" s="86">
        <v>3.0</v>
      </c>
      <c r="E522" s="86"/>
      <c r="F522" s="86"/>
      <c r="G522" s="86"/>
      <c r="H522" s="86">
        <v>1600.0</v>
      </c>
      <c r="I522" s="185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</row>
    <row r="523" ht="15.75" customHeight="1">
      <c r="A523" s="184">
        <v>46080.92276943287</v>
      </c>
      <c r="B523" s="86" t="s">
        <v>1048</v>
      </c>
      <c r="C523" s="86">
        <v>1.0</v>
      </c>
      <c r="D523" s="86">
        <v>3.0</v>
      </c>
      <c r="E523" s="86"/>
      <c r="F523" s="86"/>
      <c r="G523" s="86"/>
      <c r="H523" s="86">
        <v>2500.0</v>
      </c>
      <c r="I523" s="185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</row>
    <row r="524" ht="15.75" customHeight="1">
      <c r="A524" s="184">
        <v>46080.92276943287</v>
      </c>
      <c r="B524" s="86" t="s">
        <v>66</v>
      </c>
      <c r="C524" s="86">
        <v>1.0</v>
      </c>
      <c r="D524" s="86">
        <v>16.0</v>
      </c>
      <c r="E524" s="86"/>
      <c r="F524" s="86"/>
      <c r="G524" s="86"/>
      <c r="H524" s="86">
        <v>2500.0</v>
      </c>
      <c r="I524" s="185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</row>
    <row r="525" ht="15.75" customHeight="1">
      <c r="A525" s="184">
        <v>46081.48302516204</v>
      </c>
      <c r="B525" s="86" t="s">
        <v>757</v>
      </c>
      <c r="C525" s="86">
        <v>1.0</v>
      </c>
      <c r="D525" s="86">
        <v>1.0</v>
      </c>
      <c r="E525" s="86"/>
      <c r="F525" s="86"/>
      <c r="G525" s="86"/>
      <c r="H525" s="86"/>
      <c r="I525" s="185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</row>
    <row r="526" ht="15.75" customHeight="1">
      <c r="A526" s="184">
        <v>46081.56237195602</v>
      </c>
      <c r="B526" s="86" t="s">
        <v>1553</v>
      </c>
      <c r="C526" s="86">
        <v>1.0</v>
      </c>
      <c r="D526" s="86">
        <v>7.0</v>
      </c>
      <c r="E526" s="86"/>
      <c r="F526" s="86"/>
      <c r="G526" s="86"/>
      <c r="H526" s="86">
        <v>7000.0</v>
      </c>
      <c r="I526" s="185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</row>
    <row r="527" ht="15.75" customHeight="1">
      <c r="A527" s="184">
        <v>46081.56237195602</v>
      </c>
      <c r="B527" s="86" t="s">
        <v>207</v>
      </c>
      <c r="C527" s="86">
        <v>1.0</v>
      </c>
      <c r="D527" s="86">
        <v>0.0</v>
      </c>
      <c r="E527" s="86"/>
      <c r="F527" s="86"/>
      <c r="G527" s="86"/>
      <c r="H527" s="86">
        <v>3000.0</v>
      </c>
      <c r="I527" s="185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</row>
    <row r="528" ht="15.75" customHeight="1">
      <c r="A528" s="184">
        <v>46081.56237195602</v>
      </c>
      <c r="B528" s="86" t="s">
        <v>195</v>
      </c>
      <c r="C528" s="86">
        <v>1.0</v>
      </c>
      <c r="D528" s="86">
        <v>14.0</v>
      </c>
      <c r="E528" s="86"/>
      <c r="F528" s="86"/>
      <c r="G528" s="86"/>
      <c r="H528" s="86">
        <v>2200.0</v>
      </c>
      <c r="I528" s="185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</row>
    <row r="529" ht="15.75" customHeight="1">
      <c r="A529" s="184">
        <v>46081.56237195602</v>
      </c>
      <c r="B529" s="86" t="s">
        <v>415</v>
      </c>
      <c r="C529" s="86">
        <v>1.0</v>
      </c>
      <c r="D529" s="86">
        <v>6.0</v>
      </c>
      <c r="E529" s="86"/>
      <c r="F529" s="86"/>
      <c r="G529" s="86"/>
      <c r="H529" s="86">
        <v>2000.0</v>
      </c>
      <c r="I529" s="185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</row>
    <row r="530" ht="15.75" customHeight="1">
      <c r="A530" s="184">
        <v>46081.56237195602</v>
      </c>
      <c r="B530" s="86" t="s">
        <v>1275</v>
      </c>
      <c r="C530" s="86">
        <v>1.0</v>
      </c>
      <c r="D530" s="86">
        <v>1.0</v>
      </c>
      <c r="E530" s="86"/>
      <c r="F530" s="86"/>
      <c r="G530" s="86"/>
      <c r="H530" s="86">
        <v>1000.0</v>
      </c>
      <c r="I530" s="185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</row>
    <row r="531" ht="15.75" customHeight="1">
      <c r="A531" s="184">
        <v>46081.60473268518</v>
      </c>
      <c r="B531" s="86" t="s">
        <v>528</v>
      </c>
      <c r="C531" s="86">
        <v>1.0</v>
      </c>
      <c r="D531" s="86">
        <v>0.0</v>
      </c>
      <c r="E531" s="86"/>
      <c r="F531" s="86"/>
      <c r="G531" s="86"/>
      <c r="H531" s="86"/>
      <c r="I531" s="185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</row>
    <row r="532" ht="15.75" customHeight="1">
      <c r="A532" s="184">
        <v>46081.62008703704</v>
      </c>
      <c r="B532" s="86" t="s">
        <v>1553</v>
      </c>
      <c r="C532" s="86">
        <v>1.0</v>
      </c>
      <c r="D532" s="86">
        <v>0.0</v>
      </c>
      <c r="E532" s="86"/>
      <c r="F532" s="86"/>
      <c r="G532" s="86"/>
      <c r="H532" s="86"/>
      <c r="I532" s="185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</row>
    <row r="533" ht="15.75" customHeight="1">
      <c r="A533" s="184">
        <v>46081.63909092593</v>
      </c>
      <c r="B533" s="86" t="s">
        <v>45</v>
      </c>
      <c r="C533" s="86">
        <v>1.0</v>
      </c>
      <c r="D533" s="86">
        <v>22.0</v>
      </c>
      <c r="E533" s="86"/>
      <c r="F533" s="86"/>
      <c r="G533" s="86"/>
      <c r="H533" s="86"/>
      <c r="I533" s="185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</row>
    <row r="534" ht="15.75" customHeight="1">
      <c r="A534" s="184">
        <v>46081.64511378473</v>
      </c>
      <c r="B534" s="86" t="s">
        <v>2036</v>
      </c>
      <c r="C534" s="86">
        <v>1.0</v>
      </c>
      <c r="D534" s="86">
        <v>3.0</v>
      </c>
      <c r="E534" s="86"/>
      <c r="F534" s="86"/>
      <c r="G534" s="86"/>
      <c r="H534" s="86"/>
      <c r="I534" s="185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</row>
    <row r="535" ht="15.75" customHeight="1">
      <c r="A535" s="184">
        <v>46081.64598759259</v>
      </c>
      <c r="B535" s="86" t="s">
        <v>1556</v>
      </c>
      <c r="C535" s="86">
        <v>1.0</v>
      </c>
      <c r="D535" s="86">
        <v>2.0</v>
      </c>
      <c r="E535" s="86"/>
      <c r="F535" s="86"/>
      <c r="G535" s="86"/>
      <c r="H535" s="86">
        <v>1800.0</v>
      </c>
      <c r="I535" s="185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</row>
    <row r="536" ht="15.75" customHeight="1">
      <c r="A536" s="184">
        <v>46081.64598759259</v>
      </c>
      <c r="B536" s="86" t="s">
        <v>1557</v>
      </c>
      <c r="C536" s="86">
        <v>1.0</v>
      </c>
      <c r="D536" s="86">
        <v>3.0</v>
      </c>
      <c r="E536" s="86"/>
      <c r="F536" s="86"/>
      <c r="G536" s="86"/>
      <c r="H536" s="86">
        <v>4218.0</v>
      </c>
      <c r="I536" s="185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</row>
    <row r="537" ht="15.75" customHeight="1">
      <c r="A537" s="184">
        <v>46081.64598759259</v>
      </c>
      <c r="B537" s="86" t="s">
        <v>1275</v>
      </c>
      <c r="C537" s="86">
        <v>1.0</v>
      </c>
      <c r="D537" s="86">
        <v>0.0</v>
      </c>
      <c r="E537" s="86"/>
      <c r="F537" s="86"/>
      <c r="G537" s="86"/>
      <c r="H537" s="86">
        <v>1000.0</v>
      </c>
      <c r="I537" s="185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</row>
    <row r="538" ht="15.75" customHeight="1">
      <c r="A538" s="184">
        <v>46081.64826115741</v>
      </c>
      <c r="B538" s="86" t="s">
        <v>264</v>
      </c>
      <c r="C538" s="86">
        <v>1.0</v>
      </c>
      <c r="D538" s="86">
        <v>3.0</v>
      </c>
      <c r="E538" s="86"/>
      <c r="F538" s="86"/>
      <c r="G538" s="86"/>
      <c r="H538" s="86">
        <v>3500.0</v>
      </c>
      <c r="I538" s="185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</row>
    <row r="539" ht="15.75" customHeight="1">
      <c r="A539" s="184">
        <v>46081.64826115741</v>
      </c>
      <c r="B539" s="86" t="s">
        <v>76</v>
      </c>
      <c r="C539" s="86">
        <v>1.0</v>
      </c>
      <c r="D539" s="86">
        <v>14.0</v>
      </c>
      <c r="E539" s="86"/>
      <c r="F539" s="86"/>
      <c r="G539" s="86"/>
      <c r="H539" s="86">
        <v>2000.0</v>
      </c>
      <c r="I539" s="185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</row>
    <row r="540" ht="15.75" customHeight="1">
      <c r="A540" s="184">
        <v>46081.64968420139</v>
      </c>
      <c r="B540" s="86" t="s">
        <v>72</v>
      </c>
      <c r="C540" s="86">
        <v>1.0</v>
      </c>
      <c r="D540" s="86">
        <v>6.0</v>
      </c>
      <c r="E540" s="86"/>
      <c r="F540" s="86"/>
      <c r="G540" s="86"/>
      <c r="H540" s="86"/>
      <c r="I540" s="185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</row>
    <row r="541" ht="15.75" customHeight="1">
      <c r="A541" s="184">
        <v>46081.65229842593</v>
      </c>
      <c r="B541" s="86" t="s">
        <v>933</v>
      </c>
      <c r="C541" s="86">
        <v>1.0</v>
      </c>
      <c r="D541" s="86">
        <v>0.0</v>
      </c>
      <c r="E541" s="86"/>
      <c r="F541" s="86"/>
      <c r="G541" s="86"/>
      <c r="H541" s="86"/>
      <c r="I541" s="185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</row>
    <row r="542" ht="15.75" customHeight="1">
      <c r="A542" s="184">
        <v>46081.65313914352</v>
      </c>
      <c r="B542" s="86" t="s">
        <v>933</v>
      </c>
      <c r="C542" s="86">
        <v>1.0</v>
      </c>
      <c r="D542" s="86">
        <v>1.0</v>
      </c>
      <c r="E542" s="86"/>
      <c r="F542" s="86"/>
      <c r="G542" s="86"/>
      <c r="H542" s="86"/>
      <c r="I542" s="185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</row>
    <row r="543" ht="15.75" customHeight="1">
      <c r="A543" s="184">
        <v>46081.68783789352</v>
      </c>
      <c r="B543" s="86" t="s">
        <v>356</v>
      </c>
      <c r="C543" s="86">
        <v>1.0</v>
      </c>
      <c r="D543" s="86">
        <v>13.0</v>
      </c>
      <c r="E543" s="86"/>
      <c r="F543" s="86"/>
      <c r="G543" s="86"/>
      <c r="H543" s="86"/>
      <c r="I543" s="185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</row>
    <row r="544" ht="15.75" customHeight="1">
      <c r="A544" s="184">
        <v>46081.68935553241</v>
      </c>
      <c r="B544" s="86" t="s">
        <v>356</v>
      </c>
      <c r="C544" s="86">
        <v>1.0</v>
      </c>
      <c r="D544" s="86">
        <v>9.0</v>
      </c>
      <c r="E544" s="86"/>
      <c r="F544" s="86"/>
      <c r="G544" s="86"/>
      <c r="H544" s="86">
        <v>3500.0</v>
      </c>
      <c r="I544" s="185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</row>
    <row r="545" ht="15.75" customHeight="1">
      <c r="A545" s="184">
        <v>46081.69642777778</v>
      </c>
      <c r="B545" s="86" t="s">
        <v>1564</v>
      </c>
      <c r="C545" s="86">
        <v>1.0</v>
      </c>
      <c r="D545" s="86">
        <v>2.0</v>
      </c>
      <c r="E545" s="86"/>
      <c r="F545" s="86"/>
      <c r="G545" s="86"/>
      <c r="H545" s="86">
        <v>4000.0</v>
      </c>
      <c r="I545" s="185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</row>
    <row r="546" ht="15.75" customHeight="1">
      <c r="A546" s="184">
        <v>46081.69642777778</v>
      </c>
      <c r="B546" s="86" t="s">
        <v>572</v>
      </c>
      <c r="C546" s="86">
        <v>1.0</v>
      </c>
      <c r="D546" s="86">
        <v>0.0</v>
      </c>
      <c r="E546" s="86"/>
      <c r="F546" s="86"/>
      <c r="G546" s="86"/>
      <c r="H546" s="86">
        <v>3200.0</v>
      </c>
      <c r="I546" s="185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</row>
    <row r="547" ht="15.75" customHeight="1">
      <c r="A547" s="184">
        <v>46081.70107618056</v>
      </c>
      <c r="B547" s="86" t="s">
        <v>497</v>
      </c>
      <c r="C547" s="86">
        <v>1.0</v>
      </c>
      <c r="D547" s="86">
        <v>9.0</v>
      </c>
      <c r="E547" s="86"/>
      <c r="F547" s="86" t="s">
        <v>147</v>
      </c>
      <c r="G547" s="86">
        <v>500.0</v>
      </c>
      <c r="H547" s="86">
        <v>800.0</v>
      </c>
      <c r="I547" s="185">
        <v>46365.0</v>
      </c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</row>
    <row r="548" ht="15.75" customHeight="1">
      <c r="A548" s="184">
        <v>46081.70132304398</v>
      </c>
      <c r="B548" s="86" t="s">
        <v>631</v>
      </c>
      <c r="C548" s="86">
        <v>1.0</v>
      </c>
      <c r="D548" s="86">
        <v>21.0</v>
      </c>
      <c r="E548" s="86"/>
      <c r="F548" s="86"/>
      <c r="G548" s="86"/>
      <c r="H548" s="86">
        <v>2500.0</v>
      </c>
      <c r="I548" s="185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</row>
    <row r="549" ht="15.75" customHeight="1">
      <c r="A549" s="184">
        <v>46081.70157435185</v>
      </c>
      <c r="B549" s="86" t="s">
        <v>495</v>
      </c>
      <c r="C549" s="86">
        <v>1.0</v>
      </c>
      <c r="D549" s="86">
        <v>9.0</v>
      </c>
      <c r="E549" s="86"/>
      <c r="F549" s="86"/>
      <c r="G549" s="86"/>
      <c r="H549" s="86">
        <v>800.0</v>
      </c>
      <c r="I549" s="185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</row>
    <row r="550" ht="15.75" customHeight="1">
      <c r="A550" s="184">
        <v>46081.70365377315</v>
      </c>
      <c r="B550" s="86" t="s">
        <v>1275</v>
      </c>
      <c r="C550" s="86">
        <v>1.0</v>
      </c>
      <c r="D550" s="86">
        <v>9.0</v>
      </c>
      <c r="E550" s="86"/>
      <c r="F550" s="86"/>
      <c r="G550" s="86"/>
      <c r="H550" s="86"/>
      <c r="I550" s="185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</row>
    <row r="551" ht="15.75" customHeight="1">
      <c r="A551" s="184">
        <v>46081.70393131945</v>
      </c>
      <c r="B551" s="86" t="s">
        <v>1275</v>
      </c>
      <c r="C551" s="86">
        <v>1.0</v>
      </c>
      <c r="D551" s="86">
        <v>8.0</v>
      </c>
      <c r="E551" s="86"/>
      <c r="F551" s="86"/>
      <c r="G551" s="86"/>
      <c r="H551" s="86">
        <v>1000.0</v>
      </c>
      <c r="I551" s="185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</row>
    <row r="552" ht="15.75" customHeight="1">
      <c r="A552" s="184">
        <v>46081.70454145833</v>
      </c>
      <c r="B552" s="86" t="s">
        <v>897</v>
      </c>
      <c r="C552" s="86">
        <v>1.0</v>
      </c>
      <c r="D552" s="86">
        <v>1.0</v>
      </c>
      <c r="E552" s="86"/>
      <c r="F552" s="86" t="s">
        <v>147</v>
      </c>
      <c r="G552" s="86">
        <v>500.0</v>
      </c>
      <c r="H552" s="86">
        <v>800.0</v>
      </c>
      <c r="I552" s="185">
        <v>46323.0</v>
      </c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</row>
    <row r="553" ht="15.75" customHeight="1">
      <c r="A553" s="184">
        <v>46081.7058897338</v>
      </c>
      <c r="B553" s="86" t="s">
        <v>213</v>
      </c>
      <c r="C553" s="86">
        <v>1.0</v>
      </c>
      <c r="D553" s="86">
        <v>5.0</v>
      </c>
      <c r="E553" s="86"/>
      <c r="F553" s="86" t="s">
        <v>147</v>
      </c>
      <c r="G553" s="86">
        <v>1500.0</v>
      </c>
      <c r="H553" s="86">
        <v>3300.0</v>
      </c>
      <c r="I553" s="185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</row>
    <row r="554" ht="15.75" customHeight="1">
      <c r="A554" s="184">
        <v>46081.72394809028</v>
      </c>
      <c r="B554" s="86" t="s">
        <v>1279</v>
      </c>
      <c r="C554" s="86">
        <v>1.0</v>
      </c>
      <c r="D554" s="86">
        <v>26.0</v>
      </c>
      <c r="E554" s="86"/>
      <c r="F554" s="86"/>
      <c r="G554" s="86"/>
      <c r="H554" s="86"/>
      <c r="I554" s="185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</row>
    <row r="555" ht="15.75" customHeight="1">
      <c r="A555" s="184">
        <v>46081.7295396875</v>
      </c>
      <c r="B555" s="86" t="s">
        <v>705</v>
      </c>
      <c r="C555" s="86">
        <v>1.0</v>
      </c>
      <c r="D555" s="86">
        <v>5.0</v>
      </c>
      <c r="E555" s="86"/>
      <c r="F555" s="86"/>
      <c r="G555" s="86"/>
      <c r="H555" s="86">
        <v>2500.0</v>
      </c>
      <c r="I555" s="185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</row>
    <row r="556" ht="15.75" customHeight="1">
      <c r="A556" s="184">
        <v>46081.7295396875</v>
      </c>
      <c r="B556" s="86" t="s">
        <v>127</v>
      </c>
      <c r="C556" s="86">
        <v>1.0</v>
      </c>
      <c r="D556" s="86">
        <v>1.0</v>
      </c>
      <c r="E556" s="86"/>
      <c r="F556" s="86"/>
      <c r="G556" s="86"/>
      <c r="H556" s="86">
        <v>3000.0</v>
      </c>
      <c r="I556" s="185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</row>
    <row r="557" ht="15.75" customHeight="1">
      <c r="A557" s="184">
        <v>46081.7295396875</v>
      </c>
      <c r="B557" s="86" t="s">
        <v>594</v>
      </c>
      <c r="C557" s="86">
        <v>1.0</v>
      </c>
      <c r="D557" s="86">
        <v>2.0</v>
      </c>
      <c r="E557" s="86"/>
      <c r="F557" s="86"/>
      <c r="G557" s="86"/>
      <c r="H557" s="86">
        <v>2500.0</v>
      </c>
      <c r="I557" s="185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</row>
    <row r="558" ht="15.75" customHeight="1">
      <c r="A558" s="184">
        <v>46081.7295396875</v>
      </c>
      <c r="B558" s="86" t="s">
        <v>747</v>
      </c>
      <c r="C558" s="86">
        <v>1.0</v>
      </c>
      <c r="D558" s="86">
        <v>0.0</v>
      </c>
      <c r="E558" s="86"/>
      <c r="F558" s="86"/>
      <c r="G558" s="86"/>
      <c r="H558" s="86">
        <v>6000.0</v>
      </c>
      <c r="I558" s="185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</row>
    <row r="559" ht="15.75" customHeight="1">
      <c r="A559" s="184">
        <v>46081.7295396875</v>
      </c>
      <c r="B559" s="86" t="s">
        <v>596</v>
      </c>
      <c r="C559" s="86">
        <v>1.0</v>
      </c>
      <c r="D559" s="86">
        <v>1.0</v>
      </c>
      <c r="E559" s="86"/>
      <c r="F559" s="86"/>
      <c r="G559" s="86"/>
      <c r="H559" s="86">
        <v>4500.0</v>
      </c>
      <c r="I559" s="185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</row>
    <row r="560" ht="15.75" customHeight="1">
      <c r="A560" s="184">
        <v>46081.7295396875</v>
      </c>
      <c r="B560" s="86" t="s">
        <v>743</v>
      </c>
      <c r="C560" s="86">
        <v>1.0</v>
      </c>
      <c r="D560" s="86">
        <v>0.0</v>
      </c>
      <c r="E560" s="86"/>
      <c r="F560" s="86"/>
      <c r="G560" s="86"/>
      <c r="H560" s="86">
        <v>3000.0</v>
      </c>
      <c r="I560" s="185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</row>
    <row r="561" ht="15.75" customHeight="1">
      <c r="A561" s="184">
        <v>46081.77785684028</v>
      </c>
      <c r="B561" s="86" t="s">
        <v>1277</v>
      </c>
      <c r="C561" s="86">
        <v>1.0</v>
      </c>
      <c r="D561" s="86">
        <v>6.0</v>
      </c>
      <c r="E561" s="86"/>
      <c r="F561" s="86"/>
      <c r="G561" s="86"/>
      <c r="H561" s="86">
        <v>4300.0</v>
      </c>
      <c r="I561" s="185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</row>
    <row r="562" ht="15.75" customHeight="1">
      <c r="A562" s="184">
        <v>46081.77785684028</v>
      </c>
      <c r="B562" s="86" t="s">
        <v>360</v>
      </c>
      <c r="C562" s="86">
        <v>1.0</v>
      </c>
      <c r="D562" s="86">
        <v>16.0</v>
      </c>
      <c r="E562" s="86"/>
      <c r="F562" s="86"/>
      <c r="G562" s="86"/>
      <c r="H562" s="86">
        <v>2000.0</v>
      </c>
      <c r="I562" s="185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</row>
    <row r="563" ht="15.75" customHeight="1">
      <c r="A563" s="184">
        <v>46081.77785684028</v>
      </c>
      <c r="B563" s="86" t="s">
        <v>1575</v>
      </c>
      <c r="C563" s="86">
        <v>1.0</v>
      </c>
      <c r="D563" s="86">
        <v>2.0</v>
      </c>
      <c r="E563" s="86"/>
      <c r="F563" s="86"/>
      <c r="G563" s="86"/>
      <c r="H563" s="86">
        <v>2160.0</v>
      </c>
      <c r="I563" s="185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</row>
    <row r="564" ht="15.75" customHeight="1">
      <c r="A564" s="184">
        <v>46081.77785684028</v>
      </c>
      <c r="B564" s="86" t="s">
        <v>629</v>
      </c>
      <c r="C564" s="86">
        <v>1.0</v>
      </c>
      <c r="D564" s="86">
        <v>23.0</v>
      </c>
      <c r="E564" s="86"/>
      <c r="F564" s="86"/>
      <c r="G564" s="86"/>
      <c r="H564" s="86">
        <v>2000.0</v>
      </c>
      <c r="I564" s="185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</row>
    <row r="565" ht="15.75" customHeight="1">
      <c r="A565" s="184">
        <v>46081.77897185185</v>
      </c>
      <c r="B565" s="86" t="s">
        <v>72</v>
      </c>
      <c r="C565" s="86">
        <v>1.0</v>
      </c>
      <c r="D565" s="86">
        <v>5.0</v>
      </c>
      <c r="E565" s="86"/>
      <c r="F565" s="86"/>
      <c r="G565" s="86"/>
      <c r="H565" s="86">
        <v>2000.0</v>
      </c>
      <c r="I565" s="185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</row>
    <row r="566" ht="15.75" customHeight="1">
      <c r="A566" s="184">
        <v>46081.7928237963</v>
      </c>
      <c r="B566" s="86" t="s">
        <v>2037</v>
      </c>
      <c r="C566" s="86">
        <v>1.0</v>
      </c>
      <c r="D566" s="86">
        <v>1.0</v>
      </c>
      <c r="E566" s="86"/>
      <c r="F566" s="86"/>
      <c r="G566" s="86"/>
      <c r="H566" s="86"/>
      <c r="I566" s="185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</row>
    <row r="567" ht="15.75" customHeight="1">
      <c r="A567" s="184">
        <v>46081.81928445602</v>
      </c>
      <c r="B567" s="86" t="s">
        <v>594</v>
      </c>
      <c r="C567" s="86">
        <v>1.0</v>
      </c>
      <c r="D567" s="86">
        <v>1.0</v>
      </c>
      <c r="E567" s="86"/>
      <c r="F567" s="86"/>
      <c r="G567" s="86"/>
      <c r="H567" s="86">
        <v>2500.0</v>
      </c>
      <c r="I567" s="185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</row>
    <row r="568" ht="15.75" customHeight="1">
      <c r="A568" s="184">
        <v>46081.82633762732</v>
      </c>
      <c r="B568" s="86" t="s">
        <v>187</v>
      </c>
      <c r="C568" s="86">
        <v>1.0</v>
      </c>
      <c r="D568" s="86">
        <v>6.0</v>
      </c>
      <c r="E568" s="86"/>
      <c r="F568" s="86"/>
      <c r="G568" s="86"/>
      <c r="H568" s="86">
        <v>900.0</v>
      </c>
      <c r="I568" s="185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</row>
    <row r="569" ht="15.75" customHeight="1">
      <c r="A569" s="184">
        <v>46081.82633762732</v>
      </c>
      <c r="B569" s="86" t="s">
        <v>101</v>
      </c>
      <c r="C569" s="86">
        <v>1.0</v>
      </c>
      <c r="D569" s="86">
        <v>9.0</v>
      </c>
      <c r="E569" s="86"/>
      <c r="F569" s="86"/>
      <c r="G569" s="86"/>
      <c r="H569" s="86">
        <v>2900.0</v>
      </c>
      <c r="I569" s="185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</row>
    <row r="570" ht="15.75" customHeight="1">
      <c r="A570" s="184">
        <v>46081.82633762732</v>
      </c>
      <c r="B570" s="86" t="s">
        <v>262</v>
      </c>
      <c r="C570" s="86">
        <v>1.0</v>
      </c>
      <c r="D570" s="86">
        <v>4.0</v>
      </c>
      <c r="E570" s="86"/>
      <c r="F570" s="86"/>
      <c r="G570" s="86"/>
      <c r="H570" s="86">
        <v>3500.0</v>
      </c>
      <c r="I570" s="185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</row>
    <row r="571" ht="15.75" customHeight="1">
      <c r="A571" s="184">
        <v>46081.85455501157</v>
      </c>
      <c r="B571" s="86" t="s">
        <v>501</v>
      </c>
      <c r="C571" s="86">
        <v>1.0</v>
      </c>
      <c r="D571" s="86">
        <v>10.0</v>
      </c>
      <c r="E571" s="86"/>
      <c r="F571" s="86"/>
      <c r="G571" s="86"/>
      <c r="H571" s="86"/>
      <c r="I571" s="185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</row>
    <row r="572" ht="15.75" customHeight="1">
      <c r="A572" s="184">
        <v>46081.86258128472</v>
      </c>
      <c r="B572" s="86" t="s">
        <v>360</v>
      </c>
      <c r="C572" s="86">
        <v>1.0</v>
      </c>
      <c r="D572" s="86">
        <v>14.0</v>
      </c>
      <c r="E572" s="86"/>
      <c r="F572" s="86"/>
      <c r="G572" s="86"/>
      <c r="H572" s="86">
        <v>2000.0</v>
      </c>
      <c r="I572" s="185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</row>
    <row r="573" ht="15.75" customHeight="1">
      <c r="A573" s="184">
        <v>46081.86258128472</v>
      </c>
      <c r="B573" s="86" t="s">
        <v>1279</v>
      </c>
      <c r="C573" s="86">
        <v>1.0</v>
      </c>
      <c r="D573" s="86">
        <v>25.0</v>
      </c>
      <c r="E573" s="86"/>
      <c r="F573" s="86"/>
      <c r="G573" s="86"/>
      <c r="H573" s="86">
        <v>3500.0</v>
      </c>
      <c r="I573" s="185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</row>
    <row r="574" ht="15.75" customHeight="1">
      <c r="A574" s="184">
        <v>46081.86258128472</v>
      </c>
      <c r="B574" s="86" t="s">
        <v>72</v>
      </c>
      <c r="C574" s="86">
        <v>1.0</v>
      </c>
      <c r="D574" s="86">
        <v>4.0</v>
      </c>
      <c r="E574" s="86"/>
      <c r="F574" s="86"/>
      <c r="G574" s="86"/>
      <c r="H574" s="86">
        <v>2000.0</v>
      </c>
      <c r="I574" s="185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</row>
    <row r="575" ht="15.75" customHeight="1">
      <c r="A575" s="184">
        <v>46081.86363208333</v>
      </c>
      <c r="B575" s="86" t="s">
        <v>512</v>
      </c>
      <c r="C575" s="86">
        <v>1.0</v>
      </c>
      <c r="D575" s="86">
        <v>13.0</v>
      </c>
      <c r="E575" s="86"/>
      <c r="F575" s="86"/>
      <c r="G575" s="86"/>
      <c r="H575" s="86">
        <v>7000.0</v>
      </c>
      <c r="I575" s="185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</row>
    <row r="576" ht="15.75" customHeight="1">
      <c r="A576" s="184">
        <v>46081.8664524074</v>
      </c>
      <c r="B576" s="86" t="s">
        <v>2038</v>
      </c>
      <c r="C576" s="86">
        <v>1.0</v>
      </c>
      <c r="D576" s="86">
        <v>1.0</v>
      </c>
      <c r="E576" s="86"/>
      <c r="F576" s="86"/>
      <c r="G576" s="86"/>
      <c r="H576" s="86">
        <v>2800.0</v>
      </c>
      <c r="I576" s="185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</row>
    <row r="577" ht="15.75" customHeight="1">
      <c r="A577" s="184">
        <v>46081.86671671296</v>
      </c>
      <c r="B577" s="86" t="s">
        <v>737</v>
      </c>
      <c r="C577" s="86">
        <v>1.0</v>
      </c>
      <c r="D577" s="86">
        <v>1.0</v>
      </c>
      <c r="E577" s="86"/>
      <c r="F577" s="86"/>
      <c r="G577" s="86"/>
      <c r="H577" s="86">
        <v>3200.0</v>
      </c>
      <c r="I577" s="185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</row>
    <row r="578" ht="15.75" customHeight="1">
      <c r="A578" s="184">
        <v>46081.86757109954</v>
      </c>
      <c r="B578" s="86" t="s">
        <v>1042</v>
      </c>
      <c r="C578" s="86">
        <v>1.0</v>
      </c>
      <c r="D578" s="86">
        <v>0.0</v>
      </c>
      <c r="E578" s="86"/>
      <c r="F578" s="86"/>
      <c r="G578" s="86"/>
      <c r="H578" s="86">
        <v>3000.0</v>
      </c>
      <c r="I578" s="185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</row>
    <row r="579" ht="15.75" customHeight="1">
      <c r="A579" s="184">
        <v>46081.86757109954</v>
      </c>
      <c r="B579" s="86" t="s">
        <v>933</v>
      </c>
      <c r="C579" s="86">
        <v>1.0</v>
      </c>
      <c r="D579" s="86">
        <v>0.0</v>
      </c>
      <c r="E579" s="86"/>
      <c r="F579" s="86"/>
      <c r="G579" s="86"/>
      <c r="H579" s="86">
        <v>4000.0</v>
      </c>
      <c r="I579" s="185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</row>
    <row r="580" ht="15.75" customHeight="1">
      <c r="A580" s="184">
        <v>46081.86757109954</v>
      </c>
      <c r="B580" s="86" t="s">
        <v>642</v>
      </c>
      <c r="C580" s="86">
        <v>1.0</v>
      </c>
      <c r="D580" s="86">
        <v>8.0</v>
      </c>
      <c r="E580" s="86"/>
      <c r="F580" s="86"/>
      <c r="G580" s="86"/>
      <c r="H580" s="86">
        <v>4000.0</v>
      </c>
      <c r="I580" s="185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</row>
    <row r="581" ht="15.75" customHeight="1">
      <c r="A581" s="184">
        <v>46081.86757109954</v>
      </c>
      <c r="B581" s="86" t="s">
        <v>737</v>
      </c>
      <c r="C581" s="86">
        <v>1.0</v>
      </c>
      <c r="D581" s="86">
        <v>0.0</v>
      </c>
      <c r="E581" s="86"/>
      <c r="F581" s="86"/>
      <c r="G581" s="86"/>
      <c r="H581" s="86">
        <v>3200.0</v>
      </c>
      <c r="I581" s="185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</row>
    <row r="582" ht="15.75" customHeight="1">
      <c r="A582" s="184">
        <v>46081.86757109954</v>
      </c>
      <c r="B582" s="86" t="s">
        <v>1548</v>
      </c>
      <c r="C582" s="86">
        <v>1.0</v>
      </c>
      <c r="D582" s="86">
        <v>2.0</v>
      </c>
      <c r="E582" s="86"/>
      <c r="F582" s="86"/>
      <c r="G582" s="86"/>
      <c r="H582" s="86">
        <v>1625.0</v>
      </c>
      <c r="I582" s="185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</row>
    <row r="583" ht="15.75" customHeight="1">
      <c r="A583" s="184">
        <v>46081.86757109954</v>
      </c>
      <c r="B583" s="86" t="s">
        <v>195</v>
      </c>
      <c r="C583" s="86">
        <v>1.0</v>
      </c>
      <c r="D583" s="86">
        <v>13.0</v>
      </c>
      <c r="E583" s="86"/>
      <c r="F583" s="86"/>
      <c r="G583" s="86"/>
      <c r="H583" s="86">
        <v>2200.0</v>
      </c>
      <c r="I583" s="185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</row>
    <row r="584" ht="15.75" customHeight="1">
      <c r="A584" s="184">
        <v>46081.86911028935</v>
      </c>
      <c r="B584" s="86" t="s">
        <v>187</v>
      </c>
      <c r="C584" s="86">
        <v>1.0</v>
      </c>
      <c r="D584" s="86">
        <v>5.0</v>
      </c>
      <c r="E584" s="86"/>
      <c r="F584" s="86"/>
      <c r="G584" s="86"/>
      <c r="H584" s="86">
        <v>900.0</v>
      </c>
      <c r="I584" s="185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</row>
    <row r="585" ht="15.75" customHeight="1">
      <c r="A585" s="184">
        <v>46081.86911028935</v>
      </c>
      <c r="B585" s="86" t="s">
        <v>148</v>
      </c>
      <c r="C585" s="86">
        <v>1.0</v>
      </c>
      <c r="D585" s="86">
        <v>12.0</v>
      </c>
      <c r="E585" s="86"/>
      <c r="F585" s="86"/>
      <c r="G585" s="86"/>
      <c r="H585" s="86">
        <v>1600.0</v>
      </c>
      <c r="I585" s="185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</row>
    <row r="586" ht="15.75" customHeight="1">
      <c r="A586" s="184">
        <v>46081.86911028935</v>
      </c>
      <c r="B586" s="86" t="s">
        <v>236</v>
      </c>
      <c r="C586" s="86">
        <v>1.0</v>
      </c>
      <c r="D586" s="86">
        <v>22.0</v>
      </c>
      <c r="E586" s="86"/>
      <c r="F586" s="86"/>
      <c r="G586" s="86"/>
      <c r="H586" s="86">
        <v>1500.0</v>
      </c>
      <c r="I586" s="185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</row>
    <row r="587" ht="15.75" customHeight="1">
      <c r="A587" s="184">
        <v>46081.86911028935</v>
      </c>
      <c r="B587" s="86" t="s">
        <v>967</v>
      </c>
      <c r="C587" s="86">
        <v>1.0</v>
      </c>
      <c r="D587" s="86">
        <v>2.0</v>
      </c>
      <c r="E587" s="86"/>
      <c r="F587" s="86"/>
      <c r="G587" s="86"/>
      <c r="H587" s="86">
        <v>1500.0</v>
      </c>
      <c r="I587" s="185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</row>
    <row r="588" ht="15.75" customHeight="1">
      <c r="A588" s="184">
        <v>46081.86911028935</v>
      </c>
      <c r="B588" s="86" t="s">
        <v>54</v>
      </c>
      <c r="C588" s="86">
        <v>1.0</v>
      </c>
      <c r="D588" s="86">
        <v>10.0</v>
      </c>
      <c r="E588" s="86"/>
      <c r="F588" s="86"/>
      <c r="G588" s="86"/>
      <c r="H588" s="86">
        <v>1000.0</v>
      </c>
      <c r="I588" s="185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</row>
    <row r="589" ht="15.75" customHeight="1">
      <c r="A589" s="184">
        <v>46081.86911028935</v>
      </c>
      <c r="B589" s="86" t="s">
        <v>58</v>
      </c>
      <c r="C589" s="86">
        <v>1.0</v>
      </c>
      <c r="D589" s="86">
        <v>47.0</v>
      </c>
      <c r="E589" s="86"/>
      <c r="F589" s="86"/>
      <c r="G589" s="86"/>
      <c r="H589" s="86">
        <v>1000.0</v>
      </c>
      <c r="I589" s="185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</row>
    <row r="590" ht="15.75" customHeight="1">
      <c r="A590" s="184">
        <v>46081.89174582176</v>
      </c>
      <c r="B590" s="86" t="s">
        <v>236</v>
      </c>
      <c r="C590" s="86">
        <v>1.0</v>
      </c>
      <c r="D590" s="86">
        <v>21.0</v>
      </c>
      <c r="E590" s="86"/>
      <c r="F590" s="86"/>
      <c r="G590" s="86"/>
      <c r="H590" s="86">
        <v>1500.0</v>
      </c>
      <c r="I590" s="185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</row>
    <row r="591" ht="15.75" customHeight="1">
      <c r="A591" s="184">
        <v>46081.89174582176</v>
      </c>
      <c r="B591" s="86" t="s">
        <v>158</v>
      </c>
      <c r="C591" s="86">
        <v>1.0</v>
      </c>
      <c r="D591" s="86">
        <v>2.0</v>
      </c>
      <c r="E591" s="86"/>
      <c r="F591" s="86"/>
      <c r="G591" s="86"/>
      <c r="H591" s="86">
        <v>500.0</v>
      </c>
      <c r="I591" s="185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</row>
    <row r="592" ht="15.75" customHeight="1">
      <c r="A592" s="184">
        <v>46081.89174582176</v>
      </c>
      <c r="B592" s="86" t="s">
        <v>1593</v>
      </c>
      <c r="C592" s="86">
        <v>1.0</v>
      </c>
      <c r="D592" s="86">
        <v>2.0</v>
      </c>
      <c r="E592" s="86"/>
      <c r="F592" s="86"/>
      <c r="G592" s="86"/>
      <c r="H592" s="86">
        <v>850.0</v>
      </c>
      <c r="I592" s="185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</row>
    <row r="593" ht="15.75" customHeight="1">
      <c r="A593" s="184">
        <v>46081.89174582176</v>
      </c>
      <c r="B593" s="86" t="s">
        <v>468</v>
      </c>
      <c r="C593" s="86">
        <v>1.0</v>
      </c>
      <c r="D593" s="86">
        <v>5.0</v>
      </c>
      <c r="E593" s="86"/>
      <c r="F593" s="86"/>
      <c r="G593" s="86"/>
      <c r="H593" s="86">
        <v>2300.0</v>
      </c>
      <c r="I593" s="185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</row>
    <row r="594" ht="15.75" customHeight="1">
      <c r="A594" s="184">
        <v>46081.89915271991</v>
      </c>
      <c r="B594" s="86" t="s">
        <v>721</v>
      </c>
      <c r="C594" s="86">
        <v>1.0</v>
      </c>
      <c r="D594" s="86">
        <v>1.0</v>
      </c>
      <c r="E594" s="86"/>
      <c r="F594" s="86"/>
      <c r="G594" s="86"/>
      <c r="H594" s="86">
        <v>4500.0</v>
      </c>
      <c r="I594" s="185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</row>
    <row r="595" ht="15.75" customHeight="1">
      <c r="A595" s="184">
        <v>46081.89915271991</v>
      </c>
      <c r="B595" s="86" t="s">
        <v>629</v>
      </c>
      <c r="C595" s="86">
        <v>1.0</v>
      </c>
      <c r="D595" s="86">
        <v>22.0</v>
      </c>
      <c r="E595" s="86"/>
      <c r="F595" s="86"/>
      <c r="G595" s="86"/>
      <c r="H595" s="86">
        <v>2000.0</v>
      </c>
      <c r="I595" s="185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</row>
    <row r="596" ht="15.75" customHeight="1">
      <c r="A596" s="184">
        <v>46081.96977321759</v>
      </c>
      <c r="B596" s="86" t="s">
        <v>951</v>
      </c>
      <c r="C596" s="86">
        <v>1.0</v>
      </c>
      <c r="D596" s="86">
        <v>0.0</v>
      </c>
      <c r="E596" s="86"/>
      <c r="F596" s="86"/>
      <c r="G596" s="86"/>
      <c r="H596" s="86"/>
      <c r="I596" s="185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</row>
    <row r="597" ht="15.75" customHeight="1">
      <c r="A597" s="184">
        <v>46081.96999328704</v>
      </c>
      <c r="B597" s="86" t="s">
        <v>953</v>
      </c>
      <c r="C597" s="86">
        <v>1.0</v>
      </c>
      <c r="D597" s="86">
        <v>0.0</v>
      </c>
      <c r="E597" s="86"/>
      <c r="F597" s="86"/>
      <c r="G597" s="86"/>
      <c r="H597" s="86"/>
      <c r="I597" s="185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</row>
    <row r="598" ht="15.75" customHeight="1">
      <c r="A598" s="184">
        <v>46081.9701840162</v>
      </c>
      <c r="B598" s="86" t="s">
        <v>141</v>
      </c>
      <c r="C598" s="86">
        <v>1.0</v>
      </c>
      <c r="D598" s="86">
        <v>0.0</v>
      </c>
      <c r="E598" s="86"/>
      <c r="F598" s="86"/>
      <c r="G598" s="86"/>
      <c r="H598" s="86"/>
      <c r="I598" s="185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</row>
    <row r="599" ht="15.75" customHeight="1">
      <c r="A599" s="184">
        <v>46081.97034288194</v>
      </c>
      <c r="B599" s="86" t="s">
        <v>778</v>
      </c>
      <c r="C599" s="86">
        <v>1.0</v>
      </c>
      <c r="D599" s="86">
        <v>1.0</v>
      </c>
      <c r="E599" s="86"/>
      <c r="F599" s="86"/>
      <c r="G599" s="86"/>
      <c r="H599" s="86"/>
      <c r="I599" s="185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</row>
    <row r="600" ht="15.75" customHeight="1">
      <c r="A600" s="184">
        <v>46081.97053162037</v>
      </c>
      <c r="B600" s="86" t="s">
        <v>143</v>
      </c>
      <c r="C600" s="86">
        <v>1.0</v>
      </c>
      <c r="D600" s="86">
        <v>1.0</v>
      </c>
      <c r="E600" s="86"/>
      <c r="F600" s="86"/>
      <c r="G600" s="86"/>
      <c r="H600" s="86"/>
      <c r="I600" s="185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</row>
    <row r="601" ht="15.75" customHeight="1">
      <c r="A601" s="184">
        <v>46081.97149509259</v>
      </c>
      <c r="B601" s="86" t="s">
        <v>676</v>
      </c>
      <c r="C601" s="86">
        <v>1.0</v>
      </c>
      <c r="D601" s="86">
        <v>0.0</v>
      </c>
      <c r="E601" s="86"/>
      <c r="F601" s="86"/>
      <c r="G601" s="86"/>
      <c r="H601" s="86"/>
      <c r="I601" s="185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</row>
    <row r="602" ht="15.75" customHeight="1">
      <c r="A602" s="184">
        <v>46081.97177418981</v>
      </c>
      <c r="B602" s="86" t="s">
        <v>963</v>
      </c>
      <c r="C602" s="86">
        <v>1.0</v>
      </c>
      <c r="D602" s="86">
        <v>0.0</v>
      </c>
      <c r="E602" s="86"/>
      <c r="F602" s="86"/>
      <c r="G602" s="86"/>
      <c r="H602" s="86"/>
      <c r="I602" s="185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</row>
    <row r="603" ht="15.75" customHeight="1">
      <c r="A603" s="184">
        <v>46081.97206611111</v>
      </c>
      <c r="B603" s="86" t="s">
        <v>965</v>
      </c>
      <c r="C603" s="86">
        <v>1.0</v>
      </c>
      <c r="D603" s="86">
        <v>0.0</v>
      </c>
      <c r="E603" s="86"/>
      <c r="F603" s="86"/>
      <c r="G603" s="86"/>
      <c r="H603" s="86"/>
      <c r="I603" s="185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</row>
    <row r="604" ht="15.75" customHeight="1">
      <c r="A604" s="184">
        <v>46081.97244362268</v>
      </c>
      <c r="B604" s="86" t="s">
        <v>218</v>
      </c>
      <c r="C604" s="86">
        <v>1.0</v>
      </c>
      <c r="D604" s="86">
        <v>10.0</v>
      </c>
      <c r="E604" s="86"/>
      <c r="F604" s="86"/>
      <c r="G604" s="86"/>
      <c r="H604" s="86"/>
      <c r="I604" s="185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</row>
    <row r="605" ht="15.75" customHeight="1">
      <c r="A605" s="184">
        <v>46081.9728977199</v>
      </c>
      <c r="B605" s="86" t="s">
        <v>232</v>
      </c>
      <c r="C605" s="86">
        <v>1.0</v>
      </c>
      <c r="D605" s="86">
        <v>0.0</v>
      </c>
      <c r="E605" s="86"/>
      <c r="F605" s="86"/>
      <c r="G605" s="86"/>
      <c r="H605" s="86"/>
      <c r="I605" s="185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</row>
    <row r="606" ht="15.75" customHeight="1">
      <c r="A606" s="184">
        <v>46081.97303817129</v>
      </c>
      <c r="B606" s="86" t="s">
        <v>1211</v>
      </c>
      <c r="C606" s="86">
        <v>1.0</v>
      </c>
      <c r="D606" s="86">
        <v>0.0</v>
      </c>
      <c r="E606" s="86"/>
      <c r="F606" s="86"/>
      <c r="G606" s="86"/>
      <c r="H606" s="86"/>
      <c r="I606" s="185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</row>
    <row r="607" ht="15.75" customHeight="1">
      <c r="A607" s="184">
        <v>46081.97410780092</v>
      </c>
      <c r="B607" s="86" t="s">
        <v>2039</v>
      </c>
      <c r="C607" s="86">
        <v>1.0</v>
      </c>
      <c r="D607" s="86">
        <v>3.0</v>
      </c>
      <c r="E607" s="86"/>
      <c r="F607" s="86"/>
      <c r="G607" s="86"/>
      <c r="H607" s="86">
        <v>1700.0</v>
      </c>
      <c r="I607" s="185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</row>
    <row r="608" ht="15.75" customHeight="1">
      <c r="A608" s="184">
        <v>46081.97832967593</v>
      </c>
      <c r="B608" s="86" t="s">
        <v>721</v>
      </c>
      <c r="C608" s="86">
        <v>1.0</v>
      </c>
      <c r="D608" s="86">
        <v>11.0</v>
      </c>
      <c r="E608" s="86"/>
      <c r="F608" s="86" t="s">
        <v>480</v>
      </c>
      <c r="G608" s="86">
        <v>2500.0</v>
      </c>
      <c r="H608" s="86">
        <v>4500.0</v>
      </c>
      <c r="I608" s="185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</row>
    <row r="609" ht="15.75" customHeight="1">
      <c r="A609" s="184">
        <v>46081.9792387037</v>
      </c>
      <c r="B609" s="86" t="s">
        <v>336</v>
      </c>
      <c r="C609" s="86">
        <v>1.0</v>
      </c>
      <c r="D609" s="86">
        <v>1.0</v>
      </c>
      <c r="E609" s="86"/>
      <c r="F609" s="86"/>
      <c r="G609" s="86"/>
      <c r="H609" s="86"/>
      <c r="I609" s="185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</row>
    <row r="610" ht="15.75" customHeight="1">
      <c r="A610" s="184">
        <v>46081.97937527778</v>
      </c>
      <c r="B610" s="86" t="s">
        <v>821</v>
      </c>
      <c r="C610" s="86">
        <v>1.0</v>
      </c>
      <c r="D610" s="86">
        <v>1.0</v>
      </c>
      <c r="E610" s="86"/>
      <c r="F610" s="86"/>
      <c r="G610" s="86"/>
      <c r="H610" s="86"/>
      <c r="I610" s="185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</row>
    <row r="611" ht="15.75" customHeight="1">
      <c r="A611" s="184">
        <v>46081.97960561343</v>
      </c>
      <c r="B611" s="86" t="s">
        <v>338</v>
      </c>
      <c r="C611" s="86">
        <v>1.0</v>
      </c>
      <c r="D611" s="86">
        <v>1.0</v>
      </c>
      <c r="E611" s="86"/>
      <c r="F611" s="86"/>
      <c r="G611" s="86"/>
      <c r="H611" s="86"/>
      <c r="I611" s="185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</row>
    <row r="612" ht="15.75" customHeight="1">
      <c r="A612" s="184">
        <v>46081.97976712963</v>
      </c>
      <c r="B612" s="86" t="s">
        <v>340</v>
      </c>
      <c r="C612" s="86">
        <v>1.0</v>
      </c>
      <c r="D612" s="86">
        <v>1.0</v>
      </c>
      <c r="E612" s="86"/>
      <c r="F612" s="86"/>
      <c r="G612" s="86"/>
      <c r="H612" s="86"/>
      <c r="I612" s="185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</row>
    <row r="613" ht="15.75" customHeight="1">
      <c r="A613" s="184">
        <v>46081.99221119213</v>
      </c>
      <c r="B613" s="86" t="s">
        <v>2040</v>
      </c>
      <c r="C613" s="86">
        <v>1.0</v>
      </c>
      <c r="D613" s="86">
        <v>2.0</v>
      </c>
      <c r="E613" s="86"/>
      <c r="F613" s="86"/>
      <c r="G613" s="86"/>
      <c r="H613" s="86"/>
      <c r="I613" s="185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</row>
    <row r="614" ht="15.75" customHeight="1">
      <c r="A614" s="184">
        <v>46081.99272788195</v>
      </c>
      <c r="B614" s="86" t="s">
        <v>1529</v>
      </c>
      <c r="C614" s="86">
        <v>1.0</v>
      </c>
      <c r="D614" s="86">
        <v>1.0</v>
      </c>
      <c r="E614" s="86"/>
      <c r="F614" s="86"/>
      <c r="G614" s="86"/>
      <c r="H614" s="86"/>
      <c r="I614" s="185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</row>
    <row r="615" ht="15.75" customHeight="1">
      <c r="A615" s="184">
        <v>46082.32492432871</v>
      </c>
      <c r="B615" s="86" t="s">
        <v>270</v>
      </c>
      <c r="C615" s="86">
        <v>1.0</v>
      </c>
      <c r="D615" s="86">
        <v>7.0</v>
      </c>
      <c r="E615" s="86"/>
      <c r="F615" s="86" t="s">
        <v>47</v>
      </c>
      <c r="G615" s="86">
        <v>1700.0</v>
      </c>
      <c r="H615" s="86">
        <v>3500.0</v>
      </c>
      <c r="I615" s="185">
        <v>46756.0</v>
      </c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</row>
    <row r="616" ht="15.75" customHeight="1">
      <c r="A616" s="184">
        <v>46082.53890768519</v>
      </c>
      <c r="B616" s="86" t="s">
        <v>1599</v>
      </c>
      <c r="C616" s="186">
        <v>2.0</v>
      </c>
      <c r="D616" s="86">
        <v>2.0</v>
      </c>
      <c r="E616" s="86"/>
      <c r="F616" s="86" t="s">
        <v>2041</v>
      </c>
      <c r="G616" s="86"/>
      <c r="H616" s="86">
        <v>1940.0</v>
      </c>
      <c r="I616" s="185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</row>
    <row r="617" ht="15.75" customHeight="1">
      <c r="A617" s="184">
        <v>46082.54088802083</v>
      </c>
      <c r="B617" s="86" t="s">
        <v>1599</v>
      </c>
      <c r="C617" s="186">
        <v>2.0</v>
      </c>
      <c r="D617" s="86">
        <v>2.0</v>
      </c>
      <c r="E617" s="86"/>
      <c r="F617" s="86" t="s">
        <v>2041</v>
      </c>
      <c r="G617" s="86"/>
      <c r="H617" s="86">
        <v>1940.0</v>
      </c>
      <c r="I617" s="185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</row>
    <row r="618" ht="15.75" customHeight="1">
      <c r="A618" s="184">
        <v>46082.54753692129</v>
      </c>
      <c r="B618" s="86" t="s">
        <v>525</v>
      </c>
      <c r="C618" s="186">
        <v>2.0</v>
      </c>
      <c r="D618" s="86">
        <v>13.0</v>
      </c>
      <c r="E618" s="86"/>
      <c r="F618" s="86" t="s">
        <v>2042</v>
      </c>
      <c r="G618" s="86"/>
      <c r="H618" s="86">
        <v>900.0</v>
      </c>
      <c r="I618" s="185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</row>
    <row r="619" ht="15.75" customHeight="1">
      <c r="A619" s="184">
        <v>46082.54753692129</v>
      </c>
      <c r="B619" s="86" t="s">
        <v>1602</v>
      </c>
      <c r="C619" s="186">
        <v>3.0</v>
      </c>
      <c r="D619" s="86">
        <v>10.0</v>
      </c>
      <c r="E619" s="86"/>
      <c r="F619" s="86" t="s">
        <v>2041</v>
      </c>
      <c r="G619" s="86"/>
      <c r="H619" s="86">
        <v>3750.0</v>
      </c>
      <c r="I619" s="185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</row>
    <row r="620" ht="15.75" customHeight="1">
      <c r="A620" s="184">
        <v>46082.55201993055</v>
      </c>
      <c r="B620" s="86" t="s">
        <v>1599</v>
      </c>
      <c r="C620" s="186">
        <v>2.0</v>
      </c>
      <c r="D620" s="86">
        <v>2.0</v>
      </c>
      <c r="E620" s="86"/>
      <c r="F620" s="86" t="s">
        <v>2041</v>
      </c>
      <c r="G620" s="86"/>
      <c r="H620" s="86">
        <v>1940.0</v>
      </c>
      <c r="I620" s="185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</row>
    <row r="621" ht="15.75" customHeight="1">
      <c r="A621" s="184">
        <v>46082.55873873843</v>
      </c>
      <c r="B621" s="86" t="s">
        <v>631</v>
      </c>
      <c r="C621" s="186">
        <v>1.0</v>
      </c>
      <c r="D621" s="86">
        <v>18.0</v>
      </c>
      <c r="E621" s="86"/>
      <c r="F621" s="86" t="s">
        <v>2042</v>
      </c>
      <c r="G621" s="86"/>
      <c r="H621" s="86">
        <v>2500.0</v>
      </c>
      <c r="I621" s="185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</row>
    <row r="622" ht="15.75" customHeight="1">
      <c r="A622" s="184">
        <v>46082.55873873843</v>
      </c>
      <c r="B622" s="86" t="s">
        <v>627</v>
      </c>
      <c r="C622" s="186">
        <v>4.0</v>
      </c>
      <c r="D622" s="86">
        <v>29.0</v>
      </c>
      <c r="E622" s="86"/>
      <c r="F622" s="86" t="s">
        <v>2042</v>
      </c>
      <c r="G622" s="86"/>
      <c r="H622" s="86">
        <v>1800.0</v>
      </c>
      <c r="I622" s="185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</row>
    <row r="623" ht="15.75" customHeight="1">
      <c r="A623" s="184">
        <v>46082.55873873843</v>
      </c>
      <c r="B623" s="86" t="s">
        <v>1275</v>
      </c>
      <c r="C623" s="186">
        <v>2.0</v>
      </c>
      <c r="D623" s="86">
        <v>7.0</v>
      </c>
      <c r="E623" s="86"/>
      <c r="F623" s="86" t="s">
        <v>2042</v>
      </c>
      <c r="G623" s="86"/>
      <c r="H623" s="86">
        <v>1000.0</v>
      </c>
      <c r="I623" s="185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</row>
    <row r="624" ht="15.75" customHeight="1">
      <c r="A624" s="184">
        <v>46082.56032321759</v>
      </c>
      <c r="B624" s="86" t="s">
        <v>631</v>
      </c>
      <c r="C624" s="186">
        <v>1.0</v>
      </c>
      <c r="D624" s="86">
        <v>15.0</v>
      </c>
      <c r="E624" s="86"/>
      <c r="F624" s="86" t="s">
        <v>2042</v>
      </c>
      <c r="G624" s="86"/>
      <c r="H624" s="86">
        <v>2500.0</v>
      </c>
      <c r="I624" s="185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</row>
    <row r="625" ht="15.75" customHeight="1">
      <c r="A625" s="184">
        <v>46082.56032321759</v>
      </c>
      <c r="B625" s="86" t="s">
        <v>627</v>
      </c>
      <c r="C625" s="186">
        <v>1.0</v>
      </c>
      <c r="D625" s="86">
        <v>28.0</v>
      </c>
      <c r="E625" s="86"/>
      <c r="F625" s="86" t="s">
        <v>2042</v>
      </c>
      <c r="G625" s="86"/>
      <c r="H625" s="86">
        <v>1800.0</v>
      </c>
      <c r="I625" s="185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</row>
    <row r="626" ht="15.75" customHeight="1">
      <c r="A626" s="184">
        <v>46082.56032321759</v>
      </c>
      <c r="B626" s="86" t="s">
        <v>1275</v>
      </c>
      <c r="C626" s="186">
        <v>3.0</v>
      </c>
      <c r="D626" s="86">
        <v>6.0</v>
      </c>
      <c r="E626" s="86"/>
      <c r="F626" s="86" t="s">
        <v>2042</v>
      </c>
      <c r="G626" s="86"/>
      <c r="H626" s="86">
        <v>1000.0</v>
      </c>
      <c r="I626" s="185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</row>
    <row r="627" ht="15.75" customHeight="1">
      <c r="A627" s="184">
        <v>46082.5610261574</v>
      </c>
      <c r="B627" s="86" t="s">
        <v>631</v>
      </c>
      <c r="C627" s="186">
        <v>2.0</v>
      </c>
      <c r="D627" s="86">
        <v>12.0</v>
      </c>
      <c r="E627" s="86"/>
      <c r="F627" s="86" t="s">
        <v>2042</v>
      </c>
      <c r="G627" s="86"/>
      <c r="H627" s="86">
        <v>2500.0</v>
      </c>
      <c r="I627" s="185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</row>
    <row r="628" ht="15.75" customHeight="1">
      <c r="A628" s="184">
        <v>46082.5610261574</v>
      </c>
      <c r="B628" s="86" t="s">
        <v>627</v>
      </c>
      <c r="C628" s="186">
        <v>4.0</v>
      </c>
      <c r="D628" s="86">
        <v>27.0</v>
      </c>
      <c r="E628" s="86"/>
      <c r="F628" s="86" t="s">
        <v>2042</v>
      </c>
      <c r="G628" s="86"/>
      <c r="H628" s="86">
        <v>1800.0</v>
      </c>
      <c r="I628" s="185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</row>
    <row r="629" ht="15.75" customHeight="1">
      <c r="A629" s="184">
        <v>46082.5610261574</v>
      </c>
      <c r="B629" s="86" t="s">
        <v>1275</v>
      </c>
      <c r="C629" s="186">
        <v>2.0</v>
      </c>
      <c r="D629" s="86">
        <v>5.0</v>
      </c>
      <c r="E629" s="86"/>
      <c r="F629" s="86" t="s">
        <v>2042</v>
      </c>
      <c r="G629" s="86"/>
      <c r="H629" s="86">
        <v>1000.0</v>
      </c>
      <c r="I629" s="185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</row>
    <row r="630" ht="15.75" customHeight="1">
      <c r="A630" s="184">
        <v>46082.5652143287</v>
      </c>
      <c r="B630" s="86" t="s">
        <v>631</v>
      </c>
      <c r="C630" s="186">
        <v>2.0</v>
      </c>
      <c r="D630" s="86">
        <v>9.0</v>
      </c>
      <c r="E630" s="86"/>
      <c r="F630" s="86" t="s">
        <v>2042</v>
      </c>
      <c r="G630" s="86"/>
      <c r="H630" s="86">
        <v>2500.0</v>
      </c>
      <c r="I630" s="185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</row>
    <row r="631" ht="15.75" customHeight="1">
      <c r="A631" s="184">
        <v>46082.5652143287</v>
      </c>
      <c r="B631" s="86" t="s">
        <v>627</v>
      </c>
      <c r="C631" s="186">
        <v>1.0</v>
      </c>
      <c r="D631" s="86">
        <v>26.0</v>
      </c>
      <c r="E631" s="86"/>
      <c r="F631" s="86" t="s">
        <v>2042</v>
      </c>
      <c r="G631" s="86"/>
      <c r="H631" s="86">
        <v>1800.0</v>
      </c>
      <c r="I631" s="185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</row>
    <row r="632" ht="15.75" customHeight="1">
      <c r="A632" s="184">
        <v>46082.5652143287</v>
      </c>
      <c r="B632" s="86" t="s">
        <v>1275</v>
      </c>
      <c r="C632" s="186">
        <v>2.0</v>
      </c>
      <c r="D632" s="86">
        <v>4.0</v>
      </c>
      <c r="E632" s="86"/>
      <c r="F632" s="86" t="s">
        <v>2042</v>
      </c>
      <c r="G632" s="86"/>
      <c r="H632" s="86">
        <v>1000.0</v>
      </c>
      <c r="I632" s="185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</row>
    <row r="633" ht="15.75" customHeight="1">
      <c r="A633" s="184">
        <v>46082.56848959491</v>
      </c>
      <c r="B633" s="86" t="s">
        <v>627</v>
      </c>
      <c r="C633" s="186">
        <v>1.0</v>
      </c>
      <c r="D633" s="86">
        <v>25.0</v>
      </c>
      <c r="E633" s="86"/>
      <c r="F633" s="86" t="s">
        <v>2042</v>
      </c>
      <c r="G633" s="86"/>
      <c r="H633" s="86">
        <v>1800.0</v>
      </c>
      <c r="I633" s="185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</row>
    <row r="634" ht="15.75" customHeight="1">
      <c r="A634" s="184">
        <v>46082.56848959491</v>
      </c>
      <c r="B634" s="86" t="s">
        <v>631</v>
      </c>
      <c r="C634" s="186">
        <v>2.0</v>
      </c>
      <c r="D634" s="86">
        <v>6.0</v>
      </c>
      <c r="E634" s="86"/>
      <c r="F634" s="86" t="s">
        <v>2042</v>
      </c>
      <c r="G634" s="86"/>
      <c r="H634" s="86">
        <v>2500.0</v>
      </c>
      <c r="I634" s="185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</row>
    <row r="635" ht="15.75" customHeight="1">
      <c r="A635" s="184">
        <v>46082.56848959491</v>
      </c>
      <c r="B635" s="86" t="s">
        <v>1275</v>
      </c>
      <c r="C635" s="186">
        <v>1.0</v>
      </c>
      <c r="D635" s="86">
        <v>3.0</v>
      </c>
      <c r="E635" s="86"/>
      <c r="F635" s="86" t="s">
        <v>2042</v>
      </c>
      <c r="G635" s="86"/>
      <c r="H635" s="86">
        <v>1000.0</v>
      </c>
      <c r="I635" s="185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</row>
    <row r="636" ht="15.75" customHeight="1">
      <c r="A636" s="184">
        <v>46082.56972313658</v>
      </c>
      <c r="B636" s="86" t="s">
        <v>631</v>
      </c>
      <c r="C636" s="186">
        <v>2.0</v>
      </c>
      <c r="D636" s="86">
        <v>3.0</v>
      </c>
      <c r="E636" s="86"/>
      <c r="F636" s="86" t="s">
        <v>2042</v>
      </c>
      <c r="G636" s="86"/>
      <c r="H636" s="86">
        <v>2500.0</v>
      </c>
      <c r="I636" s="185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</row>
    <row r="637" ht="15.75" customHeight="1">
      <c r="A637" s="184">
        <v>46082.56972313658</v>
      </c>
      <c r="B637" s="86" t="s">
        <v>627</v>
      </c>
      <c r="C637" s="186">
        <v>2.0</v>
      </c>
      <c r="D637" s="86">
        <v>24.0</v>
      </c>
      <c r="E637" s="86"/>
      <c r="F637" s="86" t="s">
        <v>2042</v>
      </c>
      <c r="G637" s="86"/>
      <c r="H637" s="86">
        <v>1800.0</v>
      </c>
      <c r="I637" s="185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</row>
    <row r="638" ht="15.75" customHeight="1">
      <c r="A638" s="184">
        <v>46082.56972313658</v>
      </c>
      <c r="B638" s="86" t="s">
        <v>1275</v>
      </c>
      <c r="C638" s="186">
        <v>1.0</v>
      </c>
      <c r="D638" s="86">
        <v>2.0</v>
      </c>
      <c r="E638" s="86"/>
      <c r="F638" s="86" t="s">
        <v>2042</v>
      </c>
      <c r="G638" s="86"/>
      <c r="H638" s="86">
        <v>1000.0</v>
      </c>
      <c r="I638" s="185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</row>
    <row r="639" ht="15.75" customHeight="1">
      <c r="A639" s="184">
        <v>46082.57205628472</v>
      </c>
      <c r="B639" s="86" t="s">
        <v>627</v>
      </c>
      <c r="C639" s="186">
        <v>3.0</v>
      </c>
      <c r="D639" s="86">
        <v>23.0</v>
      </c>
      <c r="E639" s="86"/>
      <c r="F639" s="86" t="s">
        <v>2042</v>
      </c>
      <c r="G639" s="86"/>
      <c r="H639" s="86">
        <v>1800.0</v>
      </c>
      <c r="I639" s="185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</row>
    <row r="640" ht="15.75" customHeight="1">
      <c r="A640" s="184">
        <v>46082.57205628472</v>
      </c>
      <c r="B640" s="86" t="s">
        <v>631</v>
      </c>
      <c r="C640" s="186">
        <v>1.0</v>
      </c>
      <c r="D640" s="186">
        <v>1.0</v>
      </c>
      <c r="E640" s="86"/>
      <c r="F640" s="86" t="s">
        <v>2042</v>
      </c>
      <c r="G640" s="86"/>
      <c r="H640" s="86">
        <v>2500.0</v>
      </c>
      <c r="I640" s="185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</row>
    <row r="641" ht="15.75" customHeight="1">
      <c r="A641" s="184">
        <v>46082.57205628472</v>
      </c>
      <c r="B641" s="86" t="s">
        <v>1275</v>
      </c>
      <c r="C641" s="186">
        <v>1.0</v>
      </c>
      <c r="D641" s="86">
        <v>1.0</v>
      </c>
      <c r="E641" s="86"/>
      <c r="F641" s="86" t="s">
        <v>2042</v>
      </c>
      <c r="G641" s="86"/>
      <c r="H641" s="86">
        <v>1000.0</v>
      </c>
      <c r="I641" s="185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</row>
    <row r="642" ht="15.75" customHeight="1">
      <c r="A642" s="184">
        <v>46082.57554329861</v>
      </c>
      <c r="B642" s="86" t="s">
        <v>631</v>
      </c>
      <c r="C642" s="186">
        <v>4.0</v>
      </c>
      <c r="D642" s="86">
        <v>14.0</v>
      </c>
      <c r="E642" s="86"/>
      <c r="F642" s="86"/>
      <c r="G642" s="86"/>
      <c r="H642" s="86"/>
      <c r="I642" s="185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</row>
    <row r="643" ht="15.75" customHeight="1">
      <c r="A643" s="184">
        <v>46082.57582783565</v>
      </c>
      <c r="B643" s="86" t="s">
        <v>627</v>
      </c>
      <c r="C643" s="186">
        <v>1.0</v>
      </c>
      <c r="D643" s="86">
        <v>22.0</v>
      </c>
      <c r="E643" s="86"/>
      <c r="F643" s="86" t="s">
        <v>2042</v>
      </c>
      <c r="G643" s="86"/>
      <c r="H643" s="86">
        <v>1800.0</v>
      </c>
      <c r="I643" s="185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</row>
    <row r="644" ht="15.75" customHeight="1">
      <c r="A644" s="184">
        <v>46082.57582783565</v>
      </c>
      <c r="B644" s="86" t="s">
        <v>1275</v>
      </c>
      <c r="C644" s="186">
        <v>1.0</v>
      </c>
      <c r="D644" s="86">
        <v>0.0</v>
      </c>
      <c r="E644" s="86"/>
      <c r="F644" s="86" t="s">
        <v>2042</v>
      </c>
      <c r="G644" s="86"/>
      <c r="H644" s="86">
        <v>1000.0</v>
      </c>
      <c r="I644" s="185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</row>
    <row r="645" ht="15.75" customHeight="1">
      <c r="A645" s="184">
        <v>46082.57582783565</v>
      </c>
      <c r="B645" s="86" t="s">
        <v>631</v>
      </c>
      <c r="C645" s="186">
        <v>4.0</v>
      </c>
      <c r="D645" s="86">
        <v>11.0</v>
      </c>
      <c r="E645" s="86"/>
      <c r="F645" s="86" t="s">
        <v>2042</v>
      </c>
      <c r="G645" s="86"/>
      <c r="H645" s="86">
        <v>2500.0</v>
      </c>
      <c r="I645" s="185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</row>
    <row r="646" ht="15.75" customHeight="1">
      <c r="A646" s="184">
        <v>46082.58653115741</v>
      </c>
      <c r="B646" s="86" t="s">
        <v>631</v>
      </c>
      <c r="C646" s="186">
        <v>3.0</v>
      </c>
      <c r="D646" s="86">
        <v>10.0</v>
      </c>
      <c r="E646" s="86"/>
      <c r="F646" s="86" t="s">
        <v>2042</v>
      </c>
      <c r="G646" s="86"/>
      <c r="H646" s="86">
        <v>2500.0</v>
      </c>
      <c r="I646" s="185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</row>
    <row r="647" ht="15.75" customHeight="1">
      <c r="A647" s="184">
        <v>46082.64592052083</v>
      </c>
      <c r="B647" s="86" t="s">
        <v>431</v>
      </c>
      <c r="C647" s="86">
        <v>1.0</v>
      </c>
      <c r="D647" s="86">
        <v>1.0</v>
      </c>
      <c r="E647" s="86"/>
      <c r="F647" s="86"/>
      <c r="G647" s="86"/>
      <c r="H647" s="86"/>
      <c r="I647" s="185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</row>
    <row r="648" ht="15.75" customHeight="1">
      <c r="A648" s="184">
        <v>46082.64633686343</v>
      </c>
      <c r="B648" s="86" t="s">
        <v>431</v>
      </c>
      <c r="C648" s="186">
        <v>1.0</v>
      </c>
      <c r="D648" s="186">
        <v>1.0</v>
      </c>
      <c r="E648" s="86"/>
      <c r="F648" s="86" t="s">
        <v>2042</v>
      </c>
      <c r="G648" s="86"/>
      <c r="H648" s="86">
        <v>2000.0</v>
      </c>
      <c r="I648" s="185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</row>
    <row r="649" ht="15.75" customHeight="1">
      <c r="A649" s="184">
        <v>46082.64633686343</v>
      </c>
      <c r="B649" s="86" t="s">
        <v>68</v>
      </c>
      <c r="C649" s="186">
        <v>1.0</v>
      </c>
      <c r="D649" s="86">
        <v>1.0</v>
      </c>
      <c r="E649" s="86"/>
      <c r="F649" s="86" t="s">
        <v>2042</v>
      </c>
      <c r="G649" s="86"/>
      <c r="H649" s="86">
        <v>2500.0</v>
      </c>
      <c r="I649" s="185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</row>
    <row r="650" ht="15.75" customHeight="1">
      <c r="A650" s="184">
        <v>46082.64633686343</v>
      </c>
      <c r="B650" s="86" t="s">
        <v>453</v>
      </c>
      <c r="C650" s="186">
        <v>1.0</v>
      </c>
      <c r="D650" s="86">
        <v>6.0</v>
      </c>
      <c r="E650" s="86"/>
      <c r="F650" s="86" t="s">
        <v>2042</v>
      </c>
      <c r="G650" s="86"/>
      <c r="H650" s="86">
        <v>1600.0</v>
      </c>
      <c r="I650" s="185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</row>
    <row r="651" ht="15.75" customHeight="1">
      <c r="A651" s="184">
        <v>46082.66038643519</v>
      </c>
      <c r="B651" s="86" t="s">
        <v>148</v>
      </c>
      <c r="C651" s="186">
        <v>1.0</v>
      </c>
      <c r="D651" s="86">
        <v>11.0</v>
      </c>
      <c r="E651" s="86"/>
      <c r="F651" s="86" t="s">
        <v>2042</v>
      </c>
      <c r="G651" s="86"/>
      <c r="H651" s="86">
        <v>1600.0</v>
      </c>
      <c r="I651" s="185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</row>
    <row r="652" ht="15.75" customHeight="1">
      <c r="A652" s="184">
        <v>46082.66038643519</v>
      </c>
      <c r="B652" s="86" t="s">
        <v>187</v>
      </c>
      <c r="C652" s="186">
        <v>1.0</v>
      </c>
      <c r="D652" s="86">
        <v>4.0</v>
      </c>
      <c r="E652" s="86"/>
      <c r="F652" s="86" t="s">
        <v>2042</v>
      </c>
      <c r="G652" s="86"/>
      <c r="H652" s="86">
        <v>900.0</v>
      </c>
      <c r="I652" s="185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</row>
    <row r="653" ht="15.75" customHeight="1">
      <c r="A653" s="184">
        <v>46082.66038643519</v>
      </c>
      <c r="B653" s="86" t="s">
        <v>574</v>
      </c>
      <c r="C653" s="186">
        <v>2.0</v>
      </c>
      <c r="D653" s="86">
        <v>26.0</v>
      </c>
      <c r="E653" s="86"/>
      <c r="F653" s="86" t="s">
        <v>2042</v>
      </c>
      <c r="G653" s="86"/>
      <c r="H653" s="86">
        <v>3000.0</v>
      </c>
      <c r="I653" s="185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</row>
    <row r="654" ht="15.75" customHeight="1">
      <c r="A654" s="184">
        <v>46082.66038643519</v>
      </c>
      <c r="B654" s="86" t="s">
        <v>1609</v>
      </c>
      <c r="C654" s="186">
        <v>2.0</v>
      </c>
      <c r="D654" s="86">
        <v>2.0</v>
      </c>
      <c r="E654" s="86"/>
      <c r="F654" s="86" t="s">
        <v>2041</v>
      </c>
      <c r="G654" s="86"/>
      <c r="H654" s="86">
        <v>2060.0</v>
      </c>
      <c r="I654" s="185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</row>
    <row r="655" ht="15.75" customHeight="1">
      <c r="A655" s="184">
        <v>46082.67643291667</v>
      </c>
      <c r="B655" s="86" t="s">
        <v>1277</v>
      </c>
      <c r="C655" s="186">
        <v>3.0</v>
      </c>
      <c r="D655" s="86">
        <v>3.0</v>
      </c>
      <c r="E655" s="86"/>
      <c r="F655" s="86" t="s">
        <v>2042</v>
      </c>
      <c r="G655" s="86"/>
      <c r="H655" s="86">
        <v>4300.0</v>
      </c>
      <c r="I655" s="185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</row>
    <row r="656" ht="15.75" customHeight="1">
      <c r="A656" s="184">
        <v>46082.69938056713</v>
      </c>
      <c r="B656" s="86" t="s">
        <v>131</v>
      </c>
      <c r="C656" s="186">
        <v>3.0</v>
      </c>
      <c r="D656" s="86">
        <v>3.0</v>
      </c>
      <c r="E656" s="86"/>
      <c r="F656" s="86" t="s">
        <v>2042</v>
      </c>
      <c r="G656" s="86"/>
      <c r="H656" s="86">
        <v>4000.0</v>
      </c>
      <c r="I656" s="185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</row>
    <row r="657" ht="15.75" customHeight="1">
      <c r="A657" s="184">
        <v>46082.69938056713</v>
      </c>
      <c r="B657" s="86" t="s">
        <v>125</v>
      </c>
      <c r="C657" s="186">
        <v>1.0</v>
      </c>
      <c r="D657" s="186">
        <v>1.0</v>
      </c>
      <c r="E657" s="86"/>
      <c r="F657" s="86" t="s">
        <v>2042</v>
      </c>
      <c r="G657" s="86"/>
      <c r="H657" s="86">
        <v>2500.0</v>
      </c>
      <c r="I657" s="185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</row>
    <row r="658" ht="15.75" customHeight="1">
      <c r="A658" s="184">
        <v>46082.70089989583</v>
      </c>
      <c r="B658" s="86" t="s">
        <v>1174</v>
      </c>
      <c r="C658" s="186">
        <v>1.0</v>
      </c>
      <c r="D658" s="86">
        <v>5.0</v>
      </c>
      <c r="E658" s="86"/>
      <c r="F658" s="86" t="s">
        <v>2042</v>
      </c>
      <c r="G658" s="86"/>
      <c r="H658" s="86">
        <v>3500.0</v>
      </c>
      <c r="I658" s="185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</row>
    <row r="659" ht="15.75" customHeight="1">
      <c r="A659" s="184">
        <v>46082.70089989583</v>
      </c>
      <c r="B659" s="86" t="s">
        <v>1617</v>
      </c>
      <c r="C659" s="186">
        <v>1.0</v>
      </c>
      <c r="D659" s="86">
        <v>8.0</v>
      </c>
      <c r="E659" s="86"/>
      <c r="F659" s="86" t="s">
        <v>2041</v>
      </c>
      <c r="G659" s="86"/>
      <c r="H659" s="86">
        <v>975.0</v>
      </c>
      <c r="I659" s="185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</row>
    <row r="660" ht="15.75" customHeight="1">
      <c r="A660" s="184">
        <v>46082.72329373843</v>
      </c>
      <c r="B660" s="86" t="s">
        <v>213</v>
      </c>
      <c r="C660" s="186">
        <v>3.0</v>
      </c>
      <c r="D660" s="86">
        <v>4.0</v>
      </c>
      <c r="E660" s="86"/>
      <c r="F660" s="86" t="s">
        <v>2042</v>
      </c>
      <c r="G660" s="86"/>
      <c r="H660" s="86">
        <v>3300.0</v>
      </c>
      <c r="I660" s="185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</row>
    <row r="661" ht="15.75" customHeight="1">
      <c r="A661" s="184">
        <v>46082.72329373843</v>
      </c>
      <c r="B661" s="86" t="s">
        <v>445</v>
      </c>
      <c r="C661" s="186">
        <v>1.0</v>
      </c>
      <c r="D661" s="86">
        <v>5.0</v>
      </c>
      <c r="E661" s="86"/>
      <c r="F661" s="86" t="s">
        <v>2042</v>
      </c>
      <c r="G661" s="86"/>
      <c r="H661" s="86">
        <v>4500.0</v>
      </c>
      <c r="I661" s="185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</row>
    <row r="662" ht="15.75" customHeight="1">
      <c r="A662" s="184">
        <v>46082.72329373843</v>
      </c>
      <c r="B662" s="86" t="s">
        <v>34</v>
      </c>
      <c r="C662" s="186">
        <v>3.0</v>
      </c>
      <c r="D662" s="86">
        <v>14.0</v>
      </c>
      <c r="E662" s="86"/>
      <c r="F662" s="86" t="s">
        <v>2042</v>
      </c>
      <c r="G662" s="86"/>
      <c r="H662" s="86">
        <v>2600.0</v>
      </c>
      <c r="I662" s="185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</row>
    <row r="663" ht="15.75" customHeight="1">
      <c r="A663" s="184">
        <v>46082.72602791667</v>
      </c>
      <c r="B663" s="86" t="s">
        <v>1622</v>
      </c>
      <c r="C663" s="186">
        <v>1.0</v>
      </c>
      <c r="D663" s="86">
        <v>2.0</v>
      </c>
      <c r="E663" s="86"/>
      <c r="F663" s="86" t="s">
        <v>2041</v>
      </c>
      <c r="G663" s="86"/>
      <c r="H663" s="86">
        <v>2400.0</v>
      </c>
      <c r="I663" s="185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</row>
    <row r="664" ht="15.75" customHeight="1">
      <c r="A664" s="184">
        <v>46082.72602791667</v>
      </c>
      <c r="B664" s="86" t="s">
        <v>2043</v>
      </c>
      <c r="C664" s="186">
        <v>2.0</v>
      </c>
      <c r="D664" s="86">
        <v>1.0</v>
      </c>
      <c r="E664" s="86"/>
      <c r="F664" s="86" t="s">
        <v>2042</v>
      </c>
      <c r="G664" s="86"/>
      <c r="H664" s="86">
        <v>3200.0</v>
      </c>
      <c r="I664" s="185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</row>
    <row r="665" ht="15.75" customHeight="1">
      <c r="A665" s="184">
        <v>46082.72602791667</v>
      </c>
      <c r="B665" s="86" t="s">
        <v>195</v>
      </c>
      <c r="C665" s="186">
        <v>1.0</v>
      </c>
      <c r="D665" s="86">
        <v>12.0</v>
      </c>
      <c r="E665" s="86"/>
      <c r="F665" s="86" t="s">
        <v>2042</v>
      </c>
      <c r="G665" s="86"/>
      <c r="H665" s="86">
        <v>2200.0</v>
      </c>
      <c r="I665" s="185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</row>
    <row r="666" ht="15.75" customHeight="1">
      <c r="A666" s="184">
        <v>46082.74268266204</v>
      </c>
      <c r="B666" s="86" t="s">
        <v>158</v>
      </c>
      <c r="C666" s="86">
        <v>8.0</v>
      </c>
      <c r="D666" s="86">
        <v>10.0</v>
      </c>
      <c r="E666" s="86"/>
      <c r="F666" s="86"/>
      <c r="G666" s="86"/>
      <c r="H666" s="86"/>
      <c r="I666" s="185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</row>
    <row r="667" ht="15.75" customHeight="1">
      <c r="A667" s="184">
        <v>46082.74284908565</v>
      </c>
      <c r="B667" s="86" t="s">
        <v>1273</v>
      </c>
      <c r="C667" s="86">
        <v>6.0</v>
      </c>
      <c r="D667" s="86">
        <v>6.0</v>
      </c>
      <c r="E667" s="86"/>
      <c r="F667" s="86"/>
      <c r="G667" s="86"/>
      <c r="H667" s="86"/>
      <c r="I667" s="185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</row>
    <row r="668" ht="15.75" customHeight="1">
      <c r="A668" s="184">
        <v>46082.74331063657</v>
      </c>
      <c r="B668" s="86" t="s">
        <v>1307</v>
      </c>
      <c r="C668" s="186">
        <v>1.0</v>
      </c>
      <c r="D668" s="86">
        <v>7.0</v>
      </c>
      <c r="E668" s="86"/>
      <c r="F668" s="86"/>
      <c r="G668" s="86"/>
      <c r="H668" s="86"/>
      <c r="I668" s="185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</row>
    <row r="669" ht="15.75" customHeight="1">
      <c r="A669" s="184">
        <v>46082.74499481481</v>
      </c>
      <c r="B669" s="86" t="s">
        <v>713</v>
      </c>
      <c r="C669" s="186">
        <v>1.0</v>
      </c>
      <c r="D669" s="86">
        <v>4.0</v>
      </c>
      <c r="E669" s="86"/>
      <c r="F669" s="86" t="s">
        <v>2042</v>
      </c>
      <c r="G669" s="86"/>
      <c r="H669" s="86">
        <v>3000.0</v>
      </c>
      <c r="I669" s="185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</row>
    <row r="670" ht="15.75" customHeight="1">
      <c r="A670" s="184">
        <v>46082.74499481481</v>
      </c>
      <c r="B670" s="86" t="s">
        <v>148</v>
      </c>
      <c r="C670" s="186">
        <v>1.0</v>
      </c>
      <c r="D670" s="86">
        <v>10.0</v>
      </c>
      <c r="E670" s="86"/>
      <c r="F670" s="86" t="s">
        <v>2042</v>
      </c>
      <c r="G670" s="86"/>
      <c r="H670" s="86">
        <v>1600.0</v>
      </c>
      <c r="I670" s="185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</row>
    <row r="671" ht="15.75" customHeight="1">
      <c r="A671" s="184">
        <v>46082.74499481481</v>
      </c>
      <c r="B671" s="86" t="s">
        <v>61</v>
      </c>
      <c r="C671" s="186">
        <v>3.0</v>
      </c>
      <c r="D671" s="86">
        <v>16.0</v>
      </c>
      <c r="E671" s="86"/>
      <c r="F671" s="86" t="s">
        <v>2042</v>
      </c>
      <c r="G671" s="86"/>
      <c r="H671" s="86">
        <v>600.0</v>
      </c>
      <c r="I671" s="185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</row>
    <row r="672" ht="15.75" customHeight="1">
      <c r="A672" s="184">
        <v>46082.74535756945</v>
      </c>
      <c r="B672" s="86" t="s">
        <v>550</v>
      </c>
      <c r="C672" s="186">
        <v>3.0</v>
      </c>
      <c r="D672" s="86">
        <v>24.0</v>
      </c>
      <c r="E672" s="86"/>
      <c r="F672" s="86"/>
      <c r="G672" s="86"/>
      <c r="H672" s="86"/>
      <c r="I672" s="185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</row>
    <row r="673" ht="15.75" customHeight="1">
      <c r="A673" s="184">
        <v>46082.74581869213</v>
      </c>
      <c r="B673" s="86" t="s">
        <v>1243</v>
      </c>
      <c r="C673" s="186">
        <v>1.0</v>
      </c>
      <c r="D673" s="86">
        <v>3.0</v>
      </c>
      <c r="E673" s="86"/>
      <c r="F673" s="86"/>
      <c r="G673" s="86"/>
      <c r="H673" s="86"/>
      <c r="I673" s="185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</row>
    <row r="674" ht="15.75" customHeight="1">
      <c r="A674" s="184">
        <v>46082.74601524306</v>
      </c>
      <c r="B674" s="86" t="s">
        <v>548</v>
      </c>
      <c r="C674" s="86">
        <v>6.0</v>
      </c>
      <c r="D674" s="86">
        <v>15.0</v>
      </c>
      <c r="E674" s="86"/>
      <c r="F674" s="86"/>
      <c r="G674" s="86"/>
      <c r="H674" s="86"/>
      <c r="I674" s="185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</row>
    <row r="675" ht="15.75" customHeight="1">
      <c r="A675" s="184">
        <v>46082.74621295139</v>
      </c>
      <c r="B675" s="86" t="s">
        <v>546</v>
      </c>
      <c r="C675" s="186">
        <v>1.0</v>
      </c>
      <c r="D675" s="86">
        <v>7.0</v>
      </c>
      <c r="E675" s="86"/>
      <c r="F675" s="86"/>
      <c r="G675" s="86"/>
      <c r="H675" s="86"/>
      <c r="I675" s="185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</row>
    <row r="676" ht="15.75" customHeight="1">
      <c r="A676" s="184">
        <v>46082.74855965278</v>
      </c>
      <c r="B676" s="86" t="s">
        <v>333</v>
      </c>
      <c r="C676" s="86">
        <v>2.0</v>
      </c>
      <c r="D676" s="86">
        <v>2.0</v>
      </c>
      <c r="E676" s="86"/>
      <c r="F676" s="86"/>
      <c r="G676" s="86"/>
      <c r="H676" s="86"/>
      <c r="I676" s="185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</row>
    <row r="677" ht="15.75" customHeight="1">
      <c r="A677" s="184">
        <v>46082.749029375</v>
      </c>
      <c r="B677" s="86" t="s">
        <v>158</v>
      </c>
      <c r="C677" s="186">
        <v>3.0</v>
      </c>
      <c r="D677" s="86">
        <v>5.0</v>
      </c>
      <c r="E677" s="86"/>
      <c r="F677" s="86" t="s">
        <v>2042</v>
      </c>
      <c r="G677" s="86"/>
      <c r="H677" s="86">
        <v>500.0</v>
      </c>
      <c r="I677" s="185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</row>
    <row r="678" ht="15.75" customHeight="1">
      <c r="A678" s="184">
        <v>46082.749029375</v>
      </c>
      <c r="B678" s="86" t="s">
        <v>1628</v>
      </c>
      <c r="C678" s="186">
        <v>5.0</v>
      </c>
      <c r="D678" s="86">
        <v>10.0</v>
      </c>
      <c r="E678" s="86"/>
      <c r="F678" s="86" t="s">
        <v>2041</v>
      </c>
      <c r="G678" s="86"/>
      <c r="H678" s="86">
        <v>440.0</v>
      </c>
      <c r="I678" s="185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</row>
    <row r="679" ht="15.75" customHeight="1">
      <c r="A679" s="184">
        <v>46082.749029375</v>
      </c>
      <c r="B679" s="86" t="s">
        <v>1629</v>
      </c>
      <c r="C679" s="186">
        <v>2.0</v>
      </c>
      <c r="D679" s="86">
        <v>2.0</v>
      </c>
      <c r="E679" s="86"/>
      <c r="F679" s="86" t="s">
        <v>2041</v>
      </c>
      <c r="G679" s="86"/>
      <c r="H679" s="86">
        <v>500.0</v>
      </c>
      <c r="I679" s="185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</row>
    <row r="680" ht="15.75" customHeight="1">
      <c r="A680" s="184">
        <v>46082.749029375</v>
      </c>
      <c r="B680" s="86" t="s">
        <v>333</v>
      </c>
      <c r="C680" s="86">
        <v>-1.0</v>
      </c>
      <c r="D680" s="86">
        <v>1.0</v>
      </c>
      <c r="E680" s="86"/>
      <c r="F680" s="86" t="s">
        <v>2042</v>
      </c>
      <c r="G680" s="86"/>
      <c r="H680" s="86">
        <v>3000.0</v>
      </c>
      <c r="I680" s="185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</row>
    <row r="681" ht="15.75" customHeight="1">
      <c r="A681" s="184">
        <v>46082.74943969907</v>
      </c>
      <c r="B681" s="86" t="s">
        <v>1632</v>
      </c>
      <c r="C681" s="186">
        <v>3.0</v>
      </c>
      <c r="D681" s="86">
        <v>8.0</v>
      </c>
      <c r="E681" s="86"/>
      <c r="F681" s="86" t="s">
        <v>2041</v>
      </c>
      <c r="G681" s="86"/>
      <c r="H681" s="86">
        <v>600.0</v>
      </c>
      <c r="I681" s="185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</row>
    <row r="682" ht="15.75" customHeight="1">
      <c r="A682" s="184">
        <v>46082.76418329861</v>
      </c>
      <c r="B682" s="86" t="s">
        <v>1275</v>
      </c>
      <c r="C682" s="86">
        <v>2.0</v>
      </c>
      <c r="D682" s="86">
        <v>2.0</v>
      </c>
      <c r="E682" s="86"/>
      <c r="F682" s="86"/>
      <c r="G682" s="86"/>
      <c r="H682" s="86"/>
      <c r="I682" s="185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</row>
    <row r="683" ht="15.75" customHeight="1">
      <c r="A683" s="184">
        <v>46082.768396875</v>
      </c>
      <c r="B683" s="86" t="s">
        <v>1269</v>
      </c>
      <c r="C683" s="186">
        <v>2.0</v>
      </c>
      <c r="D683" s="86">
        <v>7.0</v>
      </c>
      <c r="E683" s="86"/>
      <c r="F683" s="86" t="s">
        <v>2042</v>
      </c>
      <c r="G683" s="86"/>
      <c r="H683" s="86">
        <v>4500.0</v>
      </c>
      <c r="I683" s="185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</row>
    <row r="684" ht="15.75" customHeight="1">
      <c r="A684" s="184">
        <v>46082.7844900463</v>
      </c>
      <c r="B684" s="86" t="s">
        <v>501</v>
      </c>
      <c r="C684" s="186">
        <v>1.0</v>
      </c>
      <c r="D684" s="86">
        <v>9.0</v>
      </c>
      <c r="E684" s="86"/>
      <c r="F684" s="86" t="s">
        <v>2042</v>
      </c>
      <c r="G684" s="86"/>
      <c r="H684" s="86">
        <v>1000.0</v>
      </c>
      <c r="I684" s="185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</row>
    <row r="685" ht="15.75" customHeight="1">
      <c r="A685" s="184">
        <v>46082.79747350694</v>
      </c>
      <c r="B685" s="86" t="s">
        <v>1639</v>
      </c>
      <c r="C685" s="186">
        <v>3.0</v>
      </c>
      <c r="D685" s="86">
        <v>10.0</v>
      </c>
      <c r="E685" s="86"/>
      <c r="F685" s="86" t="s">
        <v>2041</v>
      </c>
      <c r="G685" s="86"/>
      <c r="H685" s="86">
        <v>3500.0</v>
      </c>
      <c r="I685" s="185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</row>
    <row r="686" ht="15.75" customHeight="1">
      <c r="A686" s="184">
        <v>46082.79747350694</v>
      </c>
      <c r="B686" s="86" t="s">
        <v>86</v>
      </c>
      <c r="C686" s="186">
        <v>1.0</v>
      </c>
      <c r="D686" s="86">
        <v>3.0</v>
      </c>
      <c r="E686" s="86"/>
      <c r="F686" s="86" t="s">
        <v>2042</v>
      </c>
      <c r="G686" s="86"/>
      <c r="H686" s="86">
        <v>5000.0</v>
      </c>
      <c r="I686" s="185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</row>
    <row r="687" ht="15.75" customHeight="1">
      <c r="A687" s="184">
        <v>46082.79747350694</v>
      </c>
      <c r="B687" s="86" t="s">
        <v>544</v>
      </c>
      <c r="C687" s="186">
        <v>3.0</v>
      </c>
      <c r="D687" s="86">
        <v>5.0</v>
      </c>
      <c r="E687" s="86"/>
      <c r="F687" s="86" t="s">
        <v>2042</v>
      </c>
      <c r="G687" s="86"/>
      <c r="H687" s="86">
        <v>7200.0</v>
      </c>
      <c r="I687" s="185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</row>
    <row r="688" ht="15.75" customHeight="1">
      <c r="A688" s="184">
        <v>46082.79747350694</v>
      </c>
      <c r="B688" s="86" t="s">
        <v>642</v>
      </c>
      <c r="C688" s="186">
        <v>3.0</v>
      </c>
      <c r="D688" s="86">
        <v>6.0</v>
      </c>
      <c r="E688" s="86"/>
      <c r="F688" s="86" t="s">
        <v>2042</v>
      </c>
      <c r="G688" s="86"/>
      <c r="H688" s="86">
        <v>4000.0</v>
      </c>
      <c r="I688" s="185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</row>
    <row r="689" ht="15.75" customHeight="1">
      <c r="A689" s="184">
        <v>46082.79747350694</v>
      </c>
      <c r="B689" s="86" t="s">
        <v>472</v>
      </c>
      <c r="C689" s="186">
        <v>3.0</v>
      </c>
      <c r="D689" s="86">
        <v>12.0</v>
      </c>
      <c r="E689" s="86"/>
      <c r="F689" s="86" t="s">
        <v>2042</v>
      </c>
      <c r="G689" s="86"/>
      <c r="H689" s="86">
        <v>4500.0</v>
      </c>
      <c r="I689" s="185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</row>
    <row r="690" ht="15.75" customHeight="1">
      <c r="A690" s="184">
        <v>46082.85852851852</v>
      </c>
      <c r="B690" s="86" t="s">
        <v>348</v>
      </c>
      <c r="C690" s="86">
        <v>0.0</v>
      </c>
      <c r="D690" s="86">
        <v>5.0</v>
      </c>
      <c r="E690" s="86"/>
      <c r="F690" s="86"/>
      <c r="G690" s="86"/>
      <c r="H690" s="86">
        <v>4300.0</v>
      </c>
      <c r="I690" s="185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</row>
    <row r="691" ht="15.75" customHeight="1">
      <c r="A691" s="184">
        <v>46082.859304375</v>
      </c>
      <c r="B691" s="86" t="s">
        <v>2044</v>
      </c>
      <c r="C691" s="86">
        <v>0.0</v>
      </c>
      <c r="D691" s="86">
        <v>3.0</v>
      </c>
      <c r="E691" s="86"/>
      <c r="F691" s="86"/>
      <c r="G691" s="86"/>
      <c r="H691" s="86"/>
      <c r="I691" s="185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</row>
    <row r="692" ht="15.75" customHeight="1">
      <c r="A692" s="184">
        <v>46082.87760077546</v>
      </c>
      <c r="B692" s="86" t="s">
        <v>1277</v>
      </c>
      <c r="C692" s="86">
        <v>5.0</v>
      </c>
      <c r="D692" s="86">
        <v>8.0</v>
      </c>
      <c r="E692" s="86"/>
      <c r="F692" s="86"/>
      <c r="G692" s="86"/>
      <c r="H692" s="86"/>
      <c r="I692" s="185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</row>
    <row r="693" ht="15.75" customHeight="1">
      <c r="A693" s="184">
        <v>46083.71854981482</v>
      </c>
      <c r="B693" s="86" t="s">
        <v>715</v>
      </c>
      <c r="C693" s="86">
        <v>3.0</v>
      </c>
      <c r="D693" s="86">
        <v>6.0</v>
      </c>
      <c r="E693" s="86"/>
      <c r="F693" s="86" t="s">
        <v>47</v>
      </c>
      <c r="G693" s="86">
        <v>759.0</v>
      </c>
      <c r="H693" s="86">
        <v>1600.0</v>
      </c>
      <c r="I693" s="185">
        <v>46279.0</v>
      </c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</row>
    <row r="694" ht="15.75" customHeight="1">
      <c r="A694" s="184">
        <v>46083.72041259259</v>
      </c>
      <c r="B694" s="86" t="s">
        <v>415</v>
      </c>
      <c r="C694" s="86">
        <v>3.0</v>
      </c>
      <c r="D694" s="86">
        <v>9.0</v>
      </c>
      <c r="E694" s="86"/>
      <c r="F694" s="86" t="s">
        <v>47</v>
      </c>
      <c r="G694" s="86">
        <v>879.0</v>
      </c>
      <c r="H694" s="86">
        <v>2000.0</v>
      </c>
      <c r="I694" s="185">
        <v>46217.0</v>
      </c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</row>
    <row r="695" ht="15.75" customHeight="1">
      <c r="A695" s="184">
        <v>46083.72226206018</v>
      </c>
      <c r="B695" s="86" t="s">
        <v>411</v>
      </c>
      <c r="C695" s="86">
        <v>3.0</v>
      </c>
      <c r="D695" s="86">
        <v>12.0</v>
      </c>
      <c r="E695" s="86"/>
      <c r="F695" s="86" t="s">
        <v>47</v>
      </c>
      <c r="G695" s="86">
        <v>839.0</v>
      </c>
      <c r="H695" s="86">
        <v>1600.0</v>
      </c>
      <c r="I695" s="185">
        <v>46231.0</v>
      </c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</row>
    <row r="696" ht="15.75" customHeight="1">
      <c r="A696" s="184">
        <v>46083.72364805556</v>
      </c>
      <c r="B696" s="86" t="s">
        <v>558</v>
      </c>
      <c r="C696" s="86">
        <v>3.0</v>
      </c>
      <c r="D696" s="86">
        <v>16.0</v>
      </c>
      <c r="E696" s="86"/>
      <c r="F696" s="86" t="s">
        <v>47</v>
      </c>
      <c r="G696" s="86">
        <v>2099.0</v>
      </c>
      <c r="H696" s="86">
        <v>3600.0</v>
      </c>
      <c r="I696" s="185">
        <v>46218.0</v>
      </c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</row>
    <row r="697" ht="15.75" customHeight="1">
      <c r="A697" s="184">
        <v>46083.72901010417</v>
      </c>
      <c r="B697" s="86" t="s">
        <v>105</v>
      </c>
      <c r="C697" s="86">
        <v>2.0</v>
      </c>
      <c r="D697" s="86">
        <v>4.0</v>
      </c>
      <c r="E697" s="86"/>
      <c r="F697" s="86" t="s">
        <v>47</v>
      </c>
      <c r="G697" s="86">
        <v>4150.0</v>
      </c>
      <c r="H697" s="86">
        <v>7000.0</v>
      </c>
      <c r="I697" s="185">
        <v>47498.0</v>
      </c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</row>
    <row r="698" ht="15.75" customHeight="1">
      <c r="A698" s="184">
        <v>46083.73020252315</v>
      </c>
      <c r="B698" s="86" t="s">
        <v>234</v>
      </c>
      <c r="C698" s="86">
        <v>3.0</v>
      </c>
      <c r="D698" s="86">
        <v>3.0</v>
      </c>
      <c r="E698" s="86" t="s">
        <v>1153</v>
      </c>
      <c r="F698" s="86" t="s">
        <v>47</v>
      </c>
      <c r="G698" s="86">
        <v>4806.0</v>
      </c>
      <c r="H698" s="86">
        <v>8000.0</v>
      </c>
      <c r="I698" s="185">
        <v>46125.0</v>
      </c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</row>
    <row r="699" ht="15.75" customHeight="1">
      <c r="A699" s="184">
        <v>46083.73126403935</v>
      </c>
      <c r="B699" s="86" t="s">
        <v>429</v>
      </c>
      <c r="C699" s="86">
        <v>3.0</v>
      </c>
      <c r="D699" s="86">
        <v>5.0</v>
      </c>
      <c r="E699" s="86"/>
      <c r="F699" s="86" t="s">
        <v>47</v>
      </c>
      <c r="G699" s="86">
        <v>1070.0</v>
      </c>
      <c r="H699" s="86">
        <v>2000.0</v>
      </c>
      <c r="I699" s="185">
        <v>46306.0</v>
      </c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</row>
    <row r="700" ht="15.75" customHeight="1">
      <c r="A700" s="184">
        <v>46083.73233983796</v>
      </c>
      <c r="B700" s="86" t="s">
        <v>528</v>
      </c>
      <c r="C700" s="86">
        <v>6.0</v>
      </c>
      <c r="D700" s="86">
        <v>6.0</v>
      </c>
      <c r="E700" s="86"/>
      <c r="F700" s="86" t="s">
        <v>47</v>
      </c>
      <c r="G700" s="86">
        <v>1976.0</v>
      </c>
      <c r="H700" s="86">
        <v>3200.0</v>
      </c>
      <c r="I700" s="185">
        <v>46096.0</v>
      </c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</row>
    <row r="701" ht="15.75" customHeight="1">
      <c r="A701" s="184">
        <v>46083.73381104167</v>
      </c>
      <c r="B701" s="86" t="s">
        <v>967</v>
      </c>
      <c r="C701" s="86">
        <v>3.0</v>
      </c>
      <c r="D701" s="86">
        <v>5.0</v>
      </c>
      <c r="E701" s="86"/>
      <c r="F701" s="86" t="s">
        <v>47</v>
      </c>
      <c r="G701" s="86">
        <v>849.0</v>
      </c>
      <c r="H701" s="86">
        <v>1500.0</v>
      </c>
      <c r="I701" s="185">
        <v>47143.0</v>
      </c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</row>
    <row r="702" ht="15.75" customHeight="1">
      <c r="A702" s="184">
        <v>46083.73537946759</v>
      </c>
      <c r="B702" s="86" t="s">
        <v>262</v>
      </c>
      <c r="C702" s="86">
        <v>3.0</v>
      </c>
      <c r="D702" s="86">
        <v>7.0</v>
      </c>
      <c r="E702" s="86"/>
      <c r="F702" s="86" t="s">
        <v>47</v>
      </c>
      <c r="G702" s="86">
        <v>1499.0</v>
      </c>
      <c r="H702" s="86">
        <v>3500.0</v>
      </c>
      <c r="I702" s="185">
        <v>46803.0</v>
      </c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</row>
    <row r="703" ht="15.75" customHeight="1">
      <c r="A703" s="184">
        <v>46083.73713881944</v>
      </c>
      <c r="B703" s="86" t="s">
        <v>189</v>
      </c>
      <c r="C703" s="86">
        <v>3.0</v>
      </c>
      <c r="D703" s="86">
        <v>7.0</v>
      </c>
      <c r="E703" s="86"/>
      <c r="F703" s="86" t="s">
        <v>47</v>
      </c>
      <c r="G703" s="86">
        <v>1499.0</v>
      </c>
      <c r="H703" s="86">
        <v>3000.0</v>
      </c>
      <c r="I703" s="185">
        <v>46224.0</v>
      </c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</row>
    <row r="704" ht="15.75" customHeight="1">
      <c r="A704" s="184">
        <v>46083.73849615741</v>
      </c>
      <c r="B704" s="86" t="s">
        <v>189</v>
      </c>
      <c r="C704" s="86">
        <v>1.0</v>
      </c>
      <c r="D704" s="86">
        <v>8.0</v>
      </c>
      <c r="E704" s="86"/>
      <c r="F704" s="86" t="s">
        <v>47</v>
      </c>
      <c r="G704" s="86">
        <v>1499.0</v>
      </c>
      <c r="H704" s="86">
        <v>3000.0</v>
      </c>
      <c r="I704" s="185">
        <v>46194.0</v>
      </c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</row>
    <row r="705" ht="15.75" customHeight="1">
      <c r="A705" s="184">
        <v>46083.73912305556</v>
      </c>
      <c r="B705" s="86" t="s">
        <v>562</v>
      </c>
      <c r="C705" s="86">
        <v>3.0</v>
      </c>
      <c r="D705" s="86">
        <v>6.0</v>
      </c>
      <c r="E705" s="86"/>
      <c r="F705" s="86" t="s">
        <v>47</v>
      </c>
      <c r="G705" s="86">
        <v>1265.0</v>
      </c>
      <c r="H705" s="86">
        <v>3000.0</v>
      </c>
      <c r="I705" s="185">
        <v>46224.0</v>
      </c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</row>
    <row r="706" ht="15.75" customHeight="1">
      <c r="A706" s="184">
        <v>46083.74029603009</v>
      </c>
      <c r="B706" s="86" t="s">
        <v>191</v>
      </c>
      <c r="C706" s="86">
        <v>3.0</v>
      </c>
      <c r="D706" s="86">
        <v>3.0</v>
      </c>
      <c r="E706" s="86" t="s">
        <v>263</v>
      </c>
      <c r="F706" s="86" t="s">
        <v>47</v>
      </c>
      <c r="G706" s="86">
        <v>1880.0</v>
      </c>
      <c r="H706" s="86">
        <v>3200.0</v>
      </c>
      <c r="I706" s="185">
        <v>46202.0</v>
      </c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</row>
    <row r="707" ht="15.75" customHeight="1">
      <c r="A707" s="184">
        <v>46083.74130604167</v>
      </c>
      <c r="B707" s="86" t="s">
        <v>2027</v>
      </c>
      <c r="C707" s="86">
        <v>12.0</v>
      </c>
      <c r="D707" s="86">
        <v>12.0</v>
      </c>
      <c r="E707" s="86"/>
      <c r="F707" s="86" t="s">
        <v>47</v>
      </c>
      <c r="G707" s="86">
        <v>2190.0</v>
      </c>
      <c r="H707" s="86">
        <v>3300.0</v>
      </c>
      <c r="I707" s="185">
        <v>46133.0</v>
      </c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</row>
    <row r="708" ht="15.75" customHeight="1">
      <c r="A708" s="184">
        <v>46083.74859902778</v>
      </c>
      <c r="B708" s="86" t="s">
        <v>421</v>
      </c>
      <c r="C708" s="86">
        <v>3.0</v>
      </c>
      <c r="D708" s="86">
        <v>10.0</v>
      </c>
      <c r="E708" s="86"/>
      <c r="F708" s="86" t="s">
        <v>47</v>
      </c>
      <c r="G708" s="86">
        <v>1685.0</v>
      </c>
      <c r="H708" s="86">
        <v>3200.0</v>
      </c>
      <c r="I708" s="185">
        <v>46414.0</v>
      </c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</row>
    <row r="709" ht="15.75" customHeight="1">
      <c r="A709" s="184">
        <v>46083.75024400463</v>
      </c>
      <c r="B709" s="86" t="s">
        <v>455</v>
      </c>
      <c r="C709" s="86">
        <v>3.0</v>
      </c>
      <c r="D709" s="86">
        <v>4.0</v>
      </c>
      <c r="E709" s="86"/>
      <c r="F709" s="86" t="s">
        <v>47</v>
      </c>
      <c r="G709" s="86">
        <v>1949.0</v>
      </c>
      <c r="H709" s="86">
        <v>2900.0</v>
      </c>
      <c r="I709" s="185">
        <v>46233.0</v>
      </c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</row>
    <row r="710" ht="15.75" customHeight="1">
      <c r="A710" s="184">
        <v>46083.75126516203</v>
      </c>
      <c r="B710" s="86" t="s">
        <v>270</v>
      </c>
      <c r="C710" s="86">
        <v>3.0</v>
      </c>
      <c r="D710" s="86">
        <v>10.0</v>
      </c>
      <c r="E710" s="86"/>
      <c r="F710" s="86" t="s">
        <v>47</v>
      </c>
      <c r="G710" s="86">
        <v>1799.0</v>
      </c>
      <c r="H710" s="86">
        <v>3500.0</v>
      </c>
      <c r="I710" s="185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</row>
    <row r="711" ht="15.75" customHeight="1">
      <c r="A711" s="184">
        <v>46083.75484212963</v>
      </c>
      <c r="B711" s="86" t="s">
        <v>86</v>
      </c>
      <c r="C711" s="86">
        <v>3.0</v>
      </c>
      <c r="D711" s="86">
        <v>6.0</v>
      </c>
      <c r="E711" s="86"/>
      <c r="F711" s="86" t="s">
        <v>47</v>
      </c>
      <c r="G711" s="86">
        <v>2870.0</v>
      </c>
      <c r="H711" s="86">
        <v>5000.0</v>
      </c>
      <c r="I711" s="185">
        <v>46750.0</v>
      </c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</row>
    <row r="712" ht="15.75" customHeight="1">
      <c r="A712" s="184">
        <v>46083.75779256944</v>
      </c>
      <c r="B712" s="86" t="s">
        <v>1207</v>
      </c>
      <c r="C712" s="86">
        <v>3.0</v>
      </c>
      <c r="D712" s="86">
        <v>7.0</v>
      </c>
      <c r="E712" s="86"/>
      <c r="F712" s="86" t="s">
        <v>47</v>
      </c>
      <c r="G712" s="86">
        <v>429.0</v>
      </c>
      <c r="H712" s="86">
        <v>700.0</v>
      </c>
      <c r="I712" s="185">
        <v>46442.0</v>
      </c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</row>
    <row r="713" ht="15.75" customHeight="1">
      <c r="A713" s="184">
        <v>46083.75860351852</v>
      </c>
      <c r="B713" s="86" t="s">
        <v>180</v>
      </c>
      <c r="C713" s="86">
        <v>3.0</v>
      </c>
      <c r="D713" s="86">
        <v>3.0</v>
      </c>
      <c r="E713" s="86"/>
      <c r="F713" s="86" t="s">
        <v>47</v>
      </c>
      <c r="G713" s="86">
        <v>429.0</v>
      </c>
      <c r="H713" s="86">
        <v>700.0</v>
      </c>
      <c r="I713" s="185">
        <v>46465.0</v>
      </c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</row>
    <row r="714" ht="15.75" customHeight="1">
      <c r="A714" s="184">
        <v>46083.75977873843</v>
      </c>
      <c r="B714" s="86" t="s">
        <v>168</v>
      </c>
      <c r="C714" s="86">
        <v>3.0</v>
      </c>
      <c r="D714" s="86">
        <v>3.0</v>
      </c>
      <c r="E714" s="86" t="s">
        <v>1216</v>
      </c>
      <c r="F714" s="86" t="s">
        <v>47</v>
      </c>
      <c r="G714" s="86">
        <v>429.0</v>
      </c>
      <c r="H714" s="86">
        <v>700.0</v>
      </c>
      <c r="I714" s="185">
        <v>46496.0</v>
      </c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</row>
    <row r="715" ht="15.75" customHeight="1">
      <c r="A715" s="184">
        <v>46083.76061501158</v>
      </c>
      <c r="B715" s="86" t="s">
        <v>164</v>
      </c>
      <c r="C715" s="86">
        <v>3.0</v>
      </c>
      <c r="D715" s="86">
        <v>3.0</v>
      </c>
      <c r="E715" s="86" t="s">
        <v>267</v>
      </c>
      <c r="F715" s="86" t="s">
        <v>47</v>
      </c>
      <c r="G715" s="86">
        <v>429.0</v>
      </c>
      <c r="H715" s="86">
        <v>700.0</v>
      </c>
      <c r="I715" s="185">
        <v>46358.0</v>
      </c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</row>
    <row r="716" ht="15.75" customHeight="1">
      <c r="A716" s="184">
        <v>46083.76428054398</v>
      </c>
      <c r="B716" s="86" t="s">
        <v>166</v>
      </c>
      <c r="C716" s="86">
        <v>3.0</v>
      </c>
      <c r="D716" s="86">
        <v>3.0</v>
      </c>
      <c r="E716" s="86" t="s">
        <v>269</v>
      </c>
      <c r="F716" s="86" t="s">
        <v>47</v>
      </c>
      <c r="G716" s="86">
        <v>429.0</v>
      </c>
      <c r="H716" s="86">
        <v>700.0</v>
      </c>
      <c r="I716" s="185">
        <v>46519.0</v>
      </c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</row>
    <row r="717" ht="15.75" customHeight="1">
      <c r="A717" s="184">
        <v>46083.76724824074</v>
      </c>
      <c r="B717" s="86" t="s">
        <v>174</v>
      </c>
      <c r="C717" s="86">
        <v>3.0</v>
      </c>
      <c r="D717" s="86">
        <v>3.0</v>
      </c>
      <c r="E717" s="86" t="s">
        <v>1218</v>
      </c>
      <c r="F717" s="86" t="s">
        <v>47</v>
      </c>
      <c r="G717" s="86">
        <v>429.0</v>
      </c>
      <c r="H717" s="86">
        <v>700.0</v>
      </c>
      <c r="I717" s="185">
        <v>46523.0</v>
      </c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</row>
    <row r="718" ht="15.75" customHeight="1">
      <c r="A718" s="184">
        <v>46083.76838184028</v>
      </c>
      <c r="B718" s="86" t="s">
        <v>176</v>
      </c>
      <c r="C718" s="86">
        <v>3.0</v>
      </c>
      <c r="D718" s="86">
        <v>3.0</v>
      </c>
      <c r="E718" s="86" t="s">
        <v>271</v>
      </c>
      <c r="F718" s="86" t="s">
        <v>47</v>
      </c>
      <c r="G718" s="86">
        <v>429.0</v>
      </c>
      <c r="H718" s="86">
        <v>700.0</v>
      </c>
      <c r="I718" s="185">
        <v>46497.0</v>
      </c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</row>
    <row r="719" ht="15.75" customHeight="1">
      <c r="A719" s="184">
        <v>46083.84399438657</v>
      </c>
      <c r="B719" s="86" t="s">
        <v>2045</v>
      </c>
      <c r="C719" s="86">
        <v>0.0</v>
      </c>
      <c r="D719" s="86">
        <v>5.0</v>
      </c>
      <c r="E719" s="86"/>
      <c r="F719" s="86"/>
      <c r="G719" s="86"/>
      <c r="H719" s="86"/>
      <c r="I719" s="185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</row>
    <row r="720" ht="15.75" customHeight="1">
      <c r="A720" s="184">
        <v>46083.84891177083</v>
      </c>
      <c r="B720" s="86" t="s">
        <v>766</v>
      </c>
      <c r="C720" s="86">
        <v>1.0</v>
      </c>
      <c r="D720" s="86">
        <v>7.0</v>
      </c>
      <c r="E720" s="86"/>
      <c r="F720" s="86" t="s">
        <v>47</v>
      </c>
      <c r="G720" s="86">
        <v>2500.0</v>
      </c>
      <c r="H720" s="86">
        <v>4000.0</v>
      </c>
      <c r="I720" s="185">
        <v>46382.0</v>
      </c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</row>
    <row r="721" ht="15.75" customHeight="1">
      <c r="A721" s="184">
        <v>46083.84923769676</v>
      </c>
      <c r="B721" s="86" t="s">
        <v>766</v>
      </c>
      <c r="C721" s="186">
        <v>1.0</v>
      </c>
      <c r="D721" s="86">
        <v>2.0</v>
      </c>
      <c r="E721" s="86"/>
      <c r="F721" s="86"/>
      <c r="G721" s="86"/>
      <c r="H721" s="86"/>
      <c r="I721" s="185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</row>
    <row r="722" ht="15.75" customHeight="1">
      <c r="A722" s="184">
        <v>46083.84982375</v>
      </c>
      <c r="B722" s="86" t="s">
        <v>990</v>
      </c>
      <c r="C722" s="86">
        <v>3.0</v>
      </c>
      <c r="D722" s="86">
        <v>3.0</v>
      </c>
      <c r="E722" s="86"/>
      <c r="F722" s="86"/>
      <c r="G722" s="86"/>
      <c r="H722" s="86"/>
      <c r="I722" s="185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</row>
    <row r="723" ht="15.75" customHeight="1">
      <c r="A723" s="184">
        <v>46083.8516916088</v>
      </c>
      <c r="B723" s="86" t="s">
        <v>2046</v>
      </c>
      <c r="C723" s="86">
        <v>1.0</v>
      </c>
      <c r="D723" s="86">
        <v>6.0</v>
      </c>
      <c r="E723" s="86"/>
      <c r="F723" s="86" t="s">
        <v>524</v>
      </c>
      <c r="G723" s="86"/>
      <c r="H723" s="86">
        <v>4500.0</v>
      </c>
      <c r="I723" s="185">
        <v>46083.0</v>
      </c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</row>
    <row r="724" ht="15.75" customHeight="1">
      <c r="A724" s="184">
        <v>46083.85231015046</v>
      </c>
      <c r="B724" s="86" t="s">
        <v>2047</v>
      </c>
      <c r="C724" s="86">
        <v>0.0</v>
      </c>
      <c r="D724" s="86">
        <v>2.0</v>
      </c>
      <c r="E724" s="86"/>
      <c r="F724" s="86"/>
      <c r="G724" s="86"/>
      <c r="H724" s="86"/>
      <c r="I724" s="185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</row>
    <row r="725" ht="15.75" customHeight="1">
      <c r="A725" s="184">
        <v>46083.85370298611</v>
      </c>
      <c r="B725" s="86" t="s">
        <v>2046</v>
      </c>
      <c r="C725" s="86">
        <v>1.0</v>
      </c>
      <c r="D725" s="86">
        <v>7.0</v>
      </c>
      <c r="E725" s="86"/>
      <c r="F725" s="86" t="s">
        <v>524</v>
      </c>
      <c r="G725" s="86">
        <v>2800.0</v>
      </c>
      <c r="H725" s="86">
        <v>4500.0</v>
      </c>
      <c r="I725" s="185">
        <v>46083.0</v>
      </c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</row>
    <row r="726" ht="15.75" customHeight="1">
      <c r="A726" s="184">
        <v>46083.87167401621</v>
      </c>
      <c r="B726" s="86" t="s">
        <v>182</v>
      </c>
      <c r="C726" s="86">
        <v>0.0</v>
      </c>
      <c r="D726" s="86">
        <v>10.0</v>
      </c>
      <c r="E726" s="86"/>
      <c r="F726" s="86"/>
      <c r="G726" s="86"/>
      <c r="H726" s="86">
        <v>1600.0</v>
      </c>
      <c r="I726" s="185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</row>
    <row r="727" ht="15.75" customHeight="1">
      <c r="A727" s="184">
        <v>46083.87212357639</v>
      </c>
      <c r="B727" s="86" t="s">
        <v>103</v>
      </c>
      <c r="C727" s="86">
        <v>0.0</v>
      </c>
      <c r="D727" s="86">
        <v>5.0</v>
      </c>
      <c r="E727" s="86"/>
      <c r="F727" s="86"/>
      <c r="G727" s="86"/>
      <c r="H727" s="86">
        <v>1500.0</v>
      </c>
      <c r="I727" s="185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</row>
    <row r="728" ht="15.75" customHeight="1">
      <c r="A728" s="184">
        <v>46083.8724924537</v>
      </c>
      <c r="B728" s="86" t="s">
        <v>207</v>
      </c>
      <c r="C728" s="86">
        <v>4.0</v>
      </c>
      <c r="D728" s="86">
        <v>4.0</v>
      </c>
      <c r="E728" s="86"/>
      <c r="F728" s="86"/>
      <c r="G728" s="86"/>
      <c r="H728" s="86"/>
      <c r="I728" s="185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</row>
    <row r="729" ht="15.75" customHeight="1">
      <c r="A729" s="184">
        <v>46083.87310362268</v>
      </c>
      <c r="B729" s="86" t="s">
        <v>1682</v>
      </c>
      <c r="C729" s="186">
        <v>1.0</v>
      </c>
      <c r="D729" s="86">
        <v>0.0</v>
      </c>
      <c r="E729" s="86"/>
      <c r="F729" s="86"/>
      <c r="G729" s="86"/>
      <c r="H729" s="86"/>
      <c r="I729" s="185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</row>
    <row r="730" ht="15.75" customHeight="1">
      <c r="A730" s="184">
        <v>46083.8735349074</v>
      </c>
      <c r="B730" s="86" t="s">
        <v>2048</v>
      </c>
      <c r="C730" s="86">
        <v>1.0</v>
      </c>
      <c r="D730" s="86">
        <v>2.0</v>
      </c>
      <c r="E730" s="86"/>
      <c r="F730" s="86"/>
      <c r="G730" s="86"/>
      <c r="H730" s="86"/>
      <c r="I730" s="185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</row>
    <row r="731" ht="15.75" customHeight="1">
      <c r="A731" s="184">
        <v>46083.87403693287</v>
      </c>
      <c r="B731" s="86" t="s">
        <v>2016</v>
      </c>
      <c r="C731" s="186">
        <v>1.0</v>
      </c>
      <c r="D731" s="86">
        <v>2.0</v>
      </c>
      <c r="E731" s="86"/>
      <c r="F731" s="86"/>
      <c r="G731" s="86"/>
      <c r="H731" s="86"/>
      <c r="I731" s="185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</row>
    <row r="732" ht="15.75" customHeight="1">
      <c r="A732" s="184">
        <v>46083.87477762732</v>
      </c>
      <c r="B732" s="86" t="s">
        <v>2014</v>
      </c>
      <c r="C732" s="86">
        <v>1.0</v>
      </c>
      <c r="D732" s="86">
        <v>3.0</v>
      </c>
      <c r="E732" s="86"/>
      <c r="F732" s="86"/>
      <c r="G732" s="86"/>
      <c r="H732" s="86"/>
      <c r="I732" s="185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</row>
    <row r="733" ht="15.75" customHeight="1">
      <c r="A733" s="184">
        <v>46083.89418861111</v>
      </c>
      <c r="B733" s="86" t="s">
        <v>402</v>
      </c>
      <c r="C733" s="86">
        <v>0.0</v>
      </c>
      <c r="D733" s="86">
        <v>3.0</v>
      </c>
      <c r="E733" s="86"/>
      <c r="F733" s="86"/>
      <c r="G733" s="86"/>
      <c r="H733" s="86">
        <v>1600.0</v>
      </c>
      <c r="I733" s="185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</row>
    <row r="734" ht="15.75" customHeight="1">
      <c r="A734" s="184">
        <v>46083.92246884259</v>
      </c>
      <c r="B734" s="86" t="s">
        <v>466</v>
      </c>
      <c r="C734" s="86">
        <v>24.0</v>
      </c>
      <c r="D734" s="86">
        <v>24.0</v>
      </c>
      <c r="E734" s="86"/>
      <c r="F734" s="86"/>
      <c r="G734" s="86"/>
      <c r="H734" s="86"/>
      <c r="I734" s="185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</row>
    <row r="735" ht="15.75" customHeight="1">
      <c r="A735" s="184">
        <v>46083.92333909722</v>
      </c>
      <c r="B735" s="86" t="s">
        <v>466</v>
      </c>
      <c r="C735" s="86">
        <v>1.0</v>
      </c>
      <c r="D735" s="86">
        <v>25.0</v>
      </c>
      <c r="E735" s="86"/>
      <c r="F735" s="86" t="s">
        <v>47</v>
      </c>
      <c r="G735" s="86">
        <v>1239.0</v>
      </c>
      <c r="H735" s="86">
        <v>2300.0</v>
      </c>
      <c r="I735" s="185">
        <v>46142.0</v>
      </c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</row>
    <row r="736" ht="15.75" customHeight="1">
      <c r="A736" s="184">
        <v>46083.92515748843</v>
      </c>
      <c r="B736" s="86" t="s">
        <v>1277</v>
      </c>
      <c r="C736" s="86">
        <v>6.0</v>
      </c>
      <c r="D736" s="86">
        <v>10.0</v>
      </c>
      <c r="E736" s="86"/>
      <c r="F736" s="86" t="s">
        <v>114</v>
      </c>
      <c r="G736" s="86">
        <v>1900.0</v>
      </c>
      <c r="H736" s="86">
        <v>4300.0</v>
      </c>
      <c r="I736" s="185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</row>
    <row r="737" ht="15.75" customHeight="1">
      <c r="A737" s="184">
        <v>46083.92561149305</v>
      </c>
      <c r="B737" s="86" t="s">
        <v>193</v>
      </c>
      <c r="C737" s="86">
        <v>3.0</v>
      </c>
      <c r="D737" s="86">
        <v>6.0</v>
      </c>
      <c r="E737" s="86"/>
      <c r="F737" s="86" t="s">
        <v>114</v>
      </c>
      <c r="G737" s="86">
        <v>1100.0</v>
      </c>
      <c r="H737" s="86">
        <v>2200.0</v>
      </c>
      <c r="I737" s="185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</row>
    <row r="738" ht="15.75" customHeight="1">
      <c r="A738" s="184">
        <v>46083.92594266203</v>
      </c>
      <c r="B738" s="86" t="s">
        <v>348</v>
      </c>
      <c r="C738" s="86">
        <v>6.0</v>
      </c>
      <c r="D738" s="86">
        <v>11.0</v>
      </c>
      <c r="E738" s="86"/>
      <c r="F738" s="86" t="s">
        <v>114</v>
      </c>
      <c r="G738" s="86">
        <v>1900.0</v>
      </c>
      <c r="H738" s="86">
        <v>4300.0</v>
      </c>
      <c r="I738" s="185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</row>
    <row r="739" ht="15.75" customHeight="1">
      <c r="A739" s="184">
        <v>46084.22807402778</v>
      </c>
      <c r="B739" s="86" t="s">
        <v>766</v>
      </c>
      <c r="C739" s="86">
        <v>1.0</v>
      </c>
      <c r="D739" s="86">
        <v>3.0</v>
      </c>
      <c r="E739" s="86"/>
      <c r="F739" s="86" t="s">
        <v>47</v>
      </c>
      <c r="G739" s="86">
        <v>2500.0</v>
      </c>
      <c r="H739" s="86">
        <v>4000.0</v>
      </c>
      <c r="I739" s="185">
        <v>46382.0</v>
      </c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</row>
    <row r="740" ht="15.75" customHeight="1">
      <c r="A740" s="184">
        <v>46084.52209416667</v>
      </c>
      <c r="B740" s="86" t="s">
        <v>45</v>
      </c>
      <c r="C740" s="86">
        <v>1.0</v>
      </c>
      <c r="D740" s="86">
        <v>23.0</v>
      </c>
      <c r="E740" s="86"/>
      <c r="F740" s="86" t="s">
        <v>47</v>
      </c>
      <c r="G740" s="86">
        <v>1000.0</v>
      </c>
      <c r="H740" s="86">
        <v>2000.0</v>
      </c>
      <c r="I740" s="187">
        <v>46404.0</v>
      </c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</row>
    <row r="741" ht="15.75" customHeight="1">
      <c r="A741" s="184">
        <v>46084.52302792824</v>
      </c>
      <c r="B741" s="86" t="s">
        <v>49</v>
      </c>
      <c r="C741" s="86">
        <v>1.0</v>
      </c>
      <c r="D741" s="86">
        <v>11.0</v>
      </c>
      <c r="E741" s="86"/>
      <c r="F741" s="86" t="s">
        <v>47</v>
      </c>
      <c r="G741" s="86">
        <v>1500.0</v>
      </c>
      <c r="H741" s="86">
        <v>2700.0</v>
      </c>
      <c r="I741" s="187">
        <v>46324.0</v>
      </c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</row>
    <row r="742" ht="15.75" customHeight="1">
      <c r="A742" s="184">
        <v>46084.52403943287</v>
      </c>
      <c r="B742" s="86" t="s">
        <v>453</v>
      </c>
      <c r="C742" s="86">
        <v>1.0</v>
      </c>
      <c r="D742" s="86">
        <v>7.0</v>
      </c>
      <c r="E742" s="86"/>
      <c r="F742" s="86" t="s">
        <v>47</v>
      </c>
      <c r="G742" s="86">
        <v>800.0</v>
      </c>
      <c r="H742" s="86">
        <v>1600.0</v>
      </c>
      <c r="I742" s="187">
        <v>46320.0</v>
      </c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</row>
    <row r="743" ht="15.75" customHeight="1">
      <c r="A743" s="184">
        <v>46084.65469987268</v>
      </c>
      <c r="B743" s="86" t="s">
        <v>2043</v>
      </c>
      <c r="C743" s="86">
        <v>1.0</v>
      </c>
      <c r="D743" s="86">
        <v>2.0</v>
      </c>
      <c r="E743" s="86"/>
      <c r="F743" s="86" t="s">
        <v>74</v>
      </c>
      <c r="G743" s="86">
        <v>1500.0</v>
      </c>
      <c r="H743" s="86">
        <v>3200.0</v>
      </c>
      <c r="I743" s="187">
        <v>46085.0</v>
      </c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</row>
    <row r="744" ht="15.75" customHeight="1">
      <c r="A744" s="184">
        <v>46084.7408716088</v>
      </c>
      <c r="B744" s="86" t="s">
        <v>1275</v>
      </c>
      <c r="C744" s="86">
        <v>10.0</v>
      </c>
      <c r="D744" s="86">
        <v>10.0</v>
      </c>
      <c r="E744" s="69"/>
      <c r="F744" s="69"/>
      <c r="G744" s="69"/>
      <c r="H744" s="69"/>
      <c r="I744" s="185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</row>
    <row r="745" ht="15.75" customHeight="1">
      <c r="A745" s="188">
        <v>46085.573860833334</v>
      </c>
      <c r="B745" s="66" t="s">
        <v>719</v>
      </c>
      <c r="C745" s="67">
        <v>1.0</v>
      </c>
      <c r="D745" s="67">
        <v>6.0</v>
      </c>
      <c r="E745" s="69"/>
      <c r="F745" s="66" t="s">
        <v>114</v>
      </c>
      <c r="G745" s="67">
        <v>3854.0</v>
      </c>
      <c r="H745" s="67">
        <v>5800.0</v>
      </c>
      <c r="I745" s="185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</row>
    <row r="746" ht="15.75" customHeight="1">
      <c r="A746" s="188">
        <v>46085.57439165509</v>
      </c>
      <c r="B746" s="66" t="s">
        <v>491</v>
      </c>
      <c r="C746" s="67">
        <v>1.0</v>
      </c>
      <c r="D746" s="67">
        <v>4.0</v>
      </c>
      <c r="E746" s="69"/>
      <c r="F746" s="66" t="s">
        <v>114</v>
      </c>
      <c r="G746" s="67">
        <v>5380.0</v>
      </c>
      <c r="H746" s="67">
        <v>8000.0</v>
      </c>
      <c r="I746" s="185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</row>
    <row r="747" ht="15.75" customHeight="1">
      <c r="A747" s="188">
        <v>46085.57500694445</v>
      </c>
      <c r="B747" s="66" t="s">
        <v>472</v>
      </c>
      <c r="C747" s="67">
        <v>1.0</v>
      </c>
      <c r="D747" s="67">
        <v>13.0</v>
      </c>
      <c r="E747" s="69"/>
      <c r="F747" s="66" t="s">
        <v>114</v>
      </c>
      <c r="G747" s="67">
        <v>2600.0</v>
      </c>
      <c r="H747" s="67">
        <v>4500.0</v>
      </c>
      <c r="I747" s="185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</row>
    <row r="748" ht="15.75" customHeight="1">
      <c r="A748" s="188">
        <v>46085.57656427083</v>
      </c>
      <c r="B748" s="66" t="s">
        <v>133</v>
      </c>
      <c r="C748" s="67">
        <v>1.0</v>
      </c>
      <c r="D748" s="67">
        <v>7.0</v>
      </c>
      <c r="E748" s="69"/>
      <c r="F748" s="66" t="s">
        <v>114</v>
      </c>
      <c r="G748" s="67">
        <v>3937.0</v>
      </c>
      <c r="H748" s="67">
        <v>6000.0</v>
      </c>
      <c r="I748" s="185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</row>
    <row r="749" ht="15.75" customHeight="1">
      <c r="A749" s="188">
        <v>46085.57730337963</v>
      </c>
      <c r="B749" s="66" t="s">
        <v>135</v>
      </c>
      <c r="C749" s="67">
        <v>1.0</v>
      </c>
      <c r="D749" s="67">
        <v>7.0</v>
      </c>
      <c r="E749" s="69"/>
      <c r="F749" s="66" t="s">
        <v>114</v>
      </c>
      <c r="G749" s="67">
        <v>3987.0</v>
      </c>
      <c r="H749" s="67">
        <v>6000.0</v>
      </c>
      <c r="I749" s="189">
        <v>46764.0</v>
      </c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</row>
    <row r="750" ht="15.75" customHeight="1">
      <c r="A750" s="188">
        <v>46085.57886804398</v>
      </c>
      <c r="B750" s="66" t="s">
        <v>457</v>
      </c>
      <c r="C750" s="67">
        <v>1.0</v>
      </c>
      <c r="D750" s="67">
        <v>6.0</v>
      </c>
      <c r="E750" s="69"/>
      <c r="F750" s="66" t="s">
        <v>114</v>
      </c>
      <c r="G750" s="67">
        <v>2140.0</v>
      </c>
      <c r="H750" s="67">
        <v>3000.0</v>
      </c>
      <c r="I750" s="185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</row>
    <row r="751" ht="15.75" customHeight="1">
      <c r="A751" s="188">
        <v>46085.58081530093</v>
      </c>
      <c r="B751" s="66" t="s">
        <v>600</v>
      </c>
      <c r="C751" s="67">
        <v>1.0</v>
      </c>
      <c r="D751" s="67">
        <v>3.0</v>
      </c>
      <c r="E751" s="69"/>
      <c r="F751" s="66" t="s">
        <v>114</v>
      </c>
      <c r="G751" s="67">
        <v>1778.0</v>
      </c>
      <c r="H751" s="67">
        <v>2800.0</v>
      </c>
      <c r="I751" s="185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</row>
    <row r="752" ht="15.75" customHeight="1">
      <c r="A752" s="188">
        <v>46085.58394138889</v>
      </c>
      <c r="B752" s="66" t="s">
        <v>560</v>
      </c>
      <c r="C752" s="67">
        <v>1.0</v>
      </c>
      <c r="D752" s="67">
        <v>2.0</v>
      </c>
      <c r="E752" s="69"/>
      <c r="F752" s="66" t="s">
        <v>114</v>
      </c>
      <c r="G752" s="67">
        <v>2350.0</v>
      </c>
      <c r="H752" s="67">
        <v>3500.0</v>
      </c>
      <c r="I752" s="189">
        <v>46204.0</v>
      </c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</row>
    <row r="753" ht="15.75" customHeight="1">
      <c r="A753" s="188">
        <v>46085.58478489584</v>
      </c>
      <c r="B753" s="66" t="s">
        <v>112</v>
      </c>
      <c r="C753" s="67">
        <v>1.0</v>
      </c>
      <c r="D753" s="67">
        <v>7.0</v>
      </c>
      <c r="E753" s="69"/>
      <c r="F753" s="66" t="s">
        <v>114</v>
      </c>
      <c r="G753" s="67">
        <v>1297.0</v>
      </c>
      <c r="H753" s="67">
        <v>2000.0</v>
      </c>
      <c r="I753" s="185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</row>
    <row r="754" ht="15.75" customHeight="1">
      <c r="A754" s="188">
        <v>46085.58577502315</v>
      </c>
      <c r="B754" s="66" t="s">
        <v>435</v>
      </c>
      <c r="C754" s="67">
        <v>1.0</v>
      </c>
      <c r="D754" s="67">
        <v>3.0</v>
      </c>
      <c r="E754" s="69"/>
      <c r="F754" s="66" t="s">
        <v>114</v>
      </c>
      <c r="G754" s="67">
        <v>1830.0</v>
      </c>
      <c r="H754" s="67">
        <v>2700.0</v>
      </c>
      <c r="I754" s="189">
        <v>46247.0</v>
      </c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</row>
    <row r="755" ht="15.75" customHeight="1">
      <c r="A755" s="188">
        <v>46085.6174596412</v>
      </c>
      <c r="B755" s="66" t="s">
        <v>348</v>
      </c>
      <c r="C755" s="67">
        <v>1.0</v>
      </c>
      <c r="D755" s="67">
        <v>12.0</v>
      </c>
      <c r="E755" s="69"/>
      <c r="F755" s="66" t="s">
        <v>114</v>
      </c>
      <c r="G755" s="67">
        <v>3100.0</v>
      </c>
      <c r="H755" s="67">
        <v>4650.0</v>
      </c>
      <c r="I755" s="185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</row>
    <row r="756" ht="15.75" customHeight="1">
      <c r="A756" s="188">
        <v>46085.61796184028</v>
      </c>
      <c r="B756" s="66" t="s">
        <v>1277</v>
      </c>
      <c r="C756" s="67">
        <v>1.0</v>
      </c>
      <c r="D756" s="67">
        <v>11.0</v>
      </c>
      <c r="E756" s="69"/>
      <c r="F756" s="66" t="s">
        <v>114</v>
      </c>
      <c r="G756" s="67">
        <v>2650.0</v>
      </c>
      <c r="H756" s="67">
        <v>4300.0</v>
      </c>
      <c r="I756" s="185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</row>
    <row r="757" ht="15.75" customHeight="1">
      <c r="A757" s="188">
        <v>46085.61877988426</v>
      </c>
      <c r="B757" s="66" t="s">
        <v>272</v>
      </c>
      <c r="C757" s="67">
        <v>48.0</v>
      </c>
      <c r="D757" s="67">
        <v>48.0</v>
      </c>
      <c r="E757" s="66" t="s">
        <v>273</v>
      </c>
      <c r="F757" s="66" t="s">
        <v>114</v>
      </c>
      <c r="G757" s="67">
        <v>2100.0</v>
      </c>
      <c r="H757" s="67">
        <v>3500.0</v>
      </c>
      <c r="I757" s="185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</row>
    <row r="758" ht="15.75" customHeight="1">
      <c r="A758" s="188">
        <v>46085.62018550926</v>
      </c>
      <c r="B758" s="66" t="s">
        <v>564</v>
      </c>
      <c r="C758" s="67">
        <v>1.0</v>
      </c>
      <c r="D758" s="66">
        <v>3.0</v>
      </c>
      <c r="E758" s="69"/>
      <c r="F758" s="66"/>
      <c r="G758" s="66">
        <v>3200.0</v>
      </c>
      <c r="H758" s="66">
        <v>4800.0</v>
      </c>
      <c r="I758" s="189">
        <v>46099.0</v>
      </c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</row>
    <row r="759" ht="15.75" customHeight="1">
      <c r="A759" s="188">
        <v>46085.62309421296</v>
      </c>
      <c r="B759" s="66" t="s">
        <v>564</v>
      </c>
      <c r="C759" s="67">
        <v>0.0</v>
      </c>
      <c r="D759" s="66">
        <v>3.0</v>
      </c>
      <c r="E759" s="69"/>
      <c r="F759" s="69"/>
      <c r="G759" s="66">
        <v>3200.0</v>
      </c>
      <c r="H759" s="67">
        <v>4800.0</v>
      </c>
      <c r="I759" s="185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</row>
    <row r="760" ht="15.75" customHeight="1">
      <c r="A760" s="188">
        <v>46085.62679792824</v>
      </c>
      <c r="B760" s="66" t="s">
        <v>642</v>
      </c>
      <c r="C760" s="67">
        <v>1.0</v>
      </c>
      <c r="D760" s="67">
        <v>4.0</v>
      </c>
      <c r="E760" s="69"/>
      <c r="F760" s="66" t="s">
        <v>114</v>
      </c>
      <c r="G760" s="67">
        <v>2600.0</v>
      </c>
      <c r="H760" s="67">
        <v>4000.0</v>
      </c>
      <c r="I760" s="185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</row>
    <row r="761" ht="15.75" customHeight="1">
      <c r="A761" s="188">
        <v>46085.64529035879</v>
      </c>
      <c r="B761" s="66" t="s">
        <v>658</v>
      </c>
      <c r="C761" s="67">
        <v>1.0</v>
      </c>
      <c r="D761" s="67">
        <v>1.0</v>
      </c>
      <c r="E761" s="69"/>
      <c r="F761" s="69"/>
      <c r="G761" s="69"/>
      <c r="H761" s="67"/>
      <c r="I761" s="185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</row>
    <row r="762" ht="15.75" customHeight="1">
      <c r="A762" s="188">
        <v>46085.73434019676</v>
      </c>
      <c r="B762" s="66" t="s">
        <v>1164</v>
      </c>
      <c r="C762" s="66">
        <v>1.0</v>
      </c>
      <c r="D762" s="67">
        <v>0.0</v>
      </c>
      <c r="E762" s="69"/>
      <c r="F762" s="69"/>
      <c r="G762" s="69"/>
      <c r="H762" s="67">
        <v>4000.0</v>
      </c>
      <c r="I762" s="185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</row>
    <row r="763" ht="15.75" customHeight="1">
      <c r="A763" s="188">
        <v>46085.85161931713</v>
      </c>
      <c r="B763" s="66" t="s">
        <v>570</v>
      </c>
      <c r="C763" s="67">
        <v>2.0</v>
      </c>
      <c r="D763" s="67">
        <v>3.0</v>
      </c>
      <c r="E763" s="69"/>
      <c r="F763" s="66" t="s">
        <v>114</v>
      </c>
      <c r="G763" s="67">
        <v>2000.0</v>
      </c>
      <c r="H763" s="67">
        <v>3200.0</v>
      </c>
      <c r="I763" s="189">
        <v>46142.0</v>
      </c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</row>
    <row r="764" ht="15.75" customHeight="1">
      <c r="A764" s="188">
        <v>46085.86616291667</v>
      </c>
      <c r="B764" s="66" t="s">
        <v>174</v>
      </c>
      <c r="C764" s="67">
        <v>3.0</v>
      </c>
      <c r="D764" s="67">
        <v>6.0</v>
      </c>
      <c r="E764" s="69"/>
      <c r="F764" s="66" t="s">
        <v>114</v>
      </c>
      <c r="G764" s="67">
        <v>350.0</v>
      </c>
      <c r="H764" s="67">
        <v>700.0</v>
      </c>
      <c r="I764" s="189">
        <v>46379.0</v>
      </c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</row>
    <row r="765" ht="15.75" customHeight="1">
      <c r="A765" s="188">
        <v>46085.86664606482</v>
      </c>
      <c r="B765" s="66" t="s">
        <v>168</v>
      </c>
      <c r="C765" s="67">
        <v>3.0</v>
      </c>
      <c r="D765" s="67">
        <v>6.0</v>
      </c>
      <c r="E765" s="69"/>
      <c r="F765" s="66" t="s">
        <v>114</v>
      </c>
      <c r="G765" s="67">
        <v>350.0</v>
      </c>
      <c r="H765" s="67">
        <v>700.0</v>
      </c>
      <c r="I765" s="189">
        <v>46406.0</v>
      </c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</row>
    <row r="766" ht="15.75" customHeight="1">
      <c r="A766" s="188">
        <v>46085.86739215278</v>
      </c>
      <c r="B766" s="66" t="s">
        <v>2049</v>
      </c>
      <c r="C766" s="67">
        <v>3.0</v>
      </c>
      <c r="D766" s="67">
        <v>3.0</v>
      </c>
      <c r="E766" s="66" t="s">
        <v>275</v>
      </c>
      <c r="F766" s="66" t="s">
        <v>114</v>
      </c>
      <c r="G766" s="67">
        <v>350.0</v>
      </c>
      <c r="H766" s="67">
        <v>700.0</v>
      </c>
      <c r="I766" s="189">
        <v>46317.0</v>
      </c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</row>
    <row r="767" ht="15.75" customHeight="1">
      <c r="A767" s="188">
        <v>46085.86950202547</v>
      </c>
      <c r="B767" s="66" t="s">
        <v>1479</v>
      </c>
      <c r="C767" s="67">
        <v>2.0</v>
      </c>
      <c r="D767" s="67">
        <v>2.0</v>
      </c>
      <c r="E767" s="69"/>
      <c r="F767" s="66" t="s">
        <v>114</v>
      </c>
      <c r="G767" s="67">
        <v>350.0</v>
      </c>
      <c r="H767" s="67">
        <v>700.0</v>
      </c>
      <c r="I767" s="189">
        <v>46349.0</v>
      </c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</row>
    <row r="768" ht="15.75" customHeight="1">
      <c r="A768" s="188">
        <v>46085.87011769676</v>
      </c>
      <c r="B768" s="66" t="s">
        <v>162</v>
      </c>
      <c r="C768" s="67">
        <v>2.0</v>
      </c>
      <c r="D768" s="67">
        <v>11.0</v>
      </c>
      <c r="E768" s="69"/>
      <c r="F768" s="66" t="s">
        <v>114</v>
      </c>
      <c r="G768" s="67">
        <v>350.0</v>
      </c>
      <c r="H768" s="67">
        <v>700.0</v>
      </c>
      <c r="I768" s="189">
        <v>46406.0</v>
      </c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</row>
    <row r="769" ht="15.75" customHeight="1">
      <c r="A769" s="188">
        <v>46085.87116087963</v>
      </c>
      <c r="B769" s="66" t="s">
        <v>276</v>
      </c>
      <c r="C769" s="67">
        <v>3.0</v>
      </c>
      <c r="D769" s="67">
        <v>3.0</v>
      </c>
      <c r="E769" s="66" t="s">
        <v>277</v>
      </c>
      <c r="F769" s="66" t="s">
        <v>114</v>
      </c>
      <c r="G769" s="67">
        <v>350.0</v>
      </c>
      <c r="H769" s="67">
        <v>700.0</v>
      </c>
      <c r="I769" s="189">
        <v>46379.0</v>
      </c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</row>
    <row r="770" ht="15.75" customHeight="1">
      <c r="A770" s="188">
        <v>46085.87255364584</v>
      </c>
      <c r="B770" s="66" t="s">
        <v>2050</v>
      </c>
      <c r="C770" s="67">
        <v>3.0</v>
      </c>
      <c r="D770" s="67">
        <v>6.0</v>
      </c>
      <c r="E770" s="69"/>
      <c r="F770" s="66" t="s">
        <v>114</v>
      </c>
      <c r="G770" s="67">
        <v>350.0</v>
      </c>
      <c r="H770" s="67">
        <v>700.0</v>
      </c>
      <c r="I770" s="189">
        <v>46424.0</v>
      </c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</row>
    <row r="771" ht="15.75" customHeight="1">
      <c r="A771" s="188">
        <v>46085.87325700231</v>
      </c>
      <c r="B771" s="66" t="s">
        <v>2051</v>
      </c>
      <c r="C771" s="67">
        <v>3.0</v>
      </c>
      <c r="D771" s="67">
        <v>4.0</v>
      </c>
      <c r="E771" s="69"/>
      <c r="F771" s="66" t="s">
        <v>114</v>
      </c>
      <c r="G771" s="67">
        <v>350.0</v>
      </c>
      <c r="H771" s="67">
        <v>700.0</v>
      </c>
      <c r="I771" s="189">
        <v>46396.0</v>
      </c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</row>
    <row r="772" ht="15.75" customHeight="1">
      <c r="A772" s="188">
        <v>46086.02609784722</v>
      </c>
      <c r="B772" s="66" t="s">
        <v>2043</v>
      </c>
      <c r="C772" s="67">
        <v>0.0</v>
      </c>
      <c r="D772" s="67">
        <v>0.0</v>
      </c>
      <c r="E772" s="69"/>
      <c r="F772" s="69"/>
      <c r="G772" s="69"/>
      <c r="H772" s="69"/>
      <c r="I772" s="185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</row>
    <row r="773" ht="15.75" customHeight="1">
      <c r="A773" s="188">
        <v>46086.4122590162</v>
      </c>
      <c r="B773" s="66" t="s">
        <v>516</v>
      </c>
      <c r="C773" s="67">
        <v>1.0</v>
      </c>
      <c r="D773" s="67">
        <v>8.0</v>
      </c>
      <c r="E773" s="69"/>
      <c r="F773" s="69"/>
      <c r="G773" s="67">
        <v>313.0</v>
      </c>
      <c r="H773" s="67">
        <v>600.0</v>
      </c>
      <c r="I773" s="189">
        <v>46568.0</v>
      </c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</row>
    <row r="774" ht="15.75" customHeight="1">
      <c r="A774" s="188">
        <v>46086.412957152774</v>
      </c>
      <c r="B774" s="66" t="s">
        <v>510</v>
      </c>
      <c r="C774" s="67">
        <v>2.0</v>
      </c>
      <c r="D774" s="67">
        <v>4.0</v>
      </c>
      <c r="E774" s="69"/>
      <c r="F774" s="69"/>
      <c r="G774" s="67">
        <v>821.0</v>
      </c>
      <c r="H774" s="67">
        <v>1500.0</v>
      </c>
      <c r="I774" s="189">
        <v>46538.0</v>
      </c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</row>
    <row r="775" ht="15.75" customHeight="1">
      <c r="A775" s="188">
        <v>46086.413444791666</v>
      </c>
      <c r="B775" s="66" t="s">
        <v>510</v>
      </c>
      <c r="C775" s="67">
        <v>1.0</v>
      </c>
      <c r="D775" s="67">
        <v>5.0</v>
      </c>
      <c r="E775" s="69"/>
      <c r="F775" s="69"/>
      <c r="G775" s="67">
        <v>821.0</v>
      </c>
      <c r="H775" s="67">
        <v>1500.0</v>
      </c>
      <c r="I775" s="189">
        <v>46446.0</v>
      </c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</row>
    <row r="776" ht="15.75" customHeight="1">
      <c r="A776" s="188">
        <v>46086.415114351854</v>
      </c>
      <c r="B776" s="66" t="s">
        <v>809</v>
      </c>
      <c r="C776" s="67">
        <v>1.0</v>
      </c>
      <c r="D776" s="67">
        <v>1.0</v>
      </c>
      <c r="E776" s="66" t="s">
        <v>810</v>
      </c>
      <c r="F776" s="69"/>
      <c r="G776" s="67">
        <v>782.0</v>
      </c>
      <c r="H776" s="67">
        <v>1500.0</v>
      </c>
      <c r="I776" s="189">
        <v>46295.0</v>
      </c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</row>
    <row r="777" ht="15.75" customHeight="1">
      <c r="A777" s="188">
        <v>46086.41613668982</v>
      </c>
      <c r="B777" s="66" t="s">
        <v>969</v>
      </c>
      <c r="C777" s="67">
        <v>3.0</v>
      </c>
      <c r="D777" s="67">
        <v>3.0</v>
      </c>
      <c r="E777" s="66" t="s">
        <v>970</v>
      </c>
      <c r="F777" s="66" t="s">
        <v>74</v>
      </c>
      <c r="G777" s="67">
        <v>821.0</v>
      </c>
      <c r="H777" s="67">
        <v>1500.0</v>
      </c>
      <c r="I777" s="189">
        <v>46086.0</v>
      </c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</row>
    <row r="778" ht="15.75" customHeight="1">
      <c r="A778" s="188">
        <v>46086.42778067129</v>
      </c>
      <c r="B778" s="66" t="s">
        <v>1164</v>
      </c>
      <c r="C778" s="67">
        <v>4.0</v>
      </c>
      <c r="D778" s="67">
        <v>4.0</v>
      </c>
      <c r="E778" s="69"/>
      <c r="F778" s="69"/>
      <c r="G778" s="67">
        <v>3000.0</v>
      </c>
      <c r="H778" s="67">
        <v>4000.0</v>
      </c>
      <c r="I778" s="189">
        <v>46422.0</v>
      </c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</row>
    <row r="779" ht="15.75" customHeight="1">
      <c r="A779" s="188">
        <v>46086.42878796296</v>
      </c>
      <c r="B779" s="66" t="s">
        <v>211</v>
      </c>
      <c r="C779" s="67">
        <v>4.0</v>
      </c>
      <c r="D779" s="67">
        <v>7.0</v>
      </c>
      <c r="E779" s="69"/>
      <c r="F779" s="66" t="s">
        <v>74</v>
      </c>
      <c r="G779" s="67">
        <v>900.0</v>
      </c>
      <c r="H779" s="67">
        <v>2500.0</v>
      </c>
      <c r="I779" s="189">
        <v>46313.0</v>
      </c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</row>
    <row r="780" ht="15.75" customHeight="1">
      <c r="A780" s="188">
        <v>46086.429524629624</v>
      </c>
      <c r="B780" s="66" t="s">
        <v>445</v>
      </c>
      <c r="C780" s="67">
        <v>3.0</v>
      </c>
      <c r="D780" s="67">
        <v>8.0</v>
      </c>
      <c r="E780" s="69"/>
      <c r="F780" s="66" t="s">
        <v>74</v>
      </c>
      <c r="G780" s="67">
        <v>2800.0</v>
      </c>
      <c r="H780" s="67">
        <v>4500.0</v>
      </c>
      <c r="I780" s="189">
        <v>46281.0</v>
      </c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</row>
    <row r="781" ht="15.75" customHeight="1">
      <c r="A781" s="188">
        <v>46086.43017072917</v>
      </c>
      <c r="B781" s="66" t="s">
        <v>431</v>
      </c>
      <c r="C781" s="67">
        <v>6.0</v>
      </c>
      <c r="D781" s="67">
        <v>6.0</v>
      </c>
      <c r="E781" s="69"/>
      <c r="F781" s="66" t="s">
        <v>74</v>
      </c>
      <c r="G781" s="67">
        <v>1000.0</v>
      </c>
      <c r="H781" s="67">
        <v>2000.0</v>
      </c>
      <c r="I781" s="189">
        <v>46312.0</v>
      </c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</row>
    <row r="782" ht="15.75" customHeight="1">
      <c r="A782" s="188">
        <v>46086.430791412036</v>
      </c>
      <c r="B782" s="66" t="s">
        <v>264</v>
      </c>
      <c r="C782" s="67">
        <v>1.0</v>
      </c>
      <c r="D782" s="67">
        <v>4.0</v>
      </c>
      <c r="E782" s="69"/>
      <c r="F782" s="66" t="s">
        <v>74</v>
      </c>
      <c r="G782" s="67">
        <v>16000.0</v>
      </c>
      <c r="H782" s="67">
        <v>3500.0</v>
      </c>
      <c r="I782" s="189">
        <v>46691.0</v>
      </c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</row>
    <row r="783" ht="15.75" customHeight="1">
      <c r="A783" s="188">
        <v>46086.43179689815</v>
      </c>
      <c r="B783" s="66" t="s">
        <v>278</v>
      </c>
      <c r="C783" s="67">
        <v>4.0</v>
      </c>
      <c r="D783" s="67">
        <v>4.0</v>
      </c>
      <c r="E783" s="66" t="s">
        <v>279</v>
      </c>
      <c r="F783" s="66" t="s">
        <v>74</v>
      </c>
      <c r="G783" s="67">
        <v>900.0</v>
      </c>
      <c r="H783" s="67">
        <v>1500.0</v>
      </c>
      <c r="I783" s="189">
        <v>46468.0</v>
      </c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</row>
    <row r="784" ht="15.75" customHeight="1">
      <c r="A784" s="188">
        <v>46086.432345775465</v>
      </c>
      <c r="B784" s="66" t="s">
        <v>222</v>
      </c>
      <c r="C784" s="67">
        <v>1.0</v>
      </c>
      <c r="D784" s="67">
        <v>6.0</v>
      </c>
      <c r="E784" s="69"/>
      <c r="F784" s="69"/>
      <c r="G784" s="67">
        <v>1200.0</v>
      </c>
      <c r="H784" s="67">
        <v>2400.0</v>
      </c>
      <c r="I784" s="189">
        <v>46402.0</v>
      </c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</row>
    <row r="785" ht="15.75" customHeight="1">
      <c r="A785" s="188">
        <v>46086.432804282405</v>
      </c>
      <c r="B785" s="66" t="s">
        <v>224</v>
      </c>
      <c r="C785" s="67">
        <v>1.0</v>
      </c>
      <c r="D785" s="67">
        <v>4.0</v>
      </c>
      <c r="E785" s="69"/>
      <c r="F785" s="66" t="s">
        <v>74</v>
      </c>
      <c r="G785" s="67">
        <v>1850.0</v>
      </c>
      <c r="H785" s="67">
        <v>3200.0</v>
      </c>
      <c r="I785" s="189">
        <v>46393.0</v>
      </c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</row>
    <row r="786" ht="15.75" customHeight="1">
      <c r="A786" s="188">
        <v>46086.4334012037</v>
      </c>
      <c r="B786" s="66" t="s">
        <v>433</v>
      </c>
      <c r="C786" s="67">
        <v>3.0</v>
      </c>
      <c r="D786" s="67">
        <v>7.0</v>
      </c>
      <c r="E786" s="69"/>
      <c r="F786" s="66" t="s">
        <v>74</v>
      </c>
      <c r="G786" s="67">
        <v>1400.0</v>
      </c>
      <c r="H786" s="67">
        <v>2500.0</v>
      </c>
      <c r="I786" s="189">
        <v>46293.0</v>
      </c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</row>
    <row r="787" ht="15.75" customHeight="1">
      <c r="A787" s="188">
        <v>46086.434612048615</v>
      </c>
      <c r="B787" s="66" t="s">
        <v>435</v>
      </c>
      <c r="C787" s="67">
        <v>3.0</v>
      </c>
      <c r="D787" s="67">
        <v>6.0</v>
      </c>
      <c r="E787" s="69"/>
      <c r="F787" s="66" t="s">
        <v>74</v>
      </c>
      <c r="G787" s="67">
        <v>999.0</v>
      </c>
      <c r="H787" s="67">
        <v>2500.0</v>
      </c>
      <c r="I787" s="189">
        <v>46213.0</v>
      </c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</row>
    <row r="788" ht="15.75" customHeight="1">
      <c r="A788" s="188">
        <v>46086.435088032405</v>
      </c>
      <c r="B788" s="66" t="s">
        <v>441</v>
      </c>
      <c r="C788" s="67">
        <v>3.0</v>
      </c>
      <c r="D788" s="67">
        <v>4.0</v>
      </c>
      <c r="E788" s="69"/>
      <c r="F788" s="66" t="s">
        <v>74</v>
      </c>
      <c r="G788" s="67">
        <v>1000.0</v>
      </c>
      <c r="H788" s="67">
        <v>2000.0</v>
      </c>
      <c r="I788" s="189">
        <v>46239.0</v>
      </c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</row>
    <row r="789" ht="15.75" customHeight="1">
      <c r="A789" s="188">
        <v>46086.435496412036</v>
      </c>
      <c r="B789" s="66" t="s">
        <v>407</v>
      </c>
      <c r="C789" s="67">
        <v>1.0</v>
      </c>
      <c r="D789" s="67">
        <v>1.0</v>
      </c>
      <c r="E789" s="69"/>
      <c r="F789" s="66" t="s">
        <v>74</v>
      </c>
      <c r="G789" s="67">
        <v>1000.0</v>
      </c>
      <c r="H789" s="67">
        <v>2000.0</v>
      </c>
      <c r="I789" s="189">
        <v>46242.0</v>
      </c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</row>
    <row r="790" ht="15.75" customHeight="1">
      <c r="A790" s="188">
        <v>46086.43591886574</v>
      </c>
      <c r="B790" s="66" t="s">
        <v>417</v>
      </c>
      <c r="C790" s="67">
        <v>1.0</v>
      </c>
      <c r="D790" s="67">
        <v>7.0</v>
      </c>
      <c r="E790" s="69"/>
      <c r="F790" s="66" t="s">
        <v>74</v>
      </c>
      <c r="G790" s="67">
        <v>1060.0</v>
      </c>
      <c r="H790" s="67">
        <v>2000.0</v>
      </c>
      <c r="I790" s="189">
        <v>46235.0</v>
      </c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</row>
    <row r="791" ht="15.75" customHeight="1">
      <c r="A791" s="188">
        <v>46086.43642266204</v>
      </c>
      <c r="B791" s="66" t="s">
        <v>415</v>
      </c>
      <c r="C791" s="67">
        <v>1.0</v>
      </c>
      <c r="D791" s="67">
        <v>10.0</v>
      </c>
      <c r="E791" s="69"/>
      <c r="F791" s="66" t="s">
        <v>74</v>
      </c>
      <c r="G791" s="67">
        <v>1090.0</v>
      </c>
      <c r="H791" s="67">
        <v>2000.0</v>
      </c>
      <c r="I791" s="189">
        <v>46225.0</v>
      </c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</row>
    <row r="792" ht="15.75" customHeight="1">
      <c r="A792" s="188">
        <v>46086.43699141203</v>
      </c>
      <c r="B792" s="66" t="s">
        <v>811</v>
      </c>
      <c r="C792" s="67">
        <v>1.0</v>
      </c>
      <c r="D792" s="67">
        <v>1.0</v>
      </c>
      <c r="E792" s="66" t="s">
        <v>812</v>
      </c>
      <c r="F792" s="66" t="s">
        <v>74</v>
      </c>
      <c r="G792" s="67">
        <v>1100.0</v>
      </c>
      <c r="H792" s="67">
        <v>2000.0</v>
      </c>
      <c r="I792" s="189">
        <v>46232.0</v>
      </c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</row>
    <row r="793" ht="15.75" customHeight="1">
      <c r="A793" s="188">
        <v>46086.43762914352</v>
      </c>
      <c r="B793" s="66" t="s">
        <v>280</v>
      </c>
      <c r="C793" s="67">
        <v>3.0</v>
      </c>
      <c r="D793" s="67">
        <v>3.0</v>
      </c>
      <c r="E793" s="66" t="s">
        <v>281</v>
      </c>
      <c r="F793" s="66" t="s">
        <v>74</v>
      </c>
      <c r="G793" s="67">
        <v>1000.0</v>
      </c>
      <c r="H793" s="67">
        <v>1800.0</v>
      </c>
      <c r="I793" s="189">
        <v>46268.0</v>
      </c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</row>
    <row r="794" ht="15.75" customHeight="1">
      <c r="A794" s="188">
        <v>46086.438558449074</v>
      </c>
      <c r="B794" s="66" t="s">
        <v>103</v>
      </c>
      <c r="C794" s="67">
        <v>3.0</v>
      </c>
      <c r="D794" s="67">
        <v>8.0</v>
      </c>
      <c r="E794" s="69"/>
      <c r="F794" s="66" t="s">
        <v>74</v>
      </c>
      <c r="G794" s="67">
        <v>500.0</v>
      </c>
      <c r="H794" s="67">
        <v>1500.0</v>
      </c>
      <c r="I794" s="189">
        <v>47118.0</v>
      </c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</row>
    <row r="795" ht="15.75" customHeight="1">
      <c r="A795" s="188">
        <v>46086.43959896991</v>
      </c>
      <c r="B795" s="66" t="s">
        <v>89</v>
      </c>
      <c r="C795" s="67">
        <v>1.0</v>
      </c>
      <c r="D795" s="67">
        <v>10.0</v>
      </c>
      <c r="E795" s="69"/>
      <c r="F795" s="66" t="s">
        <v>74</v>
      </c>
      <c r="G795" s="67">
        <v>2002.0</v>
      </c>
      <c r="H795" s="67">
        <v>3000.0</v>
      </c>
      <c r="I795" s="189">
        <v>46971.0</v>
      </c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</row>
    <row r="796" ht="15.75" customHeight="1">
      <c r="A796" s="188">
        <v>46086.44058938658</v>
      </c>
      <c r="B796" s="66" t="s">
        <v>694</v>
      </c>
      <c r="C796" s="67">
        <v>1.0</v>
      </c>
      <c r="D796" s="67">
        <v>1.0</v>
      </c>
      <c r="E796" s="66" t="s">
        <v>695</v>
      </c>
      <c r="F796" s="66" t="s">
        <v>74</v>
      </c>
      <c r="G796" s="67">
        <v>1196.0</v>
      </c>
      <c r="H796" s="67">
        <v>1800.0</v>
      </c>
      <c r="I796" s="189">
        <v>46603.0</v>
      </c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</row>
    <row r="797" ht="15.75" customHeight="1">
      <c r="A797" s="188">
        <v>46086.44151387732</v>
      </c>
      <c r="B797" s="66" t="s">
        <v>220</v>
      </c>
      <c r="C797" s="67">
        <v>1.0</v>
      </c>
      <c r="D797" s="67">
        <v>7.0</v>
      </c>
      <c r="E797" s="69"/>
      <c r="F797" s="66" t="s">
        <v>74</v>
      </c>
      <c r="G797" s="67">
        <v>840.0</v>
      </c>
      <c r="H797" s="67">
        <v>1500.0</v>
      </c>
      <c r="I797" s="189">
        <v>47154.0</v>
      </c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</row>
    <row r="798" ht="15.75" customHeight="1">
      <c r="A798" s="188">
        <v>46086.441967858795</v>
      </c>
      <c r="B798" s="66" t="s">
        <v>967</v>
      </c>
      <c r="C798" s="67">
        <v>1.0</v>
      </c>
      <c r="D798" s="67">
        <v>6.0</v>
      </c>
      <c r="E798" s="69"/>
      <c r="F798" s="66" t="s">
        <v>74</v>
      </c>
      <c r="G798" s="67">
        <v>841.0</v>
      </c>
      <c r="H798" s="67">
        <v>1500.0</v>
      </c>
      <c r="I798" s="189">
        <v>47175.0</v>
      </c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</row>
    <row r="799" ht="15.75" customHeight="1">
      <c r="A799" s="188">
        <v>46086.4434569213</v>
      </c>
      <c r="B799" s="66" t="s">
        <v>125</v>
      </c>
      <c r="C799" s="67">
        <v>3.0</v>
      </c>
      <c r="D799" s="67">
        <v>3.0</v>
      </c>
      <c r="E799" s="69"/>
      <c r="F799" s="66" t="s">
        <v>74</v>
      </c>
      <c r="G799" s="67">
        <v>1209.0</v>
      </c>
      <c r="H799" s="67">
        <v>2500.0</v>
      </c>
      <c r="I799" s="189">
        <v>47337.0</v>
      </c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</row>
    <row r="800" ht="15.75" customHeight="1">
      <c r="A800" s="188">
        <v>46086.445091319445</v>
      </c>
      <c r="B800" s="66" t="s">
        <v>252</v>
      </c>
      <c r="C800" s="67">
        <v>3.0</v>
      </c>
      <c r="D800" s="67">
        <v>9.0</v>
      </c>
      <c r="E800" s="69"/>
      <c r="F800" s="66" t="s">
        <v>74</v>
      </c>
      <c r="G800" s="67">
        <v>968.0</v>
      </c>
      <c r="H800" s="67">
        <v>1800.0</v>
      </c>
      <c r="I800" s="189">
        <v>46446.0</v>
      </c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</row>
    <row r="801" ht="15.75" customHeight="1">
      <c r="A801" s="188">
        <v>46086.44711378472</v>
      </c>
      <c r="B801" s="66" t="s">
        <v>282</v>
      </c>
      <c r="C801" s="67">
        <v>5.0</v>
      </c>
      <c r="D801" s="67">
        <v>5.0</v>
      </c>
      <c r="E801" s="66" t="s">
        <v>283</v>
      </c>
      <c r="F801" s="66" t="s">
        <v>74</v>
      </c>
      <c r="G801" s="67">
        <v>3021.0</v>
      </c>
      <c r="H801" s="67">
        <v>4600.0</v>
      </c>
      <c r="I801" s="189">
        <v>46168.0</v>
      </c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</row>
    <row r="802" ht="15.75" customHeight="1">
      <c r="A802" s="188">
        <v>46086.44776393518</v>
      </c>
      <c r="B802" s="66" t="s">
        <v>121</v>
      </c>
      <c r="C802" s="67">
        <v>1.0</v>
      </c>
      <c r="D802" s="67">
        <v>11.0</v>
      </c>
      <c r="E802" s="69"/>
      <c r="F802" s="66" t="s">
        <v>74</v>
      </c>
      <c r="G802" s="67">
        <v>606.0</v>
      </c>
      <c r="H802" s="67">
        <v>1500.0</v>
      </c>
      <c r="I802" s="189">
        <v>46148.0</v>
      </c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</row>
    <row r="803" ht="15.75" customHeight="1">
      <c r="A803" s="188">
        <v>46086.44823119213</v>
      </c>
      <c r="B803" s="66" t="s">
        <v>727</v>
      </c>
      <c r="C803" s="67">
        <v>1.0</v>
      </c>
      <c r="D803" s="67">
        <v>2.0</v>
      </c>
      <c r="E803" s="69"/>
      <c r="F803" s="66" t="s">
        <v>74</v>
      </c>
      <c r="G803" s="67">
        <v>930.0</v>
      </c>
      <c r="H803" s="67">
        <v>1500.0</v>
      </c>
      <c r="I803" s="189">
        <v>46205.0</v>
      </c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</row>
    <row r="804" ht="15.75" customHeight="1">
      <c r="A804" s="188">
        <v>46086.45180034722</v>
      </c>
      <c r="B804" s="66" t="s">
        <v>238</v>
      </c>
      <c r="C804" s="67">
        <v>1.0</v>
      </c>
      <c r="D804" s="67">
        <v>11.0</v>
      </c>
      <c r="E804" s="69"/>
      <c r="F804" s="66" t="s">
        <v>74</v>
      </c>
      <c r="G804" s="67">
        <v>600.0</v>
      </c>
      <c r="H804" s="67">
        <v>2000.0</v>
      </c>
      <c r="I804" s="189">
        <v>46760.0</v>
      </c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</row>
    <row r="805" ht="15.75" customHeight="1">
      <c r="A805" s="188">
        <v>46086.473588622684</v>
      </c>
      <c r="B805" s="66" t="s">
        <v>624</v>
      </c>
      <c r="C805" s="67">
        <v>1.0</v>
      </c>
      <c r="D805" s="67">
        <v>22.0</v>
      </c>
      <c r="E805" s="69"/>
      <c r="F805" s="66" t="s">
        <v>74</v>
      </c>
      <c r="G805" s="67">
        <v>1019.0</v>
      </c>
      <c r="H805" s="67">
        <v>1800.0</v>
      </c>
      <c r="I805" s="189">
        <v>46177.0</v>
      </c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</row>
    <row r="806" ht="15.75" customHeight="1">
      <c r="A806" s="188">
        <v>46086.47433486111</v>
      </c>
      <c r="B806" s="66" t="s">
        <v>624</v>
      </c>
      <c r="C806" s="67">
        <v>1.0</v>
      </c>
      <c r="D806" s="67">
        <v>23.0</v>
      </c>
      <c r="E806" s="69"/>
      <c r="F806" s="66" t="s">
        <v>74</v>
      </c>
      <c r="G806" s="67">
        <v>1000.0</v>
      </c>
      <c r="H806" s="67">
        <v>1800.0</v>
      </c>
      <c r="I806" s="189">
        <v>46184.0</v>
      </c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</row>
    <row r="807" ht="15.75" customHeight="1">
      <c r="A807" s="188">
        <v>46086.47546538194</v>
      </c>
      <c r="B807" s="66" t="s">
        <v>813</v>
      </c>
      <c r="C807" s="67">
        <v>1.0</v>
      </c>
      <c r="D807" s="67">
        <v>1.0</v>
      </c>
      <c r="E807" s="66" t="s">
        <v>814</v>
      </c>
      <c r="F807" s="66" t="s">
        <v>74</v>
      </c>
      <c r="G807" s="67">
        <v>1120.0</v>
      </c>
      <c r="H807" s="67">
        <v>2000.0</v>
      </c>
      <c r="I807" s="189">
        <v>46135.0</v>
      </c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</row>
    <row r="808" ht="15.75" customHeight="1">
      <c r="A808" s="188">
        <v>46086.47599888888</v>
      </c>
      <c r="B808" s="66" t="s">
        <v>629</v>
      </c>
      <c r="C808" s="67">
        <v>1.0</v>
      </c>
      <c r="D808" s="67">
        <v>21.0</v>
      </c>
      <c r="E808" s="69"/>
      <c r="F808" s="66" t="s">
        <v>74</v>
      </c>
      <c r="G808" s="67">
        <v>1120.0</v>
      </c>
      <c r="H808" s="67">
        <v>2000.0</v>
      </c>
      <c r="I808" s="189">
        <v>46170.0</v>
      </c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</row>
    <row r="809" ht="15.75" customHeight="1">
      <c r="A809" s="188">
        <v>46086.477336192125</v>
      </c>
      <c r="B809" s="66" t="s">
        <v>2052</v>
      </c>
      <c r="C809" s="67">
        <v>3.0</v>
      </c>
      <c r="D809" s="67">
        <v>3.0</v>
      </c>
      <c r="E809" s="66" t="s">
        <v>816</v>
      </c>
      <c r="F809" s="66" t="s">
        <v>74</v>
      </c>
      <c r="G809" s="67">
        <v>1565.0</v>
      </c>
      <c r="H809" s="67">
        <v>2400.0</v>
      </c>
      <c r="I809" s="189">
        <v>46177.0</v>
      </c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</row>
    <row r="810" ht="15.75" customHeight="1">
      <c r="A810" s="188">
        <v>46086.47815054398</v>
      </c>
      <c r="B810" s="66" t="s">
        <v>284</v>
      </c>
      <c r="C810" s="67">
        <v>3.0</v>
      </c>
      <c r="D810" s="67">
        <v>3.0</v>
      </c>
      <c r="E810" s="66" t="s">
        <v>285</v>
      </c>
      <c r="F810" s="66" t="s">
        <v>74</v>
      </c>
      <c r="G810" s="67">
        <v>2704.0</v>
      </c>
      <c r="H810" s="67">
        <v>4000.0</v>
      </c>
      <c r="I810" s="189">
        <v>46131.0</v>
      </c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</row>
    <row r="811" ht="15.75" customHeight="1">
      <c r="A811" s="188">
        <v>46086.479671030094</v>
      </c>
      <c r="B811" s="66" t="s">
        <v>82</v>
      </c>
      <c r="C811" s="67">
        <v>1.0</v>
      </c>
      <c r="D811" s="67">
        <v>5.0</v>
      </c>
      <c r="E811" s="69"/>
      <c r="F811" s="66" t="s">
        <v>74</v>
      </c>
      <c r="G811" s="67">
        <v>1599.0</v>
      </c>
      <c r="H811" s="67">
        <v>3500.0</v>
      </c>
      <c r="I811" s="189">
        <v>46171.0</v>
      </c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</row>
    <row r="812" ht="15.75" customHeight="1">
      <c r="A812" s="188">
        <v>46086.48028447917</v>
      </c>
      <c r="B812" s="66" t="s">
        <v>84</v>
      </c>
      <c r="C812" s="67">
        <v>1.0</v>
      </c>
      <c r="D812" s="67">
        <v>2.0</v>
      </c>
      <c r="E812" s="69"/>
      <c r="F812" s="66" t="s">
        <v>74</v>
      </c>
      <c r="G812" s="67">
        <v>1599.0</v>
      </c>
      <c r="H812" s="67">
        <v>3500.0</v>
      </c>
      <c r="I812" s="189">
        <v>46171.0</v>
      </c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</row>
    <row r="813" ht="15.75" customHeight="1">
      <c r="A813" s="188">
        <v>46086.48064055556</v>
      </c>
      <c r="B813" s="66" t="s">
        <v>82</v>
      </c>
      <c r="C813" s="67">
        <v>1.0</v>
      </c>
      <c r="D813" s="67">
        <v>6.0</v>
      </c>
      <c r="E813" s="69"/>
      <c r="F813" s="66" t="s">
        <v>74</v>
      </c>
      <c r="G813" s="67">
        <v>1599.0</v>
      </c>
      <c r="H813" s="67">
        <v>3500.0</v>
      </c>
      <c r="I813" s="189">
        <v>46185.0</v>
      </c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</row>
    <row r="814" ht="15.75" customHeight="1">
      <c r="A814" s="188">
        <v>46086.4834771875</v>
      </c>
      <c r="B814" s="66" t="s">
        <v>207</v>
      </c>
      <c r="C814" s="67">
        <v>2.0</v>
      </c>
      <c r="D814" s="67">
        <v>6.0</v>
      </c>
      <c r="E814" s="69"/>
      <c r="F814" s="66" t="s">
        <v>74</v>
      </c>
      <c r="G814" s="67">
        <v>2000.0</v>
      </c>
      <c r="H814" s="67">
        <v>3000.0</v>
      </c>
      <c r="I814" s="189">
        <v>46114.0</v>
      </c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</row>
    <row r="815" ht="15.75" customHeight="1">
      <c r="A815" s="188">
        <v>46086.53755429398</v>
      </c>
      <c r="B815" s="66" t="s">
        <v>544</v>
      </c>
      <c r="C815" s="67">
        <v>1.0</v>
      </c>
      <c r="D815" s="67">
        <v>4.0</v>
      </c>
      <c r="E815" s="69"/>
      <c r="F815" s="66" t="s">
        <v>147</v>
      </c>
      <c r="G815" s="67">
        <v>4840.0</v>
      </c>
      <c r="H815" s="67">
        <v>7200.0</v>
      </c>
      <c r="I815" s="185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</row>
    <row r="816" ht="15.75" customHeight="1">
      <c r="A816" s="188">
        <v>46086.53782545139</v>
      </c>
      <c r="B816" s="66" t="s">
        <v>536</v>
      </c>
      <c r="C816" s="67">
        <v>1.0</v>
      </c>
      <c r="D816" s="67">
        <v>4.0</v>
      </c>
      <c r="E816" s="69"/>
      <c r="F816" s="66" t="s">
        <v>147</v>
      </c>
      <c r="G816" s="67">
        <v>4360.0</v>
      </c>
      <c r="H816" s="67">
        <v>6700.0</v>
      </c>
      <c r="I816" s="185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</row>
    <row r="817" ht="15.75" customHeight="1">
      <c r="A817" s="188">
        <v>46086.540055324076</v>
      </c>
      <c r="B817" s="66" t="s">
        <v>286</v>
      </c>
      <c r="C817" s="67">
        <v>8.0</v>
      </c>
      <c r="D817" s="67">
        <v>8.0</v>
      </c>
      <c r="E817" s="66" t="s">
        <v>287</v>
      </c>
      <c r="F817" s="66" t="s">
        <v>147</v>
      </c>
      <c r="G817" s="67">
        <v>2570.0</v>
      </c>
      <c r="H817" s="67">
        <v>7000.0</v>
      </c>
      <c r="I817" s="189">
        <v>46191.0</v>
      </c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</row>
    <row r="818" ht="15.75" customHeight="1">
      <c r="A818" s="188">
        <v>46086.68322543982</v>
      </c>
      <c r="B818" s="66" t="s">
        <v>1042</v>
      </c>
      <c r="C818" s="67">
        <v>6.0</v>
      </c>
      <c r="D818" s="67">
        <v>6.0</v>
      </c>
      <c r="E818" s="69"/>
      <c r="F818" s="69"/>
      <c r="G818" s="69"/>
      <c r="H818" s="69"/>
      <c r="I818" s="185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</row>
    <row r="819" ht="15.75" customHeight="1">
      <c r="A819" s="188">
        <v>46086.68537517361</v>
      </c>
      <c r="B819" s="66" t="s">
        <v>629</v>
      </c>
      <c r="C819" s="66">
        <v>2.0</v>
      </c>
      <c r="D819" s="67">
        <v>19.0</v>
      </c>
      <c r="E819" s="69"/>
      <c r="F819" s="69"/>
      <c r="G819" s="69"/>
      <c r="H819" s="67"/>
      <c r="I819" s="185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</row>
    <row r="820" ht="15.75" customHeight="1">
      <c r="A820" s="188">
        <v>46086.68587703704</v>
      </c>
      <c r="B820" s="66" t="s">
        <v>631</v>
      </c>
      <c r="C820" s="67">
        <v>4.0</v>
      </c>
      <c r="D820" s="67">
        <v>11.0</v>
      </c>
      <c r="E820" s="69"/>
      <c r="F820" s="69"/>
      <c r="G820" s="69"/>
      <c r="H820" s="69"/>
      <c r="I820" s="185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</row>
    <row r="821" ht="15.75" customHeight="1">
      <c r="A821" s="188">
        <v>46086.68654645833</v>
      </c>
      <c r="B821" s="66" t="s">
        <v>447</v>
      </c>
      <c r="C821" s="67">
        <v>2.0</v>
      </c>
      <c r="D821" s="67">
        <v>3.0</v>
      </c>
      <c r="E821" s="69"/>
      <c r="F821" s="69"/>
      <c r="G821" s="69"/>
      <c r="H821" s="67"/>
      <c r="I821" s="185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</row>
    <row r="822" ht="15.75" customHeight="1">
      <c r="A822" s="188">
        <v>46086.68693321759</v>
      </c>
      <c r="B822" s="66" t="s">
        <v>433</v>
      </c>
      <c r="C822" s="66">
        <v>1.0</v>
      </c>
      <c r="D822" s="67">
        <v>4.0</v>
      </c>
      <c r="E822" s="69"/>
      <c r="F822" s="69"/>
      <c r="G822" s="69"/>
      <c r="H822" s="69"/>
      <c r="I822" s="185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</row>
    <row r="823" ht="15.75" customHeight="1">
      <c r="A823" s="188">
        <v>46086.68711600694</v>
      </c>
      <c r="B823" s="66" t="s">
        <v>445</v>
      </c>
      <c r="C823" s="66">
        <v>2.0</v>
      </c>
      <c r="D823" s="67">
        <v>7.0</v>
      </c>
      <c r="E823" s="69"/>
      <c r="F823" s="69"/>
      <c r="G823" s="69"/>
      <c r="H823" s="67"/>
      <c r="I823" s="185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</row>
    <row r="824" ht="15.75" customHeight="1">
      <c r="A824" s="188">
        <v>46086.687572361116</v>
      </c>
      <c r="B824" s="66" t="s">
        <v>715</v>
      </c>
      <c r="C824" s="66">
        <v>2.0</v>
      </c>
      <c r="D824" s="67">
        <v>4.0</v>
      </c>
      <c r="E824" s="69"/>
      <c r="F824" s="69"/>
      <c r="G824" s="69"/>
      <c r="H824" s="69"/>
      <c r="I824" s="185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</row>
    <row r="825" ht="15.75" customHeight="1">
      <c r="A825" s="188">
        <v>46086.68787890046</v>
      </c>
      <c r="B825" s="66" t="s">
        <v>417</v>
      </c>
      <c r="C825" s="66">
        <v>2.0</v>
      </c>
      <c r="D825" s="67">
        <v>5.0</v>
      </c>
      <c r="E825" s="69"/>
      <c r="F825" s="69"/>
      <c r="G825" s="69"/>
      <c r="H825" s="67"/>
      <c r="I825" s="185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</row>
    <row r="826" ht="15.75" customHeight="1">
      <c r="A826" s="188">
        <v>46086.688217372684</v>
      </c>
      <c r="B826" s="66" t="s">
        <v>411</v>
      </c>
      <c r="C826" s="66">
        <v>3.0</v>
      </c>
      <c r="D826" s="67">
        <v>7.0</v>
      </c>
      <c r="E826" s="69"/>
      <c r="F826" s="69"/>
      <c r="G826" s="69"/>
      <c r="H826" s="69"/>
      <c r="I826" s="185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</row>
    <row r="827" ht="15.75" customHeight="1">
      <c r="A827" s="188">
        <v>46086.688364409725</v>
      </c>
      <c r="B827" s="66" t="s">
        <v>885</v>
      </c>
      <c r="C827" s="66">
        <v>1.0</v>
      </c>
      <c r="D827" s="67">
        <v>1.0</v>
      </c>
      <c r="E827" s="69"/>
      <c r="F827" s="69"/>
      <c r="G827" s="69"/>
      <c r="H827" s="67"/>
      <c r="I827" s="185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</row>
    <row r="828" ht="15.75" customHeight="1">
      <c r="A828" s="188">
        <v>46086.68858097222</v>
      </c>
      <c r="B828" s="66" t="s">
        <v>425</v>
      </c>
      <c r="C828" s="67">
        <v>4.0</v>
      </c>
      <c r="D828" s="67">
        <v>5.0</v>
      </c>
      <c r="E828" s="69"/>
      <c r="F828" s="69"/>
      <c r="G828" s="69"/>
      <c r="H828" s="69"/>
      <c r="I828" s="185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</row>
    <row r="829" ht="15.75" customHeight="1">
      <c r="A829" s="188">
        <v>46086.68879641204</v>
      </c>
      <c r="B829" s="66" t="s">
        <v>427</v>
      </c>
      <c r="C829" s="66">
        <v>2.0</v>
      </c>
      <c r="D829" s="67">
        <v>2.0</v>
      </c>
      <c r="E829" s="69"/>
      <c r="F829" s="69"/>
      <c r="G829" s="69"/>
      <c r="H829" s="67"/>
      <c r="I829" s="185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</row>
    <row r="830" ht="15.75" customHeight="1">
      <c r="A830" s="188">
        <v>46086.68891813657</v>
      </c>
      <c r="B830" s="66" t="s">
        <v>713</v>
      </c>
      <c r="C830" s="66">
        <v>2.0</v>
      </c>
      <c r="D830" s="67">
        <v>1.0</v>
      </c>
      <c r="E830" s="69"/>
      <c r="F830" s="69"/>
      <c r="G830" s="69"/>
      <c r="H830" s="69"/>
      <c r="I830" s="185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</row>
    <row r="831" ht="15.75" customHeight="1">
      <c r="A831" s="188">
        <v>46086.68917070601</v>
      </c>
      <c r="B831" s="66" t="s">
        <v>207</v>
      </c>
      <c r="C831" s="66">
        <v>2.0</v>
      </c>
      <c r="D831" s="67">
        <v>4.0</v>
      </c>
      <c r="E831" s="69"/>
      <c r="F831" s="69"/>
      <c r="G831" s="69"/>
      <c r="H831" s="67"/>
      <c r="I831" s="185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</row>
    <row r="832" ht="15.75" customHeight="1">
      <c r="A832" s="188">
        <v>46086.689465347226</v>
      </c>
      <c r="B832" s="66" t="s">
        <v>1044</v>
      </c>
      <c r="C832" s="66">
        <v>2.0</v>
      </c>
      <c r="D832" s="67">
        <v>1.0</v>
      </c>
      <c r="E832" s="69"/>
      <c r="F832" s="69"/>
      <c r="G832" s="69"/>
      <c r="H832" s="69"/>
      <c r="I832" s="185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</row>
    <row r="833" ht="15.75" customHeight="1">
      <c r="A833" s="188">
        <v>46086.68981449074</v>
      </c>
      <c r="B833" s="66" t="s">
        <v>711</v>
      </c>
      <c r="C833" s="67">
        <v>4.0</v>
      </c>
      <c r="D833" s="67">
        <v>5.0</v>
      </c>
      <c r="E833" s="69"/>
      <c r="F833" s="69"/>
      <c r="G833" s="69"/>
      <c r="H833" s="67"/>
      <c r="I833" s="185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</row>
    <row r="834" ht="15.75" customHeight="1">
      <c r="A834" s="188">
        <v>46086.690257870374</v>
      </c>
      <c r="B834" s="66" t="s">
        <v>232</v>
      </c>
      <c r="C834" s="67">
        <v>12.0</v>
      </c>
      <c r="D834" s="67">
        <v>12.0</v>
      </c>
      <c r="E834" s="69"/>
      <c r="F834" s="69"/>
      <c r="G834" s="69"/>
      <c r="H834" s="69"/>
      <c r="I834" s="185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</row>
    <row r="835" ht="15.75" customHeight="1">
      <c r="A835" s="188">
        <v>46086.690499965276</v>
      </c>
      <c r="B835" s="66" t="s">
        <v>213</v>
      </c>
      <c r="C835" s="67">
        <v>9.0</v>
      </c>
      <c r="D835" s="67">
        <v>12.0</v>
      </c>
      <c r="E835" s="69"/>
      <c r="F835" s="69"/>
      <c r="G835" s="69"/>
      <c r="H835" s="67"/>
      <c r="I835" s="185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</row>
    <row r="836" ht="15.75" customHeight="1">
      <c r="A836" s="188">
        <v>46086.69083328704</v>
      </c>
      <c r="B836" s="66" t="s">
        <v>590</v>
      </c>
      <c r="C836" s="67">
        <v>4.0</v>
      </c>
      <c r="D836" s="67">
        <v>7.0</v>
      </c>
      <c r="E836" s="69"/>
      <c r="F836" s="69"/>
      <c r="G836" s="69"/>
      <c r="H836" s="69"/>
      <c r="I836" s="185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</row>
    <row r="837" ht="15.75" customHeight="1">
      <c r="A837" s="188">
        <v>46086.69107130787</v>
      </c>
      <c r="B837" s="66" t="s">
        <v>215</v>
      </c>
      <c r="C837" s="66">
        <v>4.0</v>
      </c>
      <c r="D837" s="67">
        <v>6.0</v>
      </c>
      <c r="E837" s="69"/>
      <c r="F837" s="69"/>
      <c r="G837" s="69"/>
      <c r="H837" s="67"/>
      <c r="I837" s="185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</row>
    <row r="838" ht="15.75" customHeight="1">
      <c r="A838" s="188">
        <v>46086.69144519676</v>
      </c>
      <c r="B838" s="66" t="s">
        <v>431</v>
      </c>
      <c r="C838" s="66">
        <v>1.0</v>
      </c>
      <c r="D838" s="67">
        <v>5.0</v>
      </c>
      <c r="E838" s="69"/>
      <c r="F838" s="69"/>
      <c r="G838" s="69"/>
      <c r="H838" s="69"/>
      <c r="I838" s="185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</row>
    <row r="839" ht="15.75" customHeight="1">
      <c r="A839" s="188">
        <v>46086.69161005787</v>
      </c>
      <c r="B839" s="66" t="s">
        <v>427</v>
      </c>
      <c r="C839" s="67">
        <v>3.0</v>
      </c>
      <c r="D839" s="67">
        <v>5.0</v>
      </c>
      <c r="E839" s="69"/>
      <c r="F839" s="69"/>
      <c r="G839" s="69"/>
      <c r="H839" s="67"/>
      <c r="I839" s="185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</row>
    <row r="840" ht="15.75" customHeight="1">
      <c r="A840" s="188">
        <v>46086.692059016204</v>
      </c>
      <c r="B840" s="66" t="s">
        <v>624</v>
      </c>
      <c r="C840" s="67">
        <v>1.0</v>
      </c>
      <c r="D840" s="67">
        <v>24.0</v>
      </c>
      <c r="E840" s="69"/>
      <c r="F840" s="69"/>
      <c r="G840" s="69"/>
      <c r="H840" s="69"/>
      <c r="I840" s="185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</row>
    <row r="841" ht="15.75" customHeight="1">
      <c r="A841" s="188">
        <v>46086.69272556713</v>
      </c>
      <c r="B841" s="66" t="s">
        <v>627</v>
      </c>
      <c r="C841" s="66">
        <v>4.0</v>
      </c>
      <c r="D841" s="67">
        <v>15.0</v>
      </c>
      <c r="E841" s="69"/>
      <c r="F841" s="69"/>
      <c r="G841" s="69"/>
      <c r="H841" s="67"/>
      <c r="I841" s="185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</row>
    <row r="842" ht="15.75" customHeight="1">
      <c r="A842" s="188">
        <v>46086.69359274306</v>
      </c>
      <c r="B842" s="66" t="s">
        <v>635</v>
      </c>
      <c r="C842" s="66">
        <v>4.0</v>
      </c>
      <c r="D842" s="67">
        <v>18.0</v>
      </c>
      <c r="E842" s="69"/>
      <c r="F842" s="69"/>
      <c r="G842" s="69"/>
      <c r="H842" s="69"/>
      <c r="I842" s="185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</row>
    <row r="843" ht="15.75" customHeight="1">
      <c r="A843" s="188">
        <v>46086.6941580787</v>
      </c>
      <c r="B843" s="66" t="s">
        <v>123</v>
      </c>
      <c r="C843" s="67">
        <v>11.0</v>
      </c>
      <c r="D843" s="67">
        <v>20.0</v>
      </c>
      <c r="E843" s="69"/>
      <c r="F843" s="69"/>
      <c r="G843" s="69"/>
      <c r="H843" s="67"/>
      <c r="I843" s="185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</row>
    <row r="844" ht="15.75" customHeight="1">
      <c r="A844" s="188">
        <v>46086.694442314816</v>
      </c>
      <c r="B844" s="66" t="s">
        <v>91</v>
      </c>
      <c r="C844" s="67">
        <v>16.0</v>
      </c>
      <c r="D844" s="67">
        <v>23.0</v>
      </c>
      <c r="E844" s="69"/>
      <c r="F844" s="69"/>
      <c r="G844" s="69"/>
      <c r="H844" s="69"/>
      <c r="I844" s="185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</row>
    <row r="845" ht="15.75" customHeight="1">
      <c r="A845" s="188">
        <v>46086.69535112269</v>
      </c>
      <c r="B845" s="66" t="s">
        <v>407</v>
      </c>
      <c r="C845" s="67">
        <v>1.0</v>
      </c>
      <c r="D845" s="67">
        <v>2.0</v>
      </c>
      <c r="E845" s="69"/>
      <c r="F845" s="69"/>
      <c r="G845" s="69"/>
      <c r="H845" s="67"/>
      <c r="I845" s="185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</row>
    <row r="846" ht="15.75" customHeight="1">
      <c r="A846" s="188">
        <v>46086.695533252314</v>
      </c>
      <c r="B846" s="66" t="s">
        <v>409</v>
      </c>
      <c r="C846" s="67">
        <v>1.0</v>
      </c>
      <c r="D846" s="67">
        <v>1.0</v>
      </c>
      <c r="E846" s="69"/>
      <c r="F846" s="69"/>
      <c r="G846" s="69"/>
      <c r="H846" s="69"/>
      <c r="I846" s="185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</row>
    <row r="847" ht="15.75" customHeight="1">
      <c r="A847" s="188">
        <v>46086.696229548616</v>
      </c>
      <c r="B847" s="66" t="s">
        <v>1205</v>
      </c>
      <c r="C847" s="67">
        <v>2.0</v>
      </c>
      <c r="D847" s="67">
        <v>3.0</v>
      </c>
      <c r="E847" s="69"/>
      <c r="F847" s="69"/>
      <c r="G847" s="69"/>
      <c r="H847" s="67"/>
      <c r="I847" s="185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</row>
    <row r="848" ht="15.75" customHeight="1">
      <c r="A848" s="188">
        <v>46086.696367083336</v>
      </c>
      <c r="B848" s="66" t="s">
        <v>125</v>
      </c>
      <c r="C848" s="67">
        <v>1.0</v>
      </c>
      <c r="D848" s="67">
        <v>4.0</v>
      </c>
      <c r="E848" s="69"/>
      <c r="F848" s="69"/>
      <c r="G848" s="69"/>
      <c r="H848" s="69"/>
      <c r="I848" s="185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</row>
    <row r="849" ht="15.75" customHeight="1">
      <c r="A849" s="188">
        <v>46086.69732791667</v>
      </c>
      <c r="B849" s="66" t="s">
        <v>646</v>
      </c>
      <c r="C849" s="67">
        <v>8.0</v>
      </c>
      <c r="D849" s="67">
        <v>8.0</v>
      </c>
      <c r="E849" s="69"/>
      <c r="F849" s="69"/>
      <c r="G849" s="69"/>
      <c r="H849" s="67"/>
      <c r="I849" s="185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</row>
    <row r="850" ht="15.75" customHeight="1">
      <c r="A850" s="188">
        <v>46086.69751935185</v>
      </c>
      <c r="B850" s="66" t="s">
        <v>1271</v>
      </c>
      <c r="C850" s="67">
        <v>2.0</v>
      </c>
      <c r="D850" s="67">
        <v>12.0</v>
      </c>
      <c r="E850" s="69"/>
      <c r="F850" s="69"/>
      <c r="G850" s="69"/>
      <c r="H850" s="69"/>
      <c r="I850" s="185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</row>
    <row r="851" ht="15.75" customHeight="1">
      <c r="A851" s="188">
        <v>46086.69773855324</v>
      </c>
      <c r="B851" s="66" t="s">
        <v>642</v>
      </c>
      <c r="C851" s="67">
        <v>10.0</v>
      </c>
      <c r="D851" s="67">
        <v>12.0</v>
      </c>
      <c r="E851" s="69"/>
      <c r="F851" s="69"/>
      <c r="G851" s="69"/>
      <c r="H851" s="67"/>
      <c r="I851" s="185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</row>
    <row r="852" ht="15.75" customHeight="1">
      <c r="A852" s="188">
        <v>46086.698036180554</v>
      </c>
      <c r="B852" s="66" t="s">
        <v>637</v>
      </c>
      <c r="C852" s="67">
        <v>2.0</v>
      </c>
      <c r="D852" s="67">
        <v>8.0</v>
      </c>
      <c r="E852" s="69"/>
      <c r="F852" s="69"/>
      <c r="G852" s="69"/>
      <c r="H852" s="69"/>
      <c r="I852" s="185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</row>
    <row r="853" ht="15.75" customHeight="1">
      <c r="A853" s="188">
        <v>46086.698211435185</v>
      </c>
      <c r="B853" s="66" t="s">
        <v>640</v>
      </c>
      <c r="C853" s="67">
        <v>3.0</v>
      </c>
      <c r="D853" s="67">
        <v>8.0</v>
      </c>
      <c r="E853" s="69"/>
      <c r="F853" s="69"/>
      <c r="G853" s="69"/>
      <c r="H853" s="67"/>
      <c r="I853" s="185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</row>
    <row r="854" ht="15.75" customHeight="1">
      <c r="A854" s="188">
        <v>46086.698533877316</v>
      </c>
      <c r="B854" s="66" t="s">
        <v>2053</v>
      </c>
      <c r="C854" s="67">
        <v>3.0</v>
      </c>
      <c r="D854" s="67">
        <v>9.0</v>
      </c>
      <c r="E854" s="69"/>
      <c r="F854" s="69"/>
      <c r="G854" s="69"/>
      <c r="H854" s="69"/>
      <c r="I854" s="185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</row>
    <row r="855" ht="15.75" customHeight="1">
      <c r="A855" s="188">
        <v>46086.69872878472</v>
      </c>
      <c r="B855" s="66" t="s">
        <v>1364</v>
      </c>
      <c r="C855" s="67">
        <v>3.0</v>
      </c>
      <c r="D855" s="67">
        <v>5.0</v>
      </c>
      <c r="E855" s="69"/>
      <c r="F855" s="69"/>
      <c r="G855" s="69"/>
      <c r="H855" s="67"/>
      <c r="I855" s="185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</row>
    <row r="856" ht="15.75" customHeight="1">
      <c r="A856" s="188">
        <v>46086.704880590274</v>
      </c>
      <c r="B856" s="66" t="s">
        <v>536</v>
      </c>
      <c r="C856" s="67">
        <v>7.0</v>
      </c>
      <c r="D856" s="67">
        <v>11.0</v>
      </c>
      <c r="E856" s="69"/>
      <c r="F856" s="69"/>
      <c r="G856" s="69"/>
      <c r="H856" s="69"/>
      <c r="I856" s="185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</row>
    <row r="857" ht="15.75" customHeight="1">
      <c r="A857" s="188">
        <v>46086.70520074074</v>
      </c>
      <c r="B857" s="66" t="s">
        <v>544</v>
      </c>
      <c r="C857" s="67">
        <v>2.0</v>
      </c>
      <c r="D857" s="67">
        <v>6.0</v>
      </c>
      <c r="E857" s="69"/>
      <c r="F857" s="69"/>
      <c r="G857" s="69"/>
      <c r="H857" s="67"/>
      <c r="I857" s="185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</row>
    <row r="858" ht="15.75" customHeight="1">
      <c r="A858" s="188">
        <v>46086.70562765046</v>
      </c>
      <c r="B858" s="66" t="s">
        <v>2024</v>
      </c>
      <c r="C858" s="67">
        <v>2.0</v>
      </c>
      <c r="D858" s="67">
        <v>3.0</v>
      </c>
      <c r="E858" s="69"/>
      <c r="F858" s="69"/>
      <c r="G858" s="69"/>
      <c r="H858" s="69"/>
      <c r="I858" s="185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</row>
    <row r="859" ht="15.75" customHeight="1">
      <c r="A859" s="188">
        <v>46086.72997516204</v>
      </c>
      <c r="B859" s="66" t="s">
        <v>340</v>
      </c>
      <c r="C859" s="67">
        <v>5.0</v>
      </c>
      <c r="D859" s="67">
        <v>6.0</v>
      </c>
      <c r="E859" s="69"/>
      <c r="F859" s="66" t="s">
        <v>147</v>
      </c>
      <c r="G859" s="67">
        <v>1799.0</v>
      </c>
      <c r="H859" s="67">
        <v>3200.0</v>
      </c>
      <c r="I859" s="185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</row>
    <row r="860" ht="15.75" customHeight="1">
      <c r="A860" s="188">
        <v>46086.730391805555</v>
      </c>
      <c r="B860" s="66" t="s">
        <v>338</v>
      </c>
      <c r="C860" s="67">
        <v>5.0</v>
      </c>
      <c r="D860" s="67">
        <v>6.0</v>
      </c>
      <c r="E860" s="69"/>
      <c r="F860" s="66" t="s">
        <v>147</v>
      </c>
      <c r="G860" s="67">
        <v>1799.0</v>
      </c>
      <c r="H860" s="67">
        <v>3200.0</v>
      </c>
      <c r="I860" s="185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</row>
    <row r="861" ht="15.75" customHeight="1">
      <c r="A861" s="188">
        <v>46086.73172386574</v>
      </c>
      <c r="B861" s="66" t="s">
        <v>154</v>
      </c>
      <c r="C861" s="67">
        <v>10.0</v>
      </c>
      <c r="D861" s="67">
        <v>21.0</v>
      </c>
      <c r="E861" s="69"/>
      <c r="F861" s="66" t="s">
        <v>147</v>
      </c>
      <c r="G861" s="67">
        <v>970.0</v>
      </c>
      <c r="H861" s="67">
        <v>2000.0</v>
      </c>
      <c r="I861" s="189">
        <v>46288.0</v>
      </c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</row>
    <row r="862" ht="15.75" customHeight="1">
      <c r="A862" s="188">
        <v>46086.73280892361</v>
      </c>
      <c r="B862" s="66" t="s">
        <v>148</v>
      </c>
      <c r="C862" s="67">
        <v>10.0</v>
      </c>
      <c r="D862" s="67">
        <v>13.0</v>
      </c>
      <c r="E862" s="69"/>
      <c r="F862" s="66" t="s">
        <v>147</v>
      </c>
      <c r="G862" s="67">
        <v>670.0</v>
      </c>
      <c r="H862" s="67">
        <v>1600.0</v>
      </c>
      <c r="I862" s="189">
        <v>46247.0</v>
      </c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</row>
    <row r="863" ht="15.75" customHeight="1">
      <c r="A863" s="188">
        <v>46086.73312097222</v>
      </c>
      <c r="B863" s="66" t="s">
        <v>360</v>
      </c>
      <c r="C863" s="67">
        <v>12.0</v>
      </c>
      <c r="D863" s="67">
        <v>21.0</v>
      </c>
      <c r="E863" s="69"/>
      <c r="F863" s="66" t="s">
        <v>362</v>
      </c>
      <c r="G863" s="67">
        <v>900.0</v>
      </c>
      <c r="H863" s="67">
        <v>2000.0</v>
      </c>
      <c r="I863" s="185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</row>
    <row r="864" ht="15.75" customHeight="1">
      <c r="A864" s="188">
        <v>46086.73370693287</v>
      </c>
      <c r="B864" s="66" t="s">
        <v>288</v>
      </c>
      <c r="C864" s="67">
        <v>6.0</v>
      </c>
      <c r="D864" s="67">
        <v>6.0</v>
      </c>
      <c r="E864" s="66" t="s">
        <v>289</v>
      </c>
      <c r="F864" s="66" t="s">
        <v>147</v>
      </c>
      <c r="G864" s="67">
        <v>1800.0</v>
      </c>
      <c r="H864" s="67">
        <v>3200.0</v>
      </c>
      <c r="I864" s="185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</row>
    <row r="865" ht="15.75" customHeight="1">
      <c r="A865" s="188">
        <v>46086.73409668982</v>
      </c>
      <c r="B865" s="66" t="s">
        <v>336</v>
      </c>
      <c r="C865" s="67">
        <v>5.0</v>
      </c>
      <c r="D865" s="67">
        <v>6.0</v>
      </c>
      <c r="E865" s="69"/>
      <c r="F865" s="66" t="s">
        <v>147</v>
      </c>
      <c r="G865" s="67">
        <v>1800.0</v>
      </c>
      <c r="H865" s="67">
        <v>3200.0</v>
      </c>
      <c r="I865" s="185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</row>
    <row r="866" ht="15.75" customHeight="1">
      <c r="A866" s="188">
        <v>46086.73465193287</v>
      </c>
      <c r="B866" s="66" t="s">
        <v>646</v>
      </c>
      <c r="C866" s="67">
        <v>1.0</v>
      </c>
      <c r="D866" s="67">
        <v>9.0</v>
      </c>
      <c r="E866" s="69"/>
      <c r="F866" s="66" t="s">
        <v>147</v>
      </c>
      <c r="G866" s="67">
        <v>1300.0</v>
      </c>
      <c r="H866" s="67">
        <v>3500.0</v>
      </c>
      <c r="I866" s="185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</row>
    <row r="867" ht="15.75" customHeight="1">
      <c r="A867" s="188">
        <v>46086.73506975695</v>
      </c>
      <c r="B867" s="66" t="s">
        <v>213</v>
      </c>
      <c r="C867" s="67">
        <v>1.0</v>
      </c>
      <c r="D867" s="67">
        <v>13.0</v>
      </c>
      <c r="E867" s="69"/>
      <c r="F867" s="66" t="s">
        <v>147</v>
      </c>
      <c r="G867" s="67">
        <v>1250.0</v>
      </c>
      <c r="H867" s="67">
        <v>3300.0</v>
      </c>
      <c r="I867" s="185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</row>
    <row r="868" ht="15.75" customHeight="1">
      <c r="A868" s="188">
        <v>46086.73644739583</v>
      </c>
      <c r="B868" s="66" t="s">
        <v>290</v>
      </c>
      <c r="C868" s="67">
        <v>40.0</v>
      </c>
      <c r="D868" s="67">
        <v>40.0</v>
      </c>
      <c r="E868" s="66" t="s">
        <v>291</v>
      </c>
      <c r="F868" s="66" t="s">
        <v>147</v>
      </c>
      <c r="G868" s="67">
        <v>600.0</v>
      </c>
      <c r="H868" s="67">
        <v>1300.0</v>
      </c>
      <c r="I868" s="189">
        <v>46311.0</v>
      </c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</row>
    <row r="869" ht="15.75" customHeight="1">
      <c r="A869" s="188">
        <v>46086.737347256945</v>
      </c>
      <c r="B869" s="66" t="s">
        <v>232</v>
      </c>
      <c r="C869" s="67">
        <v>1.0</v>
      </c>
      <c r="D869" s="67">
        <v>13.0</v>
      </c>
      <c r="E869" s="69"/>
      <c r="F869" s="66" t="s">
        <v>147</v>
      </c>
      <c r="G869" s="67">
        <v>750.0</v>
      </c>
      <c r="H869" s="67">
        <v>1700.0</v>
      </c>
      <c r="I869" s="189">
        <v>46416.0</v>
      </c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</row>
    <row r="870" ht="15.75" customHeight="1">
      <c r="A870" s="188">
        <v>46086.74681056713</v>
      </c>
      <c r="B870" s="66" t="s">
        <v>1054</v>
      </c>
      <c r="C870" s="67">
        <v>6.0</v>
      </c>
      <c r="D870" s="67">
        <v>6.0</v>
      </c>
      <c r="E870" s="66" t="s">
        <v>1055</v>
      </c>
      <c r="F870" s="66" t="s">
        <v>147</v>
      </c>
      <c r="G870" s="67">
        <v>2300.0</v>
      </c>
      <c r="H870" s="67">
        <v>5000.0</v>
      </c>
      <c r="I870" s="185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</row>
    <row r="871" ht="15.75" customHeight="1">
      <c r="A871" s="188">
        <v>46086.74727341435</v>
      </c>
      <c r="B871" s="66" t="s">
        <v>640</v>
      </c>
      <c r="C871" s="67">
        <v>6.0</v>
      </c>
      <c r="D871" s="67">
        <v>14.0</v>
      </c>
      <c r="E871" s="69"/>
      <c r="F871" s="69"/>
      <c r="G871" s="67">
        <v>4000.0</v>
      </c>
      <c r="H871" s="67">
        <v>9000.0</v>
      </c>
      <c r="I871" s="185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</row>
    <row r="872" ht="15.75" customHeight="1">
      <c r="A872" s="188">
        <v>46086.74773509259</v>
      </c>
      <c r="B872" s="66" t="s">
        <v>1271</v>
      </c>
      <c r="C872" s="67">
        <v>6.0</v>
      </c>
      <c r="D872" s="67">
        <v>18.0</v>
      </c>
      <c r="E872" s="69"/>
      <c r="F872" s="66" t="s">
        <v>147</v>
      </c>
      <c r="G872" s="67">
        <v>2200.0</v>
      </c>
      <c r="H872" s="67">
        <v>5000.0</v>
      </c>
      <c r="I872" s="185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</row>
    <row r="873" ht="15.75" customHeight="1">
      <c r="A873" s="188">
        <v>46086.749611701394</v>
      </c>
      <c r="B873" s="66" t="s">
        <v>292</v>
      </c>
      <c r="C873" s="67">
        <v>20.0</v>
      </c>
      <c r="D873" s="67">
        <v>20.0</v>
      </c>
      <c r="E873" s="66" t="s">
        <v>293</v>
      </c>
      <c r="F873" s="66" t="s">
        <v>147</v>
      </c>
      <c r="G873" s="67">
        <v>430.0</v>
      </c>
      <c r="H873" s="67">
        <v>700.0</v>
      </c>
      <c r="I873" s="189">
        <v>46323.0</v>
      </c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</row>
    <row r="874" ht="15.75" customHeight="1">
      <c r="A874" s="188">
        <v>46086.7507714699</v>
      </c>
      <c r="B874" s="66" t="s">
        <v>294</v>
      </c>
      <c r="C874" s="67">
        <v>12.0</v>
      </c>
      <c r="D874" s="67">
        <v>12.0</v>
      </c>
      <c r="E874" s="66" t="s">
        <v>295</v>
      </c>
      <c r="F874" s="66" t="s">
        <v>147</v>
      </c>
      <c r="G874" s="67">
        <v>1400.0</v>
      </c>
      <c r="H874" s="67">
        <v>2500.0</v>
      </c>
      <c r="I874" s="189">
        <v>46406.0</v>
      </c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</row>
    <row r="875" ht="15.75" customHeight="1">
      <c r="A875" s="188">
        <v>46086.752175891204</v>
      </c>
      <c r="B875" s="66" t="s">
        <v>296</v>
      </c>
      <c r="C875" s="67">
        <v>4.0</v>
      </c>
      <c r="D875" s="67">
        <v>4.0</v>
      </c>
      <c r="E875" s="66" t="s">
        <v>298</v>
      </c>
      <c r="F875" s="66" t="s">
        <v>147</v>
      </c>
      <c r="G875" s="67">
        <v>8000.0</v>
      </c>
      <c r="H875" s="67">
        <v>13999.0</v>
      </c>
      <c r="I875" s="189">
        <v>46124.0</v>
      </c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</row>
    <row r="876" ht="15.75" customHeight="1">
      <c r="A876" s="188">
        <v>46086.75362914352</v>
      </c>
      <c r="B876" s="66" t="s">
        <v>299</v>
      </c>
      <c r="C876" s="67">
        <v>4.0</v>
      </c>
      <c r="D876" s="67">
        <v>4.0</v>
      </c>
      <c r="E876" s="66" t="s">
        <v>300</v>
      </c>
      <c r="F876" s="66" t="s">
        <v>147</v>
      </c>
      <c r="G876" s="67">
        <v>8000.0</v>
      </c>
      <c r="H876" s="67">
        <v>13500.0</v>
      </c>
      <c r="I876" s="189">
        <v>46146.0</v>
      </c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</row>
    <row r="877" ht="15.75" customHeight="1">
      <c r="A877" s="188">
        <v>46086.756247349535</v>
      </c>
      <c r="B877" s="66" t="s">
        <v>301</v>
      </c>
      <c r="C877" s="67">
        <v>4.0</v>
      </c>
      <c r="D877" s="67">
        <v>4.0</v>
      </c>
      <c r="E877" s="66" t="s">
        <v>302</v>
      </c>
      <c r="F877" s="66" t="s">
        <v>147</v>
      </c>
      <c r="G877" s="67">
        <v>900.0</v>
      </c>
      <c r="H877" s="67">
        <v>1500.0</v>
      </c>
      <c r="I877" s="185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</row>
    <row r="878" ht="15.75" customHeight="1">
      <c r="A878" s="188">
        <v>46086.76177268519</v>
      </c>
      <c r="B878" s="66" t="s">
        <v>733</v>
      </c>
      <c r="C878" s="67">
        <v>1.0</v>
      </c>
      <c r="D878" s="67">
        <v>1.0</v>
      </c>
      <c r="E878" s="69"/>
      <c r="F878" s="66" t="s">
        <v>147</v>
      </c>
      <c r="G878" s="67">
        <v>2250.0</v>
      </c>
      <c r="H878" s="67">
        <v>5000.0</v>
      </c>
      <c r="I878" s="189">
        <v>46175.0</v>
      </c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</row>
    <row r="879" ht="15.75" customHeight="1">
      <c r="A879" s="188">
        <v>46086.763129189814</v>
      </c>
      <c r="B879" s="66" t="s">
        <v>2054</v>
      </c>
      <c r="C879" s="67">
        <v>1.0</v>
      </c>
      <c r="D879" s="67">
        <v>1.0</v>
      </c>
      <c r="E879" s="69"/>
      <c r="F879" s="66" t="s">
        <v>147</v>
      </c>
      <c r="G879" s="67">
        <v>1000.0</v>
      </c>
      <c r="H879" s="67">
        <v>2000.0</v>
      </c>
      <c r="I879" s="189">
        <v>46124.0</v>
      </c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</row>
    <row r="880" ht="15.75" customHeight="1">
      <c r="A880" s="188">
        <v>46086.76477716435</v>
      </c>
      <c r="B880" s="66" t="s">
        <v>562</v>
      </c>
      <c r="C880" s="67">
        <v>4.0</v>
      </c>
      <c r="D880" s="67">
        <v>10.0</v>
      </c>
      <c r="E880" s="69"/>
      <c r="F880" s="66" t="s">
        <v>147</v>
      </c>
      <c r="G880" s="67">
        <v>1100.0</v>
      </c>
      <c r="H880" s="67">
        <v>2000.0</v>
      </c>
      <c r="I880" s="189">
        <v>46231.0</v>
      </c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</row>
    <row r="881" ht="15.75" customHeight="1">
      <c r="A881" s="188">
        <v>46086.76710376157</v>
      </c>
      <c r="B881" s="66" t="s">
        <v>303</v>
      </c>
      <c r="C881" s="67">
        <v>4.0</v>
      </c>
      <c r="D881" s="67">
        <v>4.0</v>
      </c>
      <c r="E881" s="66" t="s">
        <v>304</v>
      </c>
      <c r="F881" s="66" t="s">
        <v>147</v>
      </c>
      <c r="G881" s="67">
        <v>1500.0</v>
      </c>
      <c r="H881" s="67">
        <v>3000.0</v>
      </c>
      <c r="I881" s="185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</row>
    <row r="882" ht="15.75" customHeight="1">
      <c r="A882" s="188">
        <v>46086.76966341435</v>
      </c>
      <c r="B882" s="66" t="s">
        <v>540</v>
      </c>
      <c r="C882" s="67">
        <v>12.0</v>
      </c>
      <c r="D882" s="67">
        <v>15.0</v>
      </c>
      <c r="E882" s="69"/>
      <c r="F882" s="69"/>
      <c r="G882" s="67">
        <v>4500.0</v>
      </c>
      <c r="H882" s="67">
        <v>10000.0</v>
      </c>
      <c r="I882" s="189">
        <v>46236.0</v>
      </c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</row>
    <row r="883" ht="15.75" customHeight="1">
      <c r="A883" s="188">
        <v>46086.770407488424</v>
      </c>
      <c r="B883" s="66" t="s">
        <v>540</v>
      </c>
      <c r="C883" s="67">
        <v>1.0</v>
      </c>
      <c r="D883" s="67">
        <v>16.0</v>
      </c>
      <c r="E883" s="69"/>
      <c r="F883" s="69"/>
      <c r="G883" s="69"/>
      <c r="H883" s="67">
        <v>10000.0</v>
      </c>
      <c r="I883" s="185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</row>
    <row r="884" ht="15.75" customHeight="1">
      <c r="A884" s="188">
        <v>46086.77223778935</v>
      </c>
      <c r="B884" s="66" t="s">
        <v>305</v>
      </c>
      <c r="C884" s="67">
        <v>4.0</v>
      </c>
      <c r="D884" s="67">
        <v>4.0</v>
      </c>
      <c r="E884" s="66" t="s">
        <v>306</v>
      </c>
      <c r="F884" s="66" t="s">
        <v>147</v>
      </c>
      <c r="G884" s="67">
        <v>4000.0</v>
      </c>
      <c r="H884" s="67">
        <v>6000.0</v>
      </c>
      <c r="I884" s="185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</row>
    <row r="885" ht="15.75" customHeight="1">
      <c r="A885" s="188">
        <v>46086.77351987269</v>
      </c>
      <c r="B885" s="66" t="s">
        <v>307</v>
      </c>
      <c r="C885" s="67">
        <v>4.0</v>
      </c>
      <c r="D885" s="67">
        <v>4.0</v>
      </c>
      <c r="E885" s="66" t="s">
        <v>308</v>
      </c>
      <c r="F885" s="66" t="s">
        <v>147</v>
      </c>
      <c r="G885" s="67">
        <v>1900.0</v>
      </c>
      <c r="H885" s="67">
        <v>3600.0</v>
      </c>
      <c r="I885" s="189">
        <v>46599.0</v>
      </c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</row>
    <row r="886" ht="15.75" customHeight="1">
      <c r="A886" s="188">
        <v>46086.78074311343</v>
      </c>
      <c r="B886" s="66" t="s">
        <v>2055</v>
      </c>
      <c r="C886" s="67">
        <v>1.0</v>
      </c>
      <c r="D886" s="67">
        <v>10.0</v>
      </c>
      <c r="E886" s="69"/>
      <c r="F886" s="66" t="s">
        <v>147</v>
      </c>
      <c r="G886" s="67">
        <v>650.0</v>
      </c>
      <c r="H886" s="67">
        <v>2500.0</v>
      </c>
      <c r="I886" s="185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</row>
    <row r="887" ht="15.75" customHeight="1">
      <c r="A887" s="188">
        <v>46086.78226545139</v>
      </c>
      <c r="B887" s="66" t="s">
        <v>2056</v>
      </c>
      <c r="C887" s="67">
        <v>1.0</v>
      </c>
      <c r="D887" s="67">
        <v>1.0</v>
      </c>
      <c r="E887" s="69"/>
      <c r="F887" s="66" t="s">
        <v>147</v>
      </c>
      <c r="G887" s="67">
        <v>2164.0</v>
      </c>
      <c r="H887" s="67">
        <v>3300.0</v>
      </c>
      <c r="I887" s="185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</row>
    <row r="888" ht="15.75" customHeight="1">
      <c r="A888" s="188">
        <v>46086.78335809028</v>
      </c>
      <c r="B888" s="66" t="s">
        <v>309</v>
      </c>
      <c r="C888" s="67">
        <v>3.0</v>
      </c>
      <c r="D888" s="67">
        <v>3.0</v>
      </c>
      <c r="E888" s="66" t="s">
        <v>310</v>
      </c>
      <c r="F888" s="66" t="s">
        <v>147</v>
      </c>
      <c r="G888" s="67">
        <v>3874.0</v>
      </c>
      <c r="H888" s="67">
        <v>5800.0</v>
      </c>
      <c r="I888" s="185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</row>
    <row r="889" ht="15.75" customHeight="1">
      <c r="A889" s="188">
        <v>46086.78433886574</v>
      </c>
      <c r="B889" s="66" t="s">
        <v>584</v>
      </c>
      <c r="C889" s="67">
        <v>1.0</v>
      </c>
      <c r="D889" s="67">
        <v>5.0</v>
      </c>
      <c r="E889" s="69"/>
      <c r="F889" s="66" t="s">
        <v>147</v>
      </c>
      <c r="G889" s="67">
        <v>2000.0</v>
      </c>
      <c r="H889" s="67">
        <v>2500.0</v>
      </c>
      <c r="I889" s="185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</row>
    <row r="890" ht="15.75" customHeight="1">
      <c r="A890" s="188">
        <v>46086.78527953704</v>
      </c>
      <c r="B890" s="66" t="s">
        <v>311</v>
      </c>
      <c r="C890" s="67">
        <v>4.0</v>
      </c>
      <c r="D890" s="67">
        <v>4.0</v>
      </c>
      <c r="E890" s="66" t="s">
        <v>312</v>
      </c>
      <c r="F890" s="66" t="s">
        <v>147</v>
      </c>
      <c r="G890" s="67">
        <v>1900.0</v>
      </c>
      <c r="H890" s="67">
        <v>2850.0</v>
      </c>
      <c r="I890" s="185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</row>
    <row r="891" ht="15.75" customHeight="1">
      <c r="A891" s="188">
        <v>46086.79169420138</v>
      </c>
      <c r="B891" s="66" t="s">
        <v>602</v>
      </c>
      <c r="C891" s="67">
        <v>4.0</v>
      </c>
      <c r="D891" s="67">
        <v>4.0</v>
      </c>
      <c r="E891" s="66" t="s">
        <v>603</v>
      </c>
      <c r="F891" s="66" t="s">
        <v>147</v>
      </c>
      <c r="G891" s="67">
        <v>1300.0</v>
      </c>
      <c r="H891" s="67">
        <v>2000.0</v>
      </c>
      <c r="I891" s="185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</row>
    <row r="892" ht="15.75" customHeight="1">
      <c r="A892" s="188">
        <v>46086.79291819445</v>
      </c>
      <c r="B892" s="66" t="s">
        <v>586</v>
      </c>
      <c r="C892" s="67">
        <v>4.0</v>
      </c>
      <c r="D892" s="67">
        <v>7.0</v>
      </c>
      <c r="E892" s="69"/>
      <c r="F892" s="66" t="s">
        <v>147</v>
      </c>
      <c r="G892" s="67">
        <v>1300.0</v>
      </c>
      <c r="H892" s="67">
        <v>2500.0</v>
      </c>
      <c r="I892" s="185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</row>
    <row r="893" ht="15.75" customHeight="1">
      <c r="A893" s="188">
        <v>46086.793436631946</v>
      </c>
      <c r="B893" s="66" t="s">
        <v>592</v>
      </c>
      <c r="C893" s="67">
        <v>4.0</v>
      </c>
      <c r="D893" s="67">
        <v>9.0</v>
      </c>
      <c r="E893" s="69"/>
      <c r="F893" s="66" t="s">
        <v>147</v>
      </c>
      <c r="G893" s="67">
        <v>1400.0</v>
      </c>
      <c r="H893" s="67">
        <v>3000.0</v>
      </c>
      <c r="I893" s="185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</row>
    <row r="894" ht="15.75" customHeight="1">
      <c r="A894" s="188">
        <v>46086.79511032408</v>
      </c>
      <c r="B894" s="66" t="s">
        <v>313</v>
      </c>
      <c r="C894" s="67">
        <v>4.0</v>
      </c>
      <c r="D894" s="67">
        <v>4.0</v>
      </c>
      <c r="E894" s="66" t="s">
        <v>314</v>
      </c>
      <c r="F894" s="66" t="s">
        <v>147</v>
      </c>
      <c r="G894" s="67">
        <v>1456.0</v>
      </c>
      <c r="H894" s="67">
        <v>3000.0</v>
      </c>
      <c r="I894" s="185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</row>
    <row r="895" ht="15.75" customHeight="1">
      <c r="A895" s="188">
        <v>46086.79657119213</v>
      </c>
      <c r="B895" s="66" t="s">
        <v>315</v>
      </c>
      <c r="C895" s="67">
        <v>12.0</v>
      </c>
      <c r="D895" s="67">
        <v>12.0</v>
      </c>
      <c r="E895" s="66" t="s">
        <v>316</v>
      </c>
      <c r="F895" s="66" t="s">
        <v>74</v>
      </c>
      <c r="G895" s="67">
        <v>1400.0</v>
      </c>
      <c r="H895" s="67">
        <v>2500.0</v>
      </c>
      <c r="I895" s="185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</row>
    <row r="896" ht="15.75" customHeight="1">
      <c r="A896" s="188">
        <v>46086.79791365741</v>
      </c>
      <c r="B896" s="66" t="s">
        <v>317</v>
      </c>
      <c r="C896" s="67">
        <v>12.0</v>
      </c>
      <c r="D896" s="67">
        <v>12.0</v>
      </c>
      <c r="E896" s="66" t="s">
        <v>318</v>
      </c>
      <c r="F896" s="66" t="s">
        <v>74</v>
      </c>
      <c r="G896" s="67">
        <v>333.0</v>
      </c>
      <c r="H896" s="67">
        <v>700.0</v>
      </c>
      <c r="I896" s="189">
        <v>46752.0</v>
      </c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</row>
    <row r="897" ht="15.75" customHeight="1">
      <c r="A897" s="188">
        <v>46086.799019791666</v>
      </c>
      <c r="B897" s="66" t="s">
        <v>506</v>
      </c>
      <c r="C897" s="67">
        <v>12.0</v>
      </c>
      <c r="D897" s="67">
        <v>19.0</v>
      </c>
      <c r="E897" s="69"/>
      <c r="F897" s="66" t="s">
        <v>74</v>
      </c>
      <c r="G897" s="67">
        <v>333.0</v>
      </c>
      <c r="H897" s="67">
        <v>700.0</v>
      </c>
      <c r="I897" s="189">
        <v>46752.0</v>
      </c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</row>
    <row r="898" ht="15.75" customHeight="1">
      <c r="A898" s="188">
        <v>46086.80031361111</v>
      </c>
      <c r="B898" s="66" t="s">
        <v>536</v>
      </c>
      <c r="C898" s="67">
        <v>8.0</v>
      </c>
      <c r="D898" s="67">
        <v>19.0</v>
      </c>
      <c r="E898" s="69"/>
      <c r="F898" s="66" t="s">
        <v>147</v>
      </c>
      <c r="G898" s="67">
        <v>3987.0</v>
      </c>
      <c r="H898" s="67">
        <v>6700.0</v>
      </c>
      <c r="I898" s="189">
        <v>46239.0</v>
      </c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</row>
    <row r="899" ht="15.75" customHeight="1">
      <c r="A899" s="188">
        <v>46086.80473042824</v>
      </c>
      <c r="B899" s="66" t="s">
        <v>504</v>
      </c>
      <c r="C899" s="67">
        <v>1.0</v>
      </c>
      <c r="D899" s="67">
        <v>32.0</v>
      </c>
      <c r="E899" s="69"/>
      <c r="F899" s="66" t="s">
        <v>74</v>
      </c>
      <c r="G899" s="67">
        <v>500.0</v>
      </c>
      <c r="H899" s="67">
        <v>800.0</v>
      </c>
      <c r="I899" s="189">
        <v>46410.0</v>
      </c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</row>
    <row r="900" ht="15.75" customHeight="1">
      <c r="A900" s="188">
        <v>46086.807490555555</v>
      </c>
      <c r="B900" s="66" t="s">
        <v>319</v>
      </c>
      <c r="C900" s="67">
        <v>3.0</v>
      </c>
      <c r="D900" s="67">
        <v>3.0</v>
      </c>
      <c r="E900" s="66" t="s">
        <v>320</v>
      </c>
      <c r="F900" s="69"/>
      <c r="G900" s="67">
        <v>459.0</v>
      </c>
      <c r="H900" s="67">
        <v>700.0</v>
      </c>
      <c r="I900" s="189">
        <v>46365.0</v>
      </c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</row>
    <row r="901" ht="15.75" customHeight="1">
      <c r="A901" s="188">
        <v>46086.80794153935</v>
      </c>
      <c r="B901" s="66" t="s">
        <v>274</v>
      </c>
      <c r="C901" s="67">
        <v>1.0</v>
      </c>
      <c r="D901" s="67">
        <v>4.0</v>
      </c>
      <c r="E901" s="69"/>
      <c r="F901" s="66" t="s">
        <v>47</v>
      </c>
      <c r="G901" s="67">
        <v>459.0</v>
      </c>
      <c r="H901" s="67">
        <v>700.0</v>
      </c>
      <c r="I901" s="189">
        <v>46317.0</v>
      </c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</row>
    <row r="902" ht="15.75" customHeight="1">
      <c r="A902" s="188">
        <v>46086.80890068287</v>
      </c>
      <c r="B902" s="66" t="s">
        <v>321</v>
      </c>
      <c r="C902" s="67">
        <v>3.0</v>
      </c>
      <c r="D902" s="67">
        <v>3.0</v>
      </c>
      <c r="E902" s="66" t="s">
        <v>322</v>
      </c>
      <c r="F902" s="66" t="s">
        <v>47</v>
      </c>
      <c r="G902" s="67">
        <v>459.0</v>
      </c>
      <c r="H902" s="67">
        <v>600.0</v>
      </c>
      <c r="I902" s="189">
        <v>46408.0</v>
      </c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</row>
    <row r="903" ht="15.75" customHeight="1">
      <c r="A903" s="188">
        <v>46086.81020709491</v>
      </c>
      <c r="B903" s="66" t="s">
        <v>323</v>
      </c>
      <c r="C903" s="67">
        <v>3.0</v>
      </c>
      <c r="D903" s="67">
        <v>3.0</v>
      </c>
      <c r="E903" s="66" t="s">
        <v>324</v>
      </c>
      <c r="F903" s="66" t="s">
        <v>47</v>
      </c>
      <c r="G903" s="67">
        <v>459.0</v>
      </c>
      <c r="H903" s="67">
        <v>700.0</v>
      </c>
      <c r="I903" s="189">
        <v>46095.0</v>
      </c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</row>
    <row r="904" ht="15.75" customHeight="1">
      <c r="A904" s="188">
        <v>46086.818232245365</v>
      </c>
      <c r="B904" s="66" t="s">
        <v>325</v>
      </c>
      <c r="C904" s="67">
        <v>80.0</v>
      </c>
      <c r="D904" s="67">
        <v>80.0</v>
      </c>
      <c r="E904" s="66" t="s">
        <v>326</v>
      </c>
      <c r="F904" s="66" t="s">
        <v>74</v>
      </c>
      <c r="G904" s="67">
        <v>82.0</v>
      </c>
      <c r="H904" s="67">
        <v>125.0</v>
      </c>
      <c r="I904" s="189">
        <v>46421.0</v>
      </c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</row>
    <row r="905" ht="15.75" customHeight="1">
      <c r="A905" s="188">
        <v>46086.81919194444</v>
      </c>
      <c r="B905" s="66" t="s">
        <v>327</v>
      </c>
      <c r="C905" s="67">
        <v>80.0</v>
      </c>
      <c r="D905" s="67">
        <v>80.0</v>
      </c>
      <c r="E905" s="66" t="s">
        <v>328</v>
      </c>
      <c r="F905" s="66" t="s">
        <v>74</v>
      </c>
      <c r="G905" s="67">
        <v>88.0</v>
      </c>
      <c r="H905" s="67">
        <v>125.0</v>
      </c>
      <c r="I905" s="189">
        <v>46414.0</v>
      </c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</row>
    <row r="906" ht="15.75" customHeight="1">
      <c r="A906" s="188">
        <v>46086.81981435185</v>
      </c>
      <c r="B906" s="66" t="s">
        <v>329</v>
      </c>
      <c r="C906" s="67">
        <v>80.0</v>
      </c>
      <c r="D906" s="67">
        <v>80.0</v>
      </c>
      <c r="E906" s="66" t="s">
        <v>330</v>
      </c>
      <c r="F906" s="66" t="s">
        <v>74</v>
      </c>
      <c r="G906" s="67">
        <v>88.0</v>
      </c>
      <c r="H906" s="67">
        <v>125.0</v>
      </c>
      <c r="I906" s="189">
        <v>46317.0</v>
      </c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</row>
    <row r="907" ht="15.75" customHeight="1">
      <c r="A907" s="188">
        <v>46086.82277951389</v>
      </c>
      <c r="B907" s="66" t="s">
        <v>103</v>
      </c>
      <c r="C907" s="67">
        <v>1.0</v>
      </c>
      <c r="D907" s="67">
        <v>9.0</v>
      </c>
      <c r="E907" s="69"/>
      <c r="F907" s="69"/>
      <c r="G907" s="67">
        <v>586.0</v>
      </c>
      <c r="H907" s="67">
        <v>1000.0</v>
      </c>
      <c r="I907" s="189">
        <v>47118.0</v>
      </c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</row>
    <row r="908" ht="15.75" customHeight="1">
      <c r="A908" s="188">
        <v>46086.82417637731</v>
      </c>
      <c r="B908" s="66" t="s">
        <v>544</v>
      </c>
      <c r="C908" s="67">
        <v>3.0</v>
      </c>
      <c r="D908" s="67">
        <v>9.0</v>
      </c>
      <c r="E908" s="69"/>
      <c r="F908" s="66" t="s">
        <v>74</v>
      </c>
      <c r="G908" s="67">
        <v>3500.0</v>
      </c>
      <c r="H908" s="67">
        <v>7200.0</v>
      </c>
      <c r="I908" s="189">
        <v>46251.0</v>
      </c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</row>
    <row r="909" ht="15.75" customHeight="1">
      <c r="A909" s="188">
        <v>46086.82663188658</v>
      </c>
      <c r="B909" s="66" t="s">
        <v>696</v>
      </c>
      <c r="C909" s="67">
        <v>2.0</v>
      </c>
      <c r="D909" s="67">
        <v>2.0</v>
      </c>
      <c r="E909" s="66" t="s">
        <v>697</v>
      </c>
      <c r="F909" s="66" t="s">
        <v>74</v>
      </c>
      <c r="G909" s="67">
        <v>972.0</v>
      </c>
      <c r="H909" s="67">
        <v>1500.0</v>
      </c>
      <c r="I909" s="189">
        <v>46790.0</v>
      </c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</row>
    <row r="910" ht="15.75" customHeight="1">
      <c r="A910" s="188">
        <v>46086.82778900463</v>
      </c>
      <c r="B910" s="66" t="s">
        <v>698</v>
      </c>
      <c r="C910" s="67">
        <v>2.0</v>
      </c>
      <c r="D910" s="67">
        <v>2.0</v>
      </c>
      <c r="E910" s="66" t="s">
        <v>699</v>
      </c>
      <c r="F910" s="66" t="s">
        <v>74</v>
      </c>
      <c r="G910" s="67">
        <v>972.0</v>
      </c>
      <c r="H910" s="67">
        <v>1500.0</v>
      </c>
      <c r="I910" s="189">
        <v>46784.0</v>
      </c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</row>
    <row r="911" ht="15.75" customHeight="1">
      <c r="A911" s="188">
        <v>46086.82881361111</v>
      </c>
      <c r="B911" s="66" t="s">
        <v>2026</v>
      </c>
      <c r="C911" s="66">
        <v>14.0</v>
      </c>
      <c r="D911" s="66">
        <v>14.0</v>
      </c>
      <c r="E911" s="69"/>
      <c r="F911" s="66" t="s">
        <v>74</v>
      </c>
      <c r="G911" s="67">
        <v>1400.0</v>
      </c>
      <c r="H911" s="67">
        <v>3000.0</v>
      </c>
      <c r="I911" s="189">
        <v>46139.0</v>
      </c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</row>
    <row r="912" ht="15.75" customHeight="1">
      <c r="A912" s="188">
        <v>46086.83019673611</v>
      </c>
      <c r="B912" s="66" t="s">
        <v>817</v>
      </c>
      <c r="C912" s="67">
        <v>1.0</v>
      </c>
      <c r="D912" s="67">
        <v>1.0</v>
      </c>
      <c r="E912" s="66" t="s">
        <v>818</v>
      </c>
      <c r="F912" s="66" t="s">
        <v>74</v>
      </c>
      <c r="G912" s="67">
        <v>1390.0</v>
      </c>
      <c r="H912" s="67">
        <v>2300.0</v>
      </c>
      <c r="I912" s="189">
        <v>46733.0</v>
      </c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</row>
    <row r="913" ht="15.75" customHeight="1">
      <c r="A913" s="188">
        <v>46086.831680567135</v>
      </c>
      <c r="B913" s="66" t="s">
        <v>694</v>
      </c>
      <c r="C913" s="67">
        <v>1.0</v>
      </c>
      <c r="D913" s="67">
        <v>2.0</v>
      </c>
      <c r="E913" s="69"/>
      <c r="F913" s="66" t="s">
        <v>74</v>
      </c>
      <c r="G913" s="67">
        <v>1196.0</v>
      </c>
      <c r="H913" s="67">
        <v>1800.0</v>
      </c>
      <c r="I913" s="189">
        <v>46603.0</v>
      </c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</row>
    <row r="914" ht="15.75" customHeight="1">
      <c r="A914" s="188">
        <v>46086.833650092594</v>
      </c>
      <c r="B914" s="66" t="s">
        <v>538</v>
      </c>
      <c r="C914" s="67">
        <v>4.0</v>
      </c>
      <c r="D914" s="67">
        <v>7.0</v>
      </c>
      <c r="E914" s="69"/>
      <c r="F914" s="66" t="s">
        <v>74</v>
      </c>
      <c r="G914" s="67">
        <v>5000.0</v>
      </c>
      <c r="H914" s="67">
        <v>9500.0</v>
      </c>
      <c r="I914" s="189">
        <v>46219.0</v>
      </c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</row>
    <row r="915" ht="15.75" customHeight="1">
      <c r="A915" s="188">
        <v>46086.834946539355</v>
      </c>
      <c r="B915" s="66" t="s">
        <v>331</v>
      </c>
      <c r="C915" s="67">
        <v>6.0</v>
      </c>
      <c r="D915" s="67">
        <v>6.0</v>
      </c>
      <c r="E915" s="66" t="s">
        <v>332</v>
      </c>
      <c r="F915" s="66" t="s">
        <v>74</v>
      </c>
      <c r="G915" s="67">
        <v>3400.0</v>
      </c>
      <c r="H915" s="67">
        <v>6000.0</v>
      </c>
      <c r="I915" s="185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</row>
    <row r="916" ht="15.75" customHeight="1">
      <c r="A916" s="188">
        <v>46086.8384156713</v>
      </c>
      <c r="B916" s="66" t="s">
        <v>819</v>
      </c>
      <c r="C916" s="67">
        <v>1.0</v>
      </c>
      <c r="D916" s="67">
        <v>1.0</v>
      </c>
      <c r="E916" s="66" t="s">
        <v>820</v>
      </c>
      <c r="F916" s="66" t="s">
        <v>147</v>
      </c>
      <c r="G916" s="67">
        <v>1774.0</v>
      </c>
      <c r="H916" s="67">
        <v>2700.0</v>
      </c>
      <c r="I916" s="185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</row>
    <row r="917" ht="15.75" customHeight="1">
      <c r="A917" s="188">
        <v>46087.1085094213</v>
      </c>
      <c r="B917" s="66" t="s">
        <v>107</v>
      </c>
      <c r="C917" s="67">
        <v>30.0</v>
      </c>
      <c r="D917" s="67">
        <v>30.0</v>
      </c>
      <c r="E917" s="69"/>
      <c r="F917" s="66" t="s">
        <v>109</v>
      </c>
      <c r="G917" s="67">
        <v>2500.0</v>
      </c>
      <c r="H917" s="67">
        <v>4500.0</v>
      </c>
      <c r="I917" s="189">
        <v>47044.0</v>
      </c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</row>
    <row r="918" ht="15.75" customHeight="1">
      <c r="A918" s="188">
        <v>46087.82601109953</v>
      </c>
      <c r="B918" s="66" t="s">
        <v>2057</v>
      </c>
      <c r="C918" s="67">
        <v>1.0</v>
      </c>
      <c r="D918" s="67">
        <v>1.0</v>
      </c>
      <c r="E918" s="66" t="s">
        <v>649</v>
      </c>
      <c r="F918" s="66" t="s">
        <v>385</v>
      </c>
      <c r="G918" s="67">
        <v>2000.0</v>
      </c>
      <c r="H918" s="67">
        <v>3500.0</v>
      </c>
      <c r="I918" s="185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</row>
    <row r="919" ht="15.75" customHeight="1">
      <c r="A919" s="188">
        <v>46087.82639447917</v>
      </c>
      <c r="B919" s="66" t="s">
        <v>398</v>
      </c>
      <c r="C919" s="67">
        <v>1.0</v>
      </c>
      <c r="D919" s="67">
        <v>2.33</v>
      </c>
      <c r="E919" s="69"/>
      <c r="F919" s="66" t="s">
        <v>385</v>
      </c>
      <c r="G919" s="67">
        <v>3000.0</v>
      </c>
      <c r="H919" s="67">
        <v>5000.0</v>
      </c>
      <c r="I919" s="185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</row>
    <row r="920" ht="15.75" customHeight="1">
      <c r="A920" s="188">
        <v>46087.826695254626</v>
      </c>
      <c r="B920" s="66" t="s">
        <v>867</v>
      </c>
      <c r="C920" s="67">
        <v>1.0</v>
      </c>
      <c r="D920" s="67">
        <v>1.0</v>
      </c>
      <c r="E920" s="69"/>
      <c r="F920" s="66" t="s">
        <v>385</v>
      </c>
      <c r="G920" s="67">
        <v>2000.0</v>
      </c>
      <c r="H920" s="67">
        <v>3000.0</v>
      </c>
      <c r="I920" s="185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</row>
    <row r="921" ht="15.75" customHeight="1">
      <c r="A921" s="188">
        <v>46087.82706512732</v>
      </c>
      <c r="B921" s="66" t="s">
        <v>382</v>
      </c>
      <c r="C921" s="67">
        <v>1.0</v>
      </c>
      <c r="D921" s="67">
        <v>10.69</v>
      </c>
      <c r="E921" s="69"/>
      <c r="F921" s="66" t="s">
        <v>385</v>
      </c>
      <c r="G921" s="67">
        <v>1200.0</v>
      </c>
      <c r="H921" s="67">
        <v>2200.0</v>
      </c>
      <c r="I921" s="185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</row>
    <row r="922" ht="15.75" customHeight="1">
      <c r="A922" s="188">
        <v>46087.82750758102</v>
      </c>
      <c r="B922" s="66" t="s">
        <v>658</v>
      </c>
      <c r="C922" s="67">
        <v>3.0</v>
      </c>
      <c r="D922" s="67">
        <v>3.0</v>
      </c>
      <c r="E922" s="69"/>
      <c r="F922" s="66" t="s">
        <v>385</v>
      </c>
      <c r="G922" s="67">
        <v>3800.0</v>
      </c>
      <c r="H922" s="67">
        <v>5500.0</v>
      </c>
      <c r="I922" s="185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</row>
    <row r="923" ht="15.75" customHeight="1">
      <c r="A923" s="188">
        <v>46087.827965115735</v>
      </c>
      <c r="B923" s="66" t="s">
        <v>990</v>
      </c>
      <c r="C923" s="67">
        <v>1.0</v>
      </c>
      <c r="D923" s="67">
        <v>3.5</v>
      </c>
      <c r="E923" s="69"/>
      <c r="F923" s="66" t="s">
        <v>385</v>
      </c>
      <c r="G923" s="67">
        <v>1300.0</v>
      </c>
      <c r="H923" s="67">
        <v>2100.0</v>
      </c>
      <c r="I923" s="185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</row>
    <row r="924" ht="15.75" customHeight="1">
      <c r="A924" s="188">
        <v>46087.828207893515</v>
      </c>
      <c r="B924" s="66" t="s">
        <v>396</v>
      </c>
      <c r="C924" s="67">
        <v>1.0</v>
      </c>
      <c r="D924" s="67">
        <v>6.935</v>
      </c>
      <c r="E924" s="69"/>
      <c r="F924" s="66" t="s">
        <v>385</v>
      </c>
      <c r="G924" s="67">
        <v>3000.0</v>
      </c>
      <c r="H924" s="67">
        <v>5500.0</v>
      </c>
      <c r="I924" s="185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</row>
    <row r="925" ht="15.75" customHeight="1">
      <c r="A925" s="188">
        <v>46087.82881826389</v>
      </c>
      <c r="B925" s="66" t="s">
        <v>1273</v>
      </c>
      <c r="C925" s="67">
        <v>4.0</v>
      </c>
      <c r="D925" s="67">
        <v>7.0</v>
      </c>
      <c r="E925" s="69"/>
      <c r="F925" s="66" t="s">
        <v>385</v>
      </c>
      <c r="G925" s="67">
        <v>1400.0</v>
      </c>
      <c r="H925" s="67">
        <v>2500.0</v>
      </c>
      <c r="I925" s="185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</row>
    <row r="926" ht="15.75" customHeight="1">
      <c r="A926" s="188">
        <v>46087.82928333333</v>
      </c>
      <c r="B926" s="66" t="s">
        <v>392</v>
      </c>
      <c r="C926" s="67">
        <v>1.0</v>
      </c>
      <c r="D926" s="67">
        <v>10.8</v>
      </c>
      <c r="E926" s="69"/>
      <c r="F926" s="66" t="s">
        <v>385</v>
      </c>
      <c r="G926" s="67">
        <v>1800.0</v>
      </c>
      <c r="H926" s="67">
        <v>2600.0</v>
      </c>
      <c r="I926" s="185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</row>
    <row r="927" ht="15.75" customHeight="1">
      <c r="A927" s="188">
        <v>46087.82961973379</v>
      </c>
      <c r="B927" s="66" t="s">
        <v>400</v>
      </c>
      <c r="C927" s="67">
        <v>1.0</v>
      </c>
      <c r="D927" s="67">
        <v>5.0</v>
      </c>
      <c r="E927" s="69"/>
      <c r="F927" s="66" t="s">
        <v>385</v>
      </c>
      <c r="G927" s="67">
        <v>1600.0</v>
      </c>
      <c r="H927" s="67">
        <v>2600.0</v>
      </c>
      <c r="I927" s="185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</row>
    <row r="928" ht="15.75" customHeight="1">
      <c r="A928" s="188">
        <v>46087.829924861115</v>
      </c>
      <c r="B928" s="66" t="s">
        <v>394</v>
      </c>
      <c r="C928" s="67">
        <v>1.0</v>
      </c>
      <c r="D928" s="67">
        <v>6.0</v>
      </c>
      <c r="E928" s="69"/>
      <c r="F928" s="66" t="s">
        <v>385</v>
      </c>
      <c r="G928" s="67">
        <v>2000.0</v>
      </c>
      <c r="H928" s="67">
        <v>3000.0</v>
      </c>
      <c r="I928" s="185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</row>
    <row r="929" ht="15.75" customHeight="1">
      <c r="A929" s="188">
        <v>46087.83089834491</v>
      </c>
      <c r="B929" s="66" t="s">
        <v>788</v>
      </c>
      <c r="C929" s="67">
        <v>1.0</v>
      </c>
      <c r="D929" s="67">
        <v>2.375</v>
      </c>
      <c r="E929" s="69"/>
      <c r="F929" s="66" t="s">
        <v>790</v>
      </c>
      <c r="G929" s="67">
        <v>2700.0</v>
      </c>
      <c r="H929" s="67">
        <v>4000.0</v>
      </c>
      <c r="I929" s="185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</row>
    <row r="930" ht="15.75" customHeight="1">
      <c r="A930" s="188">
        <v>46087.8313940625</v>
      </c>
      <c r="B930" s="66" t="s">
        <v>296</v>
      </c>
      <c r="C930" s="67">
        <v>1.0</v>
      </c>
      <c r="D930" s="67">
        <v>5.0</v>
      </c>
      <c r="E930" s="69"/>
      <c r="F930" s="66" t="s">
        <v>147</v>
      </c>
      <c r="G930" s="67">
        <v>8000.0</v>
      </c>
      <c r="H930" s="67">
        <v>13999.0</v>
      </c>
      <c r="I930" s="185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</row>
    <row r="931" ht="15.75" customHeight="1">
      <c r="A931" s="188">
        <v>46087.83210659723</v>
      </c>
      <c r="B931" s="66" t="s">
        <v>299</v>
      </c>
      <c r="C931" s="67">
        <v>1.0</v>
      </c>
      <c r="D931" s="67">
        <v>5.0</v>
      </c>
      <c r="E931" s="69"/>
      <c r="F931" s="66" t="s">
        <v>147</v>
      </c>
      <c r="G931" s="67">
        <v>8000.0</v>
      </c>
      <c r="H931" s="67">
        <v>13500.0</v>
      </c>
      <c r="I931" s="185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</row>
    <row r="932" ht="15.75" customHeight="1">
      <c r="A932" s="188">
        <v>46087.8325142824</v>
      </c>
      <c r="B932" s="66" t="s">
        <v>390</v>
      </c>
      <c r="C932" s="67">
        <v>1.0</v>
      </c>
      <c r="D932" s="67">
        <v>9.0</v>
      </c>
      <c r="E932" s="69"/>
      <c r="F932" s="66" t="s">
        <v>385</v>
      </c>
      <c r="G932" s="67">
        <v>2000.0</v>
      </c>
      <c r="H932" s="67">
        <v>3000.0</v>
      </c>
      <c r="I932" s="185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</row>
    <row r="933" ht="15.75" customHeight="1">
      <c r="A933" s="188">
        <v>46087.83416267361</v>
      </c>
      <c r="B933" s="66" t="s">
        <v>988</v>
      </c>
      <c r="C933" s="67">
        <v>1.0</v>
      </c>
      <c r="D933" s="67">
        <v>4.0</v>
      </c>
      <c r="E933" s="69"/>
      <c r="F933" s="66" t="s">
        <v>385</v>
      </c>
      <c r="G933" s="67">
        <v>700.0</v>
      </c>
      <c r="H933" s="67">
        <v>1400.0</v>
      </c>
      <c r="I933" s="185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</row>
    <row r="934" ht="15.75" customHeight="1">
      <c r="A934" s="188">
        <v>46087.83480358796</v>
      </c>
      <c r="B934" s="66" t="s">
        <v>386</v>
      </c>
      <c r="C934" s="67">
        <v>15.0</v>
      </c>
      <c r="D934" s="67">
        <v>15.0</v>
      </c>
      <c r="E934" s="69"/>
      <c r="F934" s="66" t="s">
        <v>385</v>
      </c>
      <c r="G934" s="67">
        <v>500.0</v>
      </c>
      <c r="H934" s="67">
        <v>900.0</v>
      </c>
      <c r="I934" s="189">
        <v>46630.0</v>
      </c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</row>
    <row r="935" ht="15.75" customHeight="1">
      <c r="A935" s="188">
        <v>46089.729471412036</v>
      </c>
      <c r="B935" s="66" t="s">
        <v>323</v>
      </c>
      <c r="C935" s="67">
        <v>0.0</v>
      </c>
      <c r="D935" s="67">
        <v>3.0</v>
      </c>
      <c r="E935" s="69"/>
      <c r="F935" s="69"/>
      <c r="G935" s="69"/>
      <c r="H935" s="67">
        <v>560.0</v>
      </c>
      <c r="I935" s="185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</row>
    <row r="936" ht="15.75" customHeight="1">
      <c r="A936" s="188">
        <v>46089.79406842592</v>
      </c>
      <c r="B936" s="66" t="s">
        <v>528</v>
      </c>
      <c r="C936" s="67">
        <v>0.0</v>
      </c>
      <c r="D936" s="67">
        <v>5.0</v>
      </c>
      <c r="E936" s="69"/>
      <c r="F936" s="69"/>
      <c r="G936" s="69"/>
      <c r="H936" s="67">
        <v>2560.0</v>
      </c>
      <c r="I936" s="185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</row>
    <row r="937" ht="15.75" customHeight="1">
      <c r="A937" s="188">
        <v>46089.9086490162</v>
      </c>
      <c r="B937" s="66" t="s">
        <v>356</v>
      </c>
      <c r="C937" s="67">
        <v>30.0</v>
      </c>
      <c r="D937" s="67">
        <v>39.0</v>
      </c>
      <c r="E937" s="69"/>
      <c r="F937" s="66" t="s">
        <v>114</v>
      </c>
      <c r="G937" s="67">
        <v>2000.0</v>
      </c>
      <c r="H937" s="67">
        <v>3500.0</v>
      </c>
      <c r="I937" s="185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</row>
    <row r="938" ht="15.75" customHeight="1">
      <c r="A938" s="188">
        <v>46091.60837234954</v>
      </c>
      <c r="B938" s="66" t="s">
        <v>264</v>
      </c>
      <c r="C938" s="67">
        <v>3.0</v>
      </c>
      <c r="D938" s="67">
        <v>7.0</v>
      </c>
      <c r="E938" s="69"/>
      <c r="F938" s="66" t="s">
        <v>47</v>
      </c>
      <c r="G938" s="67">
        <v>1600.0</v>
      </c>
      <c r="H938" s="67">
        <v>3500.0</v>
      </c>
      <c r="I938" s="189">
        <v>46812.0</v>
      </c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</row>
    <row r="939" ht="15.75" customHeight="1">
      <c r="A939" s="188">
        <v>46091.60910207176</v>
      </c>
      <c r="B939" s="66" t="s">
        <v>187</v>
      </c>
      <c r="C939" s="67">
        <v>30.0</v>
      </c>
      <c r="D939" s="67">
        <v>33.0</v>
      </c>
      <c r="E939" s="69"/>
      <c r="F939" s="66" t="s">
        <v>47</v>
      </c>
      <c r="G939" s="67">
        <v>420.0</v>
      </c>
      <c r="H939" s="67">
        <v>900.0</v>
      </c>
      <c r="I939" s="189">
        <v>46408.0</v>
      </c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</row>
    <row r="940" ht="15.75" customHeight="1">
      <c r="A940" s="188">
        <v>46091.61046217593</v>
      </c>
      <c r="B940" s="66" t="s">
        <v>419</v>
      </c>
      <c r="C940" s="67">
        <v>3.0</v>
      </c>
      <c r="D940" s="67">
        <v>5.0</v>
      </c>
      <c r="E940" s="69"/>
      <c r="F940" s="66">
        <v>2400.0</v>
      </c>
      <c r="G940" s="67">
        <v>1300.0</v>
      </c>
      <c r="H940" s="67">
        <v>1420.0</v>
      </c>
      <c r="I940" s="189">
        <v>46408.0</v>
      </c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</row>
    <row r="941" ht="15.75" customHeight="1">
      <c r="A941" s="188">
        <v>46091.611116597225</v>
      </c>
      <c r="B941" s="66" t="s">
        <v>262</v>
      </c>
      <c r="C941" s="67">
        <v>3.0</v>
      </c>
      <c r="D941" s="67">
        <v>10.0</v>
      </c>
      <c r="E941" s="69"/>
      <c r="F941" s="66" t="s">
        <v>47</v>
      </c>
      <c r="G941" s="67">
        <v>1800.0</v>
      </c>
      <c r="H941" s="67">
        <v>3500.0</v>
      </c>
      <c r="I941" s="189">
        <v>46812.0</v>
      </c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</row>
    <row r="942" ht="15.75" customHeight="1">
      <c r="A942" s="188">
        <v>46091.61252983796</v>
      </c>
      <c r="B942" s="66" t="s">
        <v>417</v>
      </c>
      <c r="C942" s="67">
        <v>3.0</v>
      </c>
      <c r="D942" s="67">
        <v>7.0</v>
      </c>
      <c r="E942" s="69"/>
      <c r="F942" s="66" t="s">
        <v>47</v>
      </c>
      <c r="G942" s="67">
        <v>880.0</v>
      </c>
      <c r="H942" s="67">
        <v>2000.0</v>
      </c>
      <c r="I942" s="189">
        <v>46211.0</v>
      </c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</row>
    <row r="943" ht="15.75" customHeight="1">
      <c r="A943" s="188">
        <v>46091.61385983796</v>
      </c>
      <c r="B943" s="66" t="s">
        <v>558</v>
      </c>
      <c r="C943" s="67">
        <v>3.0</v>
      </c>
      <c r="D943" s="66">
        <v>4.0</v>
      </c>
      <c r="E943" s="69"/>
      <c r="F943" s="66" t="s">
        <v>47</v>
      </c>
      <c r="G943" s="67">
        <v>2100.0</v>
      </c>
      <c r="H943" s="67">
        <v>3600.0</v>
      </c>
      <c r="I943" s="189">
        <v>46235.0</v>
      </c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</row>
    <row r="944" ht="15.75" customHeight="1">
      <c r="A944" s="188">
        <v>46091.616388298615</v>
      </c>
      <c r="B944" s="66" t="s">
        <v>119</v>
      </c>
      <c r="C944" s="67">
        <v>3.0</v>
      </c>
      <c r="D944" s="67">
        <v>4.0</v>
      </c>
      <c r="E944" s="69"/>
      <c r="F944" s="66" t="s">
        <v>47</v>
      </c>
      <c r="G944" s="67">
        <v>824.0</v>
      </c>
      <c r="H944" s="67">
        <v>1500.0</v>
      </c>
      <c r="I944" s="189">
        <v>46266.0</v>
      </c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</row>
    <row r="945" ht="15.75" customHeight="1">
      <c r="A945" s="188">
        <v>46091.617333877315</v>
      </c>
      <c r="B945" s="66" t="s">
        <v>270</v>
      </c>
      <c r="C945" s="67">
        <v>1.0</v>
      </c>
      <c r="D945" s="67">
        <v>11.0</v>
      </c>
      <c r="E945" s="69"/>
      <c r="F945" s="66" t="s">
        <v>47</v>
      </c>
      <c r="G945" s="67">
        <v>1500.0</v>
      </c>
      <c r="H945" s="67">
        <v>3500.0</v>
      </c>
      <c r="I945" s="189">
        <v>46811.0</v>
      </c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</row>
    <row r="946" ht="15.75" customHeight="1">
      <c r="A946" s="188">
        <v>46091.61812591435</v>
      </c>
      <c r="B946" s="66" t="s">
        <v>648</v>
      </c>
      <c r="C946" s="67">
        <v>3.0</v>
      </c>
      <c r="D946" s="67">
        <v>3.0</v>
      </c>
      <c r="E946" s="66" t="s">
        <v>649</v>
      </c>
      <c r="F946" s="66" t="s">
        <v>47</v>
      </c>
      <c r="G946" s="67">
        <v>1554.0</v>
      </c>
      <c r="H946" s="67">
        <v>2500.0</v>
      </c>
      <c r="I946" s="189">
        <v>46410.0</v>
      </c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</row>
    <row r="947" ht="15.75" customHeight="1">
      <c r="A947" s="188">
        <v>46091.61922143519</v>
      </c>
      <c r="B947" s="66" t="s">
        <v>423</v>
      </c>
      <c r="C947" s="67">
        <v>3.0</v>
      </c>
      <c r="D947" s="67">
        <v>6.0</v>
      </c>
      <c r="E947" s="69"/>
      <c r="F947" s="66" t="s">
        <v>47</v>
      </c>
      <c r="G947" s="67">
        <v>1200.0</v>
      </c>
      <c r="H947" s="67">
        <v>2500.0</v>
      </c>
      <c r="I947" s="189">
        <v>46236.0</v>
      </c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</row>
    <row r="948" ht="15.75" customHeight="1">
      <c r="A948" s="188">
        <v>46091.620206527776</v>
      </c>
      <c r="B948" s="66" t="s">
        <v>141</v>
      </c>
      <c r="C948" s="67">
        <v>3.0</v>
      </c>
      <c r="D948" s="67">
        <v>3.0</v>
      </c>
      <c r="E948" s="69"/>
      <c r="F948" s="66" t="s">
        <v>47</v>
      </c>
      <c r="G948" s="67">
        <v>1716.0</v>
      </c>
      <c r="H948" s="67">
        <v>5000.0</v>
      </c>
      <c r="I948" s="189">
        <v>46740.0</v>
      </c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</row>
    <row r="949" ht="15.75" customHeight="1">
      <c r="A949" s="188">
        <v>46091.62083475695</v>
      </c>
      <c r="B949" s="66" t="s">
        <v>205</v>
      </c>
      <c r="C949" s="67">
        <v>3.0</v>
      </c>
      <c r="D949" s="67">
        <v>3.0</v>
      </c>
      <c r="E949" s="69"/>
      <c r="F949" s="66" t="s">
        <v>47</v>
      </c>
      <c r="G949" s="67">
        <v>2888.0</v>
      </c>
      <c r="H949" s="67">
        <v>4500.0</v>
      </c>
      <c r="I949" s="189">
        <v>46113.0</v>
      </c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</row>
    <row r="950" ht="15.75" customHeight="1">
      <c r="A950" s="188">
        <v>46091.62135059028</v>
      </c>
      <c r="B950" s="66" t="s">
        <v>203</v>
      </c>
      <c r="C950" s="67">
        <v>3.0</v>
      </c>
      <c r="D950" s="66">
        <v>3.0</v>
      </c>
      <c r="E950" s="69"/>
      <c r="F950" s="66" t="s">
        <v>47</v>
      </c>
      <c r="G950" s="67">
        <v>2051.0</v>
      </c>
      <c r="H950" s="67">
        <v>3500.0</v>
      </c>
      <c r="I950" s="189">
        <v>46356.0</v>
      </c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</row>
    <row r="951" ht="15.75" customHeight="1">
      <c r="A951" s="188">
        <v>46091.62257400463</v>
      </c>
      <c r="B951" s="66" t="s">
        <v>143</v>
      </c>
      <c r="C951" s="67">
        <v>3.0</v>
      </c>
      <c r="D951" s="67">
        <v>4.0</v>
      </c>
      <c r="E951" s="69"/>
      <c r="F951" s="66" t="s">
        <v>47</v>
      </c>
      <c r="G951" s="67">
        <v>1168.0</v>
      </c>
      <c r="H951" s="67">
        <v>3000.0</v>
      </c>
      <c r="I951" s="189">
        <v>46787.0</v>
      </c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</row>
    <row r="952" ht="15.75" customHeight="1">
      <c r="A952" s="188">
        <v>46091.62307265046</v>
      </c>
      <c r="B952" s="66" t="s">
        <v>1277</v>
      </c>
      <c r="C952" s="67">
        <v>12.0</v>
      </c>
      <c r="D952" s="67">
        <v>12.0</v>
      </c>
      <c r="E952" s="69"/>
      <c r="F952" s="66" t="s">
        <v>114</v>
      </c>
      <c r="G952" s="67">
        <v>2634.0</v>
      </c>
      <c r="H952" s="67">
        <v>4300.0</v>
      </c>
      <c r="I952" s="185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</row>
    <row r="953" ht="15.75" customHeight="1">
      <c r="A953" s="188">
        <v>46091.64881732639</v>
      </c>
      <c r="B953" s="66" t="s">
        <v>939</v>
      </c>
      <c r="C953" s="67">
        <v>1.0</v>
      </c>
      <c r="D953" s="67">
        <v>1.0</v>
      </c>
      <c r="E953" s="66" t="s">
        <v>940</v>
      </c>
      <c r="F953" s="66" t="s">
        <v>42</v>
      </c>
      <c r="G953" s="67">
        <v>4500.0</v>
      </c>
      <c r="H953" s="67">
        <v>9000.0</v>
      </c>
      <c r="I953" s="185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</row>
    <row r="954" ht="15.75" customHeight="1">
      <c r="A954" s="188">
        <v>46091.65405517361</v>
      </c>
      <c r="B954" s="66" t="s">
        <v>2058</v>
      </c>
      <c r="C954" s="67">
        <v>1.0</v>
      </c>
      <c r="D954" s="67">
        <v>1.0</v>
      </c>
      <c r="E954" s="66" t="s">
        <v>942</v>
      </c>
      <c r="F954" s="66" t="s">
        <v>42</v>
      </c>
      <c r="G954" s="67">
        <v>2000.0</v>
      </c>
      <c r="H954" s="67">
        <v>4000.0</v>
      </c>
      <c r="I954" s="185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</row>
    <row r="955" ht="15.75" customHeight="1">
      <c r="A955" s="188">
        <v>46091.747670833334</v>
      </c>
      <c r="B955" s="66" t="s">
        <v>398</v>
      </c>
      <c r="C955" s="67">
        <v>10.0</v>
      </c>
      <c r="D955" s="67">
        <v>12.32</v>
      </c>
      <c r="E955" s="69"/>
      <c r="F955" s="66" t="s">
        <v>385</v>
      </c>
      <c r="G955" s="67">
        <v>2000.0</v>
      </c>
      <c r="H955" s="67">
        <v>5000.0</v>
      </c>
      <c r="I955" s="185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</row>
    <row r="956" ht="15.75" customHeight="1">
      <c r="A956" s="188">
        <v>46091.74824107639</v>
      </c>
      <c r="B956" s="66" t="s">
        <v>382</v>
      </c>
      <c r="C956" s="67">
        <v>9.0</v>
      </c>
      <c r="D956" s="67">
        <v>19.689999999999998</v>
      </c>
      <c r="E956" s="69"/>
      <c r="F956" s="66" t="s">
        <v>385</v>
      </c>
      <c r="G956" s="67">
        <v>800.0</v>
      </c>
      <c r="H956" s="67">
        <v>2000.0</v>
      </c>
      <c r="I956" s="185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</row>
    <row r="957" ht="15.75" customHeight="1">
      <c r="A957" s="188">
        <v>46091.74907790509</v>
      </c>
      <c r="B957" s="66" t="s">
        <v>2059</v>
      </c>
      <c r="C957" s="67">
        <v>9.0</v>
      </c>
      <c r="D957" s="67">
        <v>9.0</v>
      </c>
      <c r="E957" s="66" t="s">
        <v>651</v>
      </c>
      <c r="F957" s="66" t="s">
        <v>527</v>
      </c>
      <c r="G957" s="67">
        <v>1100.0</v>
      </c>
      <c r="H957" s="67">
        <v>3200.0</v>
      </c>
      <c r="I957" s="185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</row>
    <row r="958" ht="15.75" customHeight="1">
      <c r="A958" s="188">
        <v>46091.757063530094</v>
      </c>
      <c r="B958" s="66" t="s">
        <v>2060</v>
      </c>
      <c r="C958" s="67">
        <v>1.0</v>
      </c>
      <c r="D958" s="67">
        <v>1.0</v>
      </c>
      <c r="E958" s="66" t="s">
        <v>944</v>
      </c>
      <c r="F958" s="66" t="s">
        <v>759</v>
      </c>
      <c r="G958" s="67">
        <v>100.0</v>
      </c>
      <c r="H958" s="67">
        <v>160.0</v>
      </c>
      <c r="I958" s="189">
        <v>46092.0</v>
      </c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</row>
    <row r="959" ht="15.75" customHeight="1">
      <c r="A959" s="188">
        <v>46091.77314925926</v>
      </c>
      <c r="B959" s="66" t="s">
        <v>969</v>
      </c>
      <c r="C959" s="67">
        <v>0.0</v>
      </c>
      <c r="D959" s="67">
        <v>0.0</v>
      </c>
      <c r="E959" s="69"/>
      <c r="F959" s="69"/>
      <c r="G959" s="69"/>
      <c r="H959" s="67"/>
      <c r="I959" s="185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</row>
    <row r="960" ht="15.75" customHeight="1">
      <c r="A960" s="188">
        <v>46091.7793670949</v>
      </c>
      <c r="B960" s="66" t="s">
        <v>943</v>
      </c>
      <c r="C960" s="67">
        <v>1.0</v>
      </c>
      <c r="D960" s="67">
        <v>1.0</v>
      </c>
      <c r="E960" s="66" t="s">
        <v>944</v>
      </c>
      <c r="F960" s="66" t="s">
        <v>147</v>
      </c>
      <c r="G960" s="67">
        <v>2000.0</v>
      </c>
      <c r="H960" s="67">
        <v>5000.0</v>
      </c>
      <c r="I960" s="189">
        <v>46599.0</v>
      </c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</row>
    <row r="961" ht="15.75" customHeight="1">
      <c r="A961" s="188"/>
      <c r="B961" s="66"/>
      <c r="C961" s="67"/>
      <c r="D961" s="67"/>
      <c r="E961" s="69"/>
      <c r="F961" s="69"/>
      <c r="G961" s="69"/>
      <c r="H961" s="67"/>
      <c r="I961" s="185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</row>
    <row r="962" ht="15.75" customHeight="1">
      <c r="A962" s="69"/>
      <c r="B962" s="69"/>
      <c r="C962" s="69"/>
      <c r="D962" s="69"/>
      <c r="E962" s="69"/>
      <c r="F962" s="69"/>
      <c r="G962" s="69"/>
      <c r="H962" s="69"/>
      <c r="I962" s="185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</row>
    <row r="963" ht="15.75" customHeight="1">
      <c r="A963" s="188"/>
      <c r="B963" s="66"/>
      <c r="C963" s="67"/>
      <c r="D963" s="67"/>
      <c r="E963" s="69"/>
      <c r="F963" s="69"/>
      <c r="G963" s="69"/>
      <c r="H963" s="67"/>
      <c r="I963" s="185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</row>
    <row r="964" ht="15.75" customHeight="1">
      <c r="A964" s="69"/>
      <c r="B964" s="69"/>
      <c r="C964" s="69"/>
      <c r="D964" s="69"/>
      <c r="E964" s="69"/>
      <c r="F964" s="69"/>
      <c r="G964" s="69"/>
      <c r="H964" s="69"/>
      <c r="I964" s="185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</row>
    <row r="965" ht="15.75" customHeight="1">
      <c r="A965" s="188"/>
      <c r="B965" s="66"/>
      <c r="C965" s="67"/>
      <c r="D965" s="67"/>
      <c r="E965" s="69"/>
      <c r="F965" s="69"/>
      <c r="G965" s="69"/>
      <c r="H965" s="67"/>
      <c r="I965" s="185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</row>
    <row r="966" ht="15.75" customHeight="1">
      <c r="A966" s="69"/>
      <c r="B966" s="69"/>
      <c r="C966" s="69"/>
      <c r="D966" s="69"/>
      <c r="E966" s="69"/>
      <c r="F966" s="69"/>
      <c r="G966" s="69"/>
      <c r="H966" s="69"/>
      <c r="I966" s="185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</row>
    <row r="967" ht="15.75" customHeight="1">
      <c r="A967" s="188"/>
      <c r="B967" s="66"/>
      <c r="C967" s="67"/>
      <c r="D967" s="67"/>
      <c r="E967" s="69"/>
      <c r="F967" s="69"/>
      <c r="G967" s="69"/>
      <c r="H967" s="67"/>
      <c r="I967" s="185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</row>
    <row r="968" ht="15.75" customHeight="1">
      <c r="A968" s="69"/>
      <c r="B968" s="69"/>
      <c r="C968" s="69"/>
      <c r="D968" s="69"/>
      <c r="E968" s="69"/>
      <c r="F968" s="69"/>
      <c r="G968" s="69"/>
      <c r="H968" s="69"/>
      <c r="I968" s="185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</row>
    <row r="969" ht="15.75" customHeight="1">
      <c r="A969" s="188"/>
      <c r="B969" s="66"/>
      <c r="C969" s="67"/>
      <c r="D969" s="67"/>
      <c r="E969" s="69"/>
      <c r="F969" s="69"/>
      <c r="G969" s="69"/>
      <c r="H969" s="67"/>
      <c r="I969" s="185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</row>
    <row r="970" ht="15.75" customHeight="1">
      <c r="A970" s="69"/>
      <c r="B970" s="69"/>
      <c r="C970" s="69"/>
      <c r="D970" s="69"/>
      <c r="E970" s="69"/>
      <c r="F970" s="69"/>
      <c r="G970" s="69"/>
      <c r="H970" s="69"/>
      <c r="I970" s="185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</row>
    <row r="971" ht="15.75" customHeight="1">
      <c r="A971" s="188"/>
      <c r="B971" s="66"/>
      <c r="C971" s="67"/>
      <c r="D971" s="67"/>
      <c r="E971" s="69"/>
      <c r="F971" s="69"/>
      <c r="G971" s="69"/>
      <c r="H971" s="67"/>
      <c r="I971" s="185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</row>
    <row r="972" ht="15.75" customHeight="1">
      <c r="A972" s="69"/>
      <c r="B972" s="69"/>
      <c r="C972" s="69"/>
      <c r="D972" s="69"/>
      <c r="E972" s="69"/>
      <c r="F972" s="69"/>
      <c r="G972" s="69"/>
      <c r="H972" s="69"/>
      <c r="I972" s="185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</row>
    <row r="973" ht="15.75" customHeight="1">
      <c r="A973" s="188"/>
      <c r="B973" s="66"/>
      <c r="C973" s="67"/>
      <c r="D973" s="67"/>
      <c r="E973" s="69"/>
      <c r="F973" s="69"/>
      <c r="G973" s="69"/>
      <c r="H973" s="67"/>
      <c r="I973" s="185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</row>
    <row r="974" ht="15.75" customHeight="1">
      <c r="A974" s="69"/>
      <c r="B974" s="69"/>
      <c r="C974" s="69"/>
      <c r="D974" s="69"/>
      <c r="E974" s="69"/>
      <c r="F974" s="69"/>
      <c r="G974" s="69"/>
      <c r="H974" s="69"/>
      <c r="I974" s="185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</row>
    <row r="975" ht="15.75" customHeight="1">
      <c r="A975" s="188"/>
      <c r="B975" s="66"/>
      <c r="C975" s="67"/>
      <c r="D975" s="67"/>
      <c r="E975" s="69"/>
      <c r="F975" s="69"/>
      <c r="G975" s="69"/>
      <c r="H975" s="67"/>
      <c r="I975" s="185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</row>
    <row r="976" ht="15.75" customHeight="1">
      <c r="A976" s="69"/>
      <c r="B976" s="69"/>
      <c r="C976" s="69"/>
      <c r="D976" s="69"/>
      <c r="E976" s="69"/>
      <c r="F976" s="69"/>
      <c r="G976" s="69"/>
      <c r="H976" s="69"/>
      <c r="I976" s="185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</row>
    <row r="977" ht="15.75" customHeight="1">
      <c r="A977" s="188"/>
      <c r="B977" s="66"/>
      <c r="C977" s="67"/>
      <c r="D977" s="67"/>
      <c r="E977" s="69"/>
      <c r="F977" s="69"/>
      <c r="G977" s="69"/>
      <c r="H977" s="67"/>
      <c r="I977" s="185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</row>
    <row r="978" ht="15.75" customHeight="1">
      <c r="A978" s="69"/>
      <c r="B978" s="69"/>
      <c r="C978" s="69"/>
      <c r="D978" s="69"/>
      <c r="E978" s="69"/>
      <c r="F978" s="69"/>
      <c r="G978" s="69"/>
      <c r="H978" s="69"/>
      <c r="I978" s="185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</row>
    <row r="979" ht="15.75" customHeight="1">
      <c r="A979" s="188"/>
      <c r="B979" s="66"/>
      <c r="C979" s="67"/>
      <c r="D979" s="67"/>
      <c r="E979" s="69"/>
      <c r="F979" s="69"/>
      <c r="G979" s="69"/>
      <c r="H979" s="67"/>
      <c r="I979" s="185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</row>
    <row r="980" ht="15.75" customHeight="1">
      <c r="A980" s="69"/>
      <c r="B980" s="69"/>
      <c r="C980" s="69"/>
      <c r="D980" s="69"/>
      <c r="E980" s="69"/>
      <c r="F980" s="69"/>
      <c r="G980" s="69"/>
      <c r="H980" s="69"/>
      <c r="I980" s="185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</row>
    <row r="981" ht="15.75" customHeight="1">
      <c r="A981" s="188"/>
      <c r="B981" s="66"/>
      <c r="C981" s="67"/>
      <c r="D981" s="67"/>
      <c r="E981" s="69"/>
      <c r="F981" s="69"/>
      <c r="G981" s="69"/>
      <c r="H981" s="67"/>
      <c r="I981" s="185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</row>
    <row r="982" ht="15.75" customHeight="1">
      <c r="A982" s="69"/>
      <c r="B982" s="69"/>
      <c r="C982" s="69"/>
      <c r="D982" s="69"/>
      <c r="E982" s="69"/>
      <c r="F982" s="69"/>
      <c r="G982" s="69"/>
      <c r="H982" s="69"/>
      <c r="I982" s="185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</row>
    <row r="983" ht="15.75" customHeight="1">
      <c r="A983" s="188"/>
      <c r="B983" s="66"/>
      <c r="C983" s="67"/>
      <c r="D983" s="67"/>
      <c r="E983" s="69"/>
      <c r="F983" s="69"/>
      <c r="G983" s="69"/>
      <c r="H983" s="67"/>
      <c r="I983" s="185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</row>
    <row r="984" ht="15.75" customHeight="1">
      <c r="A984" s="69"/>
      <c r="B984" s="69"/>
      <c r="C984" s="69"/>
      <c r="D984" s="69"/>
      <c r="E984" s="69"/>
      <c r="F984" s="69"/>
      <c r="G984" s="69"/>
      <c r="H984" s="69"/>
      <c r="I984" s="185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</row>
    <row r="985" ht="15.75" customHeight="1">
      <c r="A985" s="188"/>
      <c r="B985" s="66"/>
      <c r="C985" s="67"/>
      <c r="D985" s="67"/>
      <c r="E985" s="69"/>
      <c r="F985" s="69"/>
      <c r="G985" s="69"/>
      <c r="H985" s="67"/>
      <c r="I985" s="185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</row>
    <row r="986" ht="15.75" customHeight="1">
      <c r="A986" s="69"/>
      <c r="B986" s="69"/>
      <c r="C986" s="69"/>
      <c r="D986" s="69"/>
      <c r="E986" s="69"/>
      <c r="F986" s="69"/>
      <c r="G986" s="69"/>
      <c r="H986" s="69"/>
      <c r="I986" s="185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</row>
    <row r="987" ht="15.75" customHeight="1">
      <c r="A987" s="188"/>
      <c r="B987" s="66"/>
      <c r="C987" s="67"/>
      <c r="D987" s="67"/>
      <c r="E987" s="69"/>
      <c r="F987" s="69"/>
      <c r="G987" s="69"/>
      <c r="H987" s="67"/>
      <c r="I987" s="185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</row>
    <row r="988" ht="15.75" customHeight="1">
      <c r="A988" s="69"/>
      <c r="B988" s="69"/>
      <c r="C988" s="69"/>
      <c r="D988" s="69"/>
      <c r="E988" s="69"/>
      <c r="F988" s="69"/>
      <c r="G988" s="69"/>
      <c r="H988" s="69"/>
      <c r="I988" s="185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</row>
    <row r="989" ht="15.75" customHeight="1">
      <c r="A989" s="188"/>
      <c r="B989" s="66"/>
      <c r="C989" s="67"/>
      <c r="D989" s="67"/>
      <c r="E989" s="69"/>
      <c r="F989" s="69"/>
      <c r="G989" s="69"/>
      <c r="H989" s="67"/>
      <c r="I989" s="185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</row>
    <row r="990" ht="15.75" customHeight="1">
      <c r="A990" s="69"/>
      <c r="B990" s="69"/>
      <c r="C990" s="69"/>
      <c r="D990" s="69"/>
      <c r="E990" s="69"/>
      <c r="F990" s="69"/>
      <c r="G990" s="69"/>
      <c r="H990" s="69"/>
      <c r="I990" s="185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</row>
    <row r="991" ht="15.75" customHeight="1">
      <c r="A991" s="188"/>
      <c r="B991" s="66"/>
      <c r="C991" s="67"/>
      <c r="D991" s="67"/>
      <c r="E991" s="69"/>
      <c r="F991" s="69"/>
      <c r="G991" s="69"/>
      <c r="H991" s="67"/>
      <c r="I991" s="185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</row>
    <row r="992" ht="15.75" customHeight="1">
      <c r="A992" s="69"/>
      <c r="B992" s="69"/>
      <c r="C992" s="69"/>
      <c r="D992" s="69"/>
      <c r="E992" s="69"/>
      <c r="F992" s="69"/>
      <c r="G992" s="69"/>
      <c r="H992" s="69"/>
      <c r="I992" s="185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</row>
    <row r="993" ht="15.75" customHeight="1">
      <c r="A993" s="188"/>
      <c r="B993" s="66"/>
      <c r="C993" s="67"/>
      <c r="D993" s="67"/>
      <c r="E993" s="69"/>
      <c r="F993" s="69"/>
      <c r="G993" s="69"/>
      <c r="H993" s="67"/>
      <c r="I993" s="185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</row>
    <row r="994" ht="15.75" customHeight="1">
      <c r="A994" s="69"/>
      <c r="B994" s="69"/>
      <c r="C994" s="69"/>
      <c r="D994" s="69"/>
      <c r="E994" s="69"/>
      <c r="F994" s="69"/>
      <c r="G994" s="69"/>
      <c r="H994" s="69"/>
      <c r="I994" s="185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</row>
    <row r="995" ht="15.75" customHeight="1">
      <c r="A995" s="188"/>
      <c r="B995" s="66"/>
      <c r="C995" s="67"/>
      <c r="D995" s="67"/>
      <c r="E995" s="69"/>
      <c r="F995" s="69"/>
      <c r="G995" s="69"/>
      <c r="H995" s="67"/>
      <c r="I995" s="185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</row>
    <row r="996" ht="15.75" customHeight="1">
      <c r="A996" s="69"/>
      <c r="B996" s="69"/>
      <c r="C996" s="69"/>
      <c r="D996" s="69"/>
      <c r="E996" s="69"/>
      <c r="F996" s="69"/>
      <c r="G996" s="69"/>
      <c r="H996" s="69"/>
      <c r="I996" s="185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</row>
    <row r="997" ht="15.75" customHeight="1">
      <c r="A997" s="188"/>
      <c r="B997" s="66"/>
      <c r="C997" s="67"/>
      <c r="D997" s="67"/>
      <c r="E997" s="69"/>
      <c r="F997" s="69"/>
      <c r="G997" s="69"/>
      <c r="H997" s="67"/>
      <c r="I997" s="185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</row>
    <row r="998" ht="15.75" customHeight="1">
      <c r="A998" s="69"/>
      <c r="B998" s="69"/>
      <c r="C998" s="69"/>
      <c r="D998" s="69"/>
      <c r="E998" s="69"/>
      <c r="F998" s="69"/>
      <c r="G998" s="69"/>
      <c r="H998" s="69"/>
      <c r="I998" s="185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</row>
    <row r="999" ht="15.75" customHeight="1">
      <c r="A999" s="188"/>
      <c r="B999" s="66"/>
      <c r="C999" s="67"/>
      <c r="D999" s="67"/>
      <c r="E999" s="69"/>
      <c r="F999" s="69"/>
      <c r="G999" s="69"/>
      <c r="H999" s="67"/>
      <c r="I999" s="185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82"/>
      <c r="Y999" s="82"/>
      <c r="Z999" s="82"/>
    </row>
    <row r="1000" ht="15.75" customHeight="1">
      <c r="A1000" s="69"/>
      <c r="B1000" s="69"/>
      <c r="C1000" s="69"/>
      <c r="D1000" s="69"/>
      <c r="E1000" s="69"/>
      <c r="F1000" s="69"/>
      <c r="G1000" s="69"/>
      <c r="H1000" s="69"/>
      <c r="I1000" s="185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82"/>
      <c r="Y1000" s="82"/>
      <c r="Z1000" s="82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38"/>
    <col customWidth="1" min="2" max="3" width="54.0"/>
    <col customWidth="1" min="4" max="4" width="49.25"/>
    <col customWidth="1" min="5" max="5" width="12.88"/>
    <col customWidth="1" min="6" max="6" width="15.25"/>
    <col customWidth="1" min="7" max="7" width="13.5"/>
    <col customWidth="1" min="8" max="8" width="15.88"/>
    <col customWidth="1" min="9" max="9" width="18.88"/>
    <col customWidth="1" min="10" max="10" width="19.25"/>
    <col customWidth="1" min="11" max="11" width="8.63"/>
  </cols>
  <sheetData>
    <row r="1">
      <c r="A1" s="190" t="s">
        <v>2061</v>
      </c>
      <c r="B1" s="190" t="s">
        <v>2003</v>
      </c>
      <c r="C1" s="190" t="s">
        <v>2062</v>
      </c>
      <c r="D1" s="190" t="s">
        <v>2063</v>
      </c>
      <c r="E1" s="190" t="s">
        <v>2064</v>
      </c>
      <c r="F1" s="190" t="s">
        <v>2065</v>
      </c>
      <c r="G1" s="190" t="s">
        <v>2066</v>
      </c>
      <c r="H1" s="190" t="s">
        <v>2067</v>
      </c>
      <c r="I1" s="190" t="s">
        <v>2068</v>
      </c>
      <c r="J1" s="190" t="s">
        <v>2069</v>
      </c>
      <c r="K1" s="190" t="s">
        <v>2070</v>
      </c>
    </row>
    <row r="2">
      <c r="A2" s="191">
        <v>46085.78442621528</v>
      </c>
      <c r="B2" s="11" t="s">
        <v>717</v>
      </c>
      <c r="C2" s="11" t="s">
        <v>717</v>
      </c>
      <c r="E2" s="192">
        <v>2.0</v>
      </c>
      <c r="F2" s="192">
        <v>1.0</v>
      </c>
      <c r="G2" s="192">
        <v>3000.0</v>
      </c>
      <c r="I2" s="11" t="s">
        <v>403</v>
      </c>
      <c r="K2" s="11" t="s">
        <v>2071</v>
      </c>
    </row>
    <row r="3">
      <c r="A3" s="191">
        <v>46085.87512336805</v>
      </c>
      <c r="B3" s="11" t="s">
        <v>1479</v>
      </c>
      <c r="C3" s="11" t="s">
        <v>1479</v>
      </c>
      <c r="D3" s="11" t="s">
        <v>955</v>
      </c>
      <c r="E3" s="192">
        <v>2.0</v>
      </c>
      <c r="F3" s="192">
        <v>2.0</v>
      </c>
      <c r="G3" s="192">
        <v>700.0</v>
      </c>
      <c r="I3" s="11" t="s">
        <v>87</v>
      </c>
      <c r="K3" s="11" t="s">
        <v>2071</v>
      </c>
    </row>
    <row r="4">
      <c r="A4" s="191">
        <v>46086.78673013889</v>
      </c>
      <c r="B4" s="11" t="s">
        <v>2072</v>
      </c>
      <c r="C4" s="11" t="s">
        <v>2072</v>
      </c>
      <c r="D4" s="11" t="s">
        <v>584</v>
      </c>
      <c r="E4" s="192">
        <v>5.0</v>
      </c>
      <c r="F4" s="192">
        <v>3.0</v>
      </c>
      <c r="G4" s="192">
        <v>2500.0</v>
      </c>
      <c r="H4" s="192">
        <v>3000.0</v>
      </c>
      <c r="I4" s="11" t="s">
        <v>582</v>
      </c>
      <c r="K4" s="11" t="s">
        <v>2071</v>
      </c>
    </row>
    <row r="5">
      <c r="A5" s="191">
        <v>46086.78737366898</v>
      </c>
      <c r="B5" s="11" t="s">
        <v>584</v>
      </c>
      <c r="C5" s="11" t="s">
        <v>584</v>
      </c>
      <c r="E5" s="192">
        <v>3.0</v>
      </c>
      <c r="F5" s="192">
        <v>3.0</v>
      </c>
      <c r="G5" s="192">
        <v>3000.0</v>
      </c>
      <c r="H5" s="192">
        <v>3500.0</v>
      </c>
      <c r="I5" s="11" t="s">
        <v>582</v>
      </c>
      <c r="K5" s="11" t="s">
        <v>2071</v>
      </c>
    </row>
    <row r="6">
      <c r="A6" s="191">
        <v>46086.79250836806</v>
      </c>
      <c r="B6" s="11" t="s">
        <v>602</v>
      </c>
      <c r="C6" s="11" t="s">
        <v>602</v>
      </c>
      <c r="E6" s="192">
        <v>4.0</v>
      </c>
      <c r="F6" s="192">
        <v>4.0</v>
      </c>
      <c r="G6" s="192">
        <v>2000.0</v>
      </c>
      <c r="H6" s="192">
        <v>3000.0</v>
      </c>
      <c r="I6" s="11" t="s">
        <v>87</v>
      </c>
      <c r="J6" s="11" t="s">
        <v>582</v>
      </c>
      <c r="K6" s="11" t="s">
        <v>2071</v>
      </c>
    </row>
    <row r="7">
      <c r="A7" s="191">
        <v>46086.80635799769</v>
      </c>
      <c r="B7" s="11" t="s">
        <v>2049</v>
      </c>
      <c r="C7" s="11" t="s">
        <v>2049</v>
      </c>
      <c r="D7" s="11" t="s">
        <v>274</v>
      </c>
      <c r="E7" s="192">
        <v>3.0</v>
      </c>
      <c r="F7" s="192">
        <v>3.0</v>
      </c>
      <c r="G7" s="192">
        <v>700.0</v>
      </c>
      <c r="I7" s="11" t="s">
        <v>87</v>
      </c>
      <c r="K7" s="11" t="s">
        <v>2071</v>
      </c>
    </row>
    <row r="8">
      <c r="A8" s="191">
        <v>46087.71573565972</v>
      </c>
      <c r="B8" s="11" t="s">
        <v>396</v>
      </c>
      <c r="C8" s="11" t="s">
        <v>396</v>
      </c>
      <c r="E8" s="192">
        <v>0.0</v>
      </c>
      <c r="F8" s="192">
        <v>8.0</v>
      </c>
      <c r="G8" s="192">
        <v>5500.0</v>
      </c>
      <c r="I8" s="11" t="s">
        <v>383</v>
      </c>
      <c r="K8" s="11" t="s">
        <v>2071</v>
      </c>
    </row>
    <row r="9">
      <c r="A9" s="191">
        <v>46087.76281137731</v>
      </c>
      <c r="B9" s="11" t="s">
        <v>992</v>
      </c>
      <c r="C9" s="11" t="s">
        <v>992</v>
      </c>
      <c r="E9" s="192">
        <v>0.0</v>
      </c>
      <c r="F9" s="192">
        <v>3.0</v>
      </c>
      <c r="G9" s="192">
        <v>3500.0</v>
      </c>
      <c r="I9" s="11" t="s">
        <v>383</v>
      </c>
      <c r="K9" s="11" t="s">
        <v>2071</v>
      </c>
    </row>
    <row r="10">
      <c r="A10" s="191">
        <v>46087.79103770833</v>
      </c>
      <c r="B10" s="11" t="s">
        <v>388</v>
      </c>
      <c r="C10" s="11" t="s">
        <v>388</v>
      </c>
      <c r="E10" s="192">
        <v>0.0</v>
      </c>
      <c r="F10" s="192">
        <v>8.0</v>
      </c>
      <c r="G10" s="192">
        <v>7000.0</v>
      </c>
      <c r="I10" s="11" t="s">
        <v>383</v>
      </c>
      <c r="K10" s="11" t="s">
        <v>2071</v>
      </c>
    </row>
    <row r="11">
      <c r="A11" s="191">
        <v>46087.846132962964</v>
      </c>
      <c r="B11" s="11" t="s">
        <v>988</v>
      </c>
      <c r="C11" s="11" t="s">
        <v>988</v>
      </c>
      <c r="E11" s="192">
        <v>4.0</v>
      </c>
      <c r="F11" s="192">
        <v>0.0</v>
      </c>
      <c r="G11" s="192">
        <v>1400.0</v>
      </c>
      <c r="I11" s="11" t="s">
        <v>383</v>
      </c>
      <c r="K11" s="11" t="s">
        <v>2071</v>
      </c>
    </row>
    <row r="12">
      <c r="A12" s="191">
        <v>46087.87320533565</v>
      </c>
      <c r="B12" s="11" t="s">
        <v>168</v>
      </c>
      <c r="C12" s="11" t="s">
        <v>168</v>
      </c>
      <c r="E12" s="192">
        <v>6.0</v>
      </c>
      <c r="F12" s="192">
        <v>6.0</v>
      </c>
      <c r="G12" s="192">
        <v>700.0</v>
      </c>
      <c r="I12" s="11" t="s">
        <v>87</v>
      </c>
      <c r="K12" s="11" t="s">
        <v>2071</v>
      </c>
    </row>
    <row r="13">
      <c r="A13" s="191">
        <v>46087.89662590278</v>
      </c>
      <c r="B13" s="11" t="s">
        <v>72</v>
      </c>
      <c r="C13" s="11" t="s">
        <v>72</v>
      </c>
      <c r="E13" s="192">
        <v>0.0</v>
      </c>
      <c r="F13" s="192">
        <v>10.0</v>
      </c>
      <c r="G13" s="192">
        <v>2000.0</v>
      </c>
      <c r="I13" s="11" t="s">
        <v>35</v>
      </c>
      <c r="K13" s="11" t="s">
        <v>2071</v>
      </c>
    </row>
    <row r="14">
      <c r="A14" s="191">
        <v>46087.89746137732</v>
      </c>
      <c r="B14" s="11" t="s">
        <v>78</v>
      </c>
      <c r="C14" s="11" t="s">
        <v>78</v>
      </c>
      <c r="E14" s="192">
        <v>0.0</v>
      </c>
      <c r="F14" s="192">
        <v>3.0</v>
      </c>
      <c r="G14" s="192">
        <v>2500.0</v>
      </c>
      <c r="I14" s="11" t="s">
        <v>35</v>
      </c>
      <c r="K14" s="11" t="s">
        <v>2071</v>
      </c>
    </row>
    <row r="15">
      <c r="A15" s="191">
        <v>46087.9645302662</v>
      </c>
      <c r="B15" s="11" t="s">
        <v>733</v>
      </c>
      <c r="C15" s="11" t="s">
        <v>733</v>
      </c>
      <c r="E15" s="192">
        <v>1.0</v>
      </c>
      <c r="F15" s="192">
        <v>2.0</v>
      </c>
      <c r="G15" s="192">
        <v>5000.0</v>
      </c>
      <c r="I15" s="11" t="s">
        <v>297</v>
      </c>
      <c r="K15" s="11" t="s">
        <v>2071</v>
      </c>
    </row>
    <row r="16">
      <c r="A16" s="191">
        <v>46088.00883037037</v>
      </c>
      <c r="B16" s="11" t="s">
        <v>1018</v>
      </c>
      <c r="C16" s="11" t="s">
        <v>1018</v>
      </c>
      <c r="E16" s="192">
        <v>0.0</v>
      </c>
      <c r="F16" s="192">
        <v>1.0</v>
      </c>
      <c r="G16" s="192">
        <v>15999.0</v>
      </c>
      <c r="I16" s="11" t="s">
        <v>1019</v>
      </c>
      <c r="K16" s="11" t="s">
        <v>2071</v>
      </c>
    </row>
    <row r="17">
      <c r="A17" s="191">
        <v>46088.635319953704</v>
      </c>
      <c r="B17" s="11" t="s">
        <v>348</v>
      </c>
      <c r="C17" s="11" t="s">
        <v>348</v>
      </c>
      <c r="E17" s="192">
        <v>12.0</v>
      </c>
      <c r="F17" s="192">
        <v>12.0</v>
      </c>
      <c r="G17" s="192">
        <v>4650.0</v>
      </c>
      <c r="H17" s="192">
        <v>4300.0</v>
      </c>
      <c r="I17" s="11" t="s">
        <v>349</v>
      </c>
      <c r="K17" s="11" t="s">
        <v>2071</v>
      </c>
    </row>
    <row r="18">
      <c r="A18" s="191">
        <v>46088.63641944445</v>
      </c>
      <c r="B18" s="11" t="s">
        <v>374</v>
      </c>
      <c r="C18" s="11" t="s">
        <v>374</v>
      </c>
      <c r="E18" s="192">
        <v>4.0</v>
      </c>
      <c r="F18" s="192">
        <v>4.0</v>
      </c>
      <c r="G18" s="192">
        <v>2200.0</v>
      </c>
      <c r="H18" s="192">
        <v>2300.0</v>
      </c>
      <c r="I18" s="11" t="s">
        <v>364</v>
      </c>
      <c r="K18" s="11" t="s">
        <v>2071</v>
      </c>
    </row>
    <row r="19">
      <c r="A19" s="191">
        <v>46088.97436199074</v>
      </c>
      <c r="B19" s="11" t="s">
        <v>788</v>
      </c>
      <c r="C19" s="11" t="s">
        <v>788</v>
      </c>
      <c r="E19" s="192">
        <v>0.0</v>
      </c>
      <c r="F19" s="192">
        <v>1.0</v>
      </c>
      <c r="G19" s="192">
        <v>4000.0</v>
      </c>
      <c r="I19" s="11" t="s">
        <v>87</v>
      </c>
      <c r="K19" s="11" t="s">
        <v>2071</v>
      </c>
    </row>
    <row r="20">
      <c r="A20" s="191">
        <v>46089.563147175926</v>
      </c>
      <c r="B20" s="11" t="s">
        <v>678</v>
      </c>
      <c r="C20" s="11" t="s">
        <v>678</v>
      </c>
      <c r="E20" s="192">
        <v>2.0</v>
      </c>
      <c r="F20" s="192">
        <v>2.0</v>
      </c>
      <c r="G20" s="192">
        <v>3000.0</v>
      </c>
      <c r="H20" s="192">
        <v>3300.0</v>
      </c>
      <c r="I20" s="11" t="s">
        <v>87</v>
      </c>
      <c r="K20" s="11" t="s">
        <v>2071</v>
      </c>
    </row>
    <row r="21">
      <c r="A21" s="191">
        <v>46089.56340251157</v>
      </c>
      <c r="B21" s="11" t="s">
        <v>680</v>
      </c>
      <c r="C21" s="11" t="s">
        <v>680</v>
      </c>
      <c r="E21" s="192">
        <v>2.0</v>
      </c>
      <c r="F21" s="192">
        <v>2.0</v>
      </c>
      <c r="G21" s="192">
        <v>3000.0</v>
      </c>
      <c r="H21" s="192">
        <v>3300.0</v>
      </c>
      <c r="I21" s="11" t="s">
        <v>87</v>
      </c>
      <c r="K21" s="11" t="s">
        <v>2071</v>
      </c>
    </row>
    <row r="22">
      <c r="A22" s="191">
        <v>46089.56519980324</v>
      </c>
      <c r="B22" s="11" t="s">
        <v>2023</v>
      </c>
      <c r="C22" s="11" t="s">
        <v>2023</v>
      </c>
      <c r="D22" s="11" t="s">
        <v>540</v>
      </c>
      <c r="E22" s="192">
        <v>16.0</v>
      </c>
      <c r="F22" s="192">
        <v>16.0</v>
      </c>
      <c r="G22" s="192">
        <v>10000.0</v>
      </c>
      <c r="H22" s="192">
        <v>9999.0</v>
      </c>
      <c r="I22" s="11" t="s">
        <v>297</v>
      </c>
      <c r="K22" s="11" t="s">
        <v>2071</v>
      </c>
    </row>
    <row r="23">
      <c r="A23" s="191">
        <v>46089.56542528935</v>
      </c>
      <c r="B23" s="11" t="s">
        <v>538</v>
      </c>
      <c r="C23" s="11" t="s">
        <v>538</v>
      </c>
      <c r="E23" s="192">
        <v>7.0</v>
      </c>
      <c r="F23" s="192">
        <v>7.0</v>
      </c>
      <c r="G23" s="192">
        <v>9500.0</v>
      </c>
      <c r="H23" s="192">
        <v>9900.0</v>
      </c>
      <c r="I23" s="11" t="s">
        <v>297</v>
      </c>
      <c r="K23" s="11" t="s">
        <v>2071</v>
      </c>
    </row>
    <row r="24">
      <c r="A24" s="191">
        <v>46089.56652008102</v>
      </c>
      <c r="B24" s="11" t="s">
        <v>421</v>
      </c>
      <c r="C24" s="11" t="s">
        <v>421</v>
      </c>
      <c r="E24" s="192">
        <v>10.0</v>
      </c>
      <c r="F24" s="192">
        <v>10.0</v>
      </c>
      <c r="G24" s="192">
        <v>3200.0</v>
      </c>
      <c r="H24" s="192">
        <v>3300.0</v>
      </c>
      <c r="I24" s="11" t="s">
        <v>403</v>
      </c>
      <c r="K24" s="11" t="s">
        <v>2071</v>
      </c>
    </row>
    <row r="25">
      <c r="A25" s="191">
        <v>46089.57458892361</v>
      </c>
      <c r="B25" s="11" t="s">
        <v>602</v>
      </c>
      <c r="C25" s="11" t="s">
        <v>602</v>
      </c>
      <c r="E25" s="192">
        <v>4.0</v>
      </c>
      <c r="F25" s="192">
        <v>4.0</v>
      </c>
      <c r="G25" s="192">
        <v>3000.0</v>
      </c>
      <c r="H25" s="192">
        <v>3900.0</v>
      </c>
      <c r="I25" s="11" t="s">
        <v>582</v>
      </c>
      <c r="K25" s="11" t="s">
        <v>2071</v>
      </c>
    </row>
    <row r="26">
      <c r="A26" s="191">
        <v>46089.68886196759</v>
      </c>
      <c r="B26" s="11" t="s">
        <v>1042</v>
      </c>
      <c r="C26" s="11" t="s">
        <v>1042</v>
      </c>
      <c r="E26" s="192">
        <v>4.0</v>
      </c>
      <c r="F26" s="192">
        <v>4.0</v>
      </c>
      <c r="G26" s="192">
        <v>3000.0</v>
      </c>
      <c r="H26" s="192">
        <v>3300.0</v>
      </c>
      <c r="I26" s="11" t="s">
        <v>87</v>
      </c>
      <c r="K26" s="11" t="s">
        <v>2071</v>
      </c>
    </row>
    <row r="27">
      <c r="A27" s="191">
        <v>46089.76624658565</v>
      </c>
      <c r="B27" s="11" t="s">
        <v>705</v>
      </c>
      <c r="C27" s="11" t="s">
        <v>705</v>
      </c>
      <c r="E27" s="192">
        <v>5.0</v>
      </c>
      <c r="F27" s="192">
        <v>0.0</v>
      </c>
      <c r="G27" s="192">
        <v>2500.0</v>
      </c>
      <c r="I27" s="11" t="s">
        <v>403</v>
      </c>
      <c r="K27" s="11" t="s">
        <v>2071</v>
      </c>
    </row>
    <row r="28">
      <c r="A28" s="191">
        <v>46089.76815287037</v>
      </c>
      <c r="B28" s="11" t="s">
        <v>2043</v>
      </c>
      <c r="C28" s="11" t="s">
        <v>2043</v>
      </c>
      <c r="D28" s="11" t="s">
        <v>570</v>
      </c>
      <c r="E28" s="192">
        <v>0.0</v>
      </c>
      <c r="F28" s="192">
        <v>3.0</v>
      </c>
      <c r="G28" s="192">
        <v>3200.0</v>
      </c>
      <c r="I28" s="11" t="s">
        <v>297</v>
      </c>
      <c r="K28" s="11" t="s">
        <v>2071</v>
      </c>
    </row>
    <row r="29">
      <c r="A29" s="191">
        <v>46090.62998189815</v>
      </c>
      <c r="B29" s="11" t="s">
        <v>788</v>
      </c>
      <c r="C29" s="11" t="s">
        <v>788</v>
      </c>
      <c r="E29" s="192">
        <v>0.0</v>
      </c>
      <c r="F29" s="192">
        <v>2.0</v>
      </c>
      <c r="G29" s="192">
        <v>4000.0</v>
      </c>
      <c r="I29" s="11" t="s">
        <v>87</v>
      </c>
      <c r="K29" s="11" t="s">
        <v>2071</v>
      </c>
    </row>
    <row r="30">
      <c r="A30" s="191">
        <v>46090.63561646991</v>
      </c>
      <c r="B30" s="11" t="s">
        <v>1277</v>
      </c>
      <c r="C30" s="11" t="s">
        <v>1277</v>
      </c>
      <c r="E30" s="192">
        <v>0.0</v>
      </c>
      <c r="F30" s="192">
        <v>1.0</v>
      </c>
      <c r="G30" s="192">
        <v>4300.0</v>
      </c>
      <c r="I30" s="11" t="s">
        <v>349</v>
      </c>
      <c r="K30" s="11" t="s">
        <v>2071</v>
      </c>
    </row>
    <row r="31">
      <c r="A31" s="191">
        <v>46090.773814872686</v>
      </c>
      <c r="B31" s="11" t="s">
        <v>1233</v>
      </c>
      <c r="C31" s="11" t="s">
        <v>1233</v>
      </c>
      <c r="E31" s="192">
        <v>6.0</v>
      </c>
      <c r="F31" s="192">
        <v>0.0</v>
      </c>
      <c r="G31" s="192">
        <v>4500.0</v>
      </c>
      <c r="I31" s="11" t="s">
        <v>458</v>
      </c>
      <c r="K31" s="11" t="s">
        <v>2071</v>
      </c>
    </row>
    <row r="32">
      <c r="A32" s="191">
        <v>46090.831986805555</v>
      </c>
      <c r="B32" s="11" t="s">
        <v>398</v>
      </c>
      <c r="C32" s="11" t="s">
        <v>398</v>
      </c>
      <c r="E32" s="192">
        <v>0.0</v>
      </c>
      <c r="F32" s="192">
        <v>3.0</v>
      </c>
      <c r="G32" s="192">
        <v>5000.0</v>
      </c>
      <c r="I32" s="11" t="s">
        <v>383</v>
      </c>
      <c r="K32" s="11" t="s">
        <v>2071</v>
      </c>
    </row>
    <row r="33">
      <c r="A33" s="191">
        <v>46090.90149145834</v>
      </c>
      <c r="B33" s="11" t="s">
        <v>256</v>
      </c>
      <c r="C33" s="11" t="s">
        <v>256</v>
      </c>
      <c r="E33" s="192">
        <v>6.0</v>
      </c>
      <c r="F33" s="192">
        <v>6.0</v>
      </c>
      <c r="G33" s="192">
        <v>1000.0</v>
      </c>
      <c r="H33" s="192">
        <v>2000.0</v>
      </c>
      <c r="I33" s="11" t="s">
        <v>87</v>
      </c>
      <c r="K33" s="11" t="s">
        <v>2071</v>
      </c>
    </row>
    <row r="34">
      <c r="A34" s="191">
        <v>46091.17878728009</v>
      </c>
      <c r="B34" s="11" t="s">
        <v>560</v>
      </c>
      <c r="C34" s="11" t="s">
        <v>560</v>
      </c>
      <c r="E34" s="192">
        <v>0.0</v>
      </c>
      <c r="F34" s="192">
        <v>6.0</v>
      </c>
      <c r="G34" s="192">
        <v>3500.0</v>
      </c>
      <c r="I34" s="11" t="s">
        <v>297</v>
      </c>
      <c r="K34" s="11" t="s">
        <v>2071</v>
      </c>
    </row>
    <row r="35">
      <c r="A35" s="191">
        <v>46091.968489189814</v>
      </c>
      <c r="B35" s="11" t="s">
        <v>992</v>
      </c>
      <c r="C35" s="11" t="s">
        <v>992</v>
      </c>
      <c r="E35" s="192">
        <v>0.0</v>
      </c>
      <c r="F35" s="192">
        <v>1.0</v>
      </c>
      <c r="G35" s="192">
        <v>3500.0</v>
      </c>
      <c r="I35" s="11" t="s">
        <v>383</v>
      </c>
      <c r="K35" s="11" t="s">
        <v>2071</v>
      </c>
    </row>
    <row r="36">
      <c r="A36" s="191">
        <v>46091.97742888889</v>
      </c>
      <c r="B36" s="11" t="s">
        <v>788</v>
      </c>
      <c r="C36" s="11" t="s">
        <v>788</v>
      </c>
      <c r="E36" s="192">
        <v>0.0</v>
      </c>
      <c r="F36" s="192">
        <v>1.0</v>
      </c>
      <c r="G36" s="192">
        <v>4000.0</v>
      </c>
      <c r="I36" s="11" t="s">
        <v>87</v>
      </c>
      <c r="K36" s="11" t="s">
        <v>2071</v>
      </c>
    </row>
    <row r="37">
      <c r="A37" s="191">
        <v>46091.98067164352</v>
      </c>
      <c r="B37" s="11" t="s">
        <v>788</v>
      </c>
      <c r="C37" s="11" t="s">
        <v>788</v>
      </c>
      <c r="E37" s="192">
        <v>0.0</v>
      </c>
      <c r="F37" s="192">
        <v>1.0</v>
      </c>
      <c r="G37" s="192">
        <v>4000.0</v>
      </c>
      <c r="I37" s="11" t="s">
        <v>87</v>
      </c>
      <c r="K37" s="11" t="s">
        <v>2071</v>
      </c>
    </row>
    <row r="38">
      <c r="A38" s="191">
        <v>46092.52010527778</v>
      </c>
      <c r="B38" s="11" t="s">
        <v>788</v>
      </c>
      <c r="C38" s="11" t="s">
        <v>788</v>
      </c>
      <c r="E38" s="192">
        <v>0.0</v>
      </c>
      <c r="F38" s="192">
        <v>2.0</v>
      </c>
      <c r="G38" s="192">
        <v>4000.0</v>
      </c>
      <c r="I38" s="11" t="s">
        <v>87</v>
      </c>
      <c r="K38" s="11" t="s">
        <v>2071</v>
      </c>
    </row>
    <row r="39">
      <c r="A39" s="191">
        <v>46092.699193692126</v>
      </c>
      <c r="B39" s="11" t="s">
        <v>1174</v>
      </c>
      <c r="C39" s="11" t="s">
        <v>1174</v>
      </c>
      <c r="E39" s="192">
        <v>1.0</v>
      </c>
      <c r="F39" s="192">
        <v>3.0</v>
      </c>
      <c r="G39" s="192">
        <v>3500.0</v>
      </c>
      <c r="I39" s="11" t="s">
        <v>458</v>
      </c>
      <c r="K39" s="11" t="s">
        <v>2071</v>
      </c>
    </row>
    <row r="40">
      <c r="A40" s="191">
        <v>46092.699480763884</v>
      </c>
      <c r="B40" s="11" t="s">
        <v>788</v>
      </c>
      <c r="C40" s="11" t="s">
        <v>788</v>
      </c>
      <c r="E40" s="192">
        <v>0.0</v>
      </c>
      <c r="F40" s="192">
        <v>1.0</v>
      </c>
      <c r="G40" s="192">
        <v>4000.0</v>
      </c>
      <c r="I40" s="11" t="s">
        <v>87</v>
      </c>
      <c r="K40" s="11" t="s">
        <v>2071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75"/>
    <col customWidth="1" min="2" max="2" width="28.25"/>
    <col customWidth="1" min="3" max="3" width="82.38"/>
    <col customWidth="1" min="4" max="4" width="7.25"/>
    <col customWidth="1" min="5" max="5" width="6.75"/>
  </cols>
  <sheetData>
    <row r="1">
      <c r="A1" s="193" t="s">
        <v>2006</v>
      </c>
      <c r="B1" s="193" t="s">
        <v>2073</v>
      </c>
      <c r="C1" s="193" t="s">
        <v>2074</v>
      </c>
      <c r="D1" s="193" t="s">
        <v>2075</v>
      </c>
      <c r="E1" s="193" t="s">
        <v>1979</v>
      </c>
    </row>
    <row r="2">
      <c r="A2" s="11" t="s">
        <v>74</v>
      </c>
      <c r="C2" s="11" t="s">
        <v>2076</v>
      </c>
      <c r="D2" s="11" t="s">
        <v>2077</v>
      </c>
    </row>
    <row r="3">
      <c r="A3" s="11" t="s">
        <v>47</v>
      </c>
      <c r="C3" s="11" t="s">
        <v>2076</v>
      </c>
      <c r="D3" s="11" t="s">
        <v>2077</v>
      </c>
    </row>
    <row r="4">
      <c r="A4" s="11" t="s">
        <v>759</v>
      </c>
      <c r="C4" s="11" t="s">
        <v>2076</v>
      </c>
      <c r="D4" s="11" t="s">
        <v>2077</v>
      </c>
    </row>
    <row r="5">
      <c r="A5" s="11" t="s">
        <v>42</v>
      </c>
      <c r="C5" s="11" t="s">
        <v>2076</v>
      </c>
      <c r="D5" s="11" t="s">
        <v>2077</v>
      </c>
    </row>
    <row r="6">
      <c r="A6" s="11" t="s">
        <v>56</v>
      </c>
      <c r="C6" s="11" t="s">
        <v>2076</v>
      </c>
      <c r="D6" s="11" t="s">
        <v>2077</v>
      </c>
    </row>
    <row r="7">
      <c r="A7" s="11" t="s">
        <v>524</v>
      </c>
      <c r="C7" s="11" t="s">
        <v>2076</v>
      </c>
      <c r="D7" s="11" t="s">
        <v>2077</v>
      </c>
    </row>
    <row r="8">
      <c r="A8" s="11" t="s">
        <v>147</v>
      </c>
      <c r="C8" s="11" t="s">
        <v>2076</v>
      </c>
      <c r="D8" s="11" t="s">
        <v>2077</v>
      </c>
    </row>
    <row r="9">
      <c r="A9" s="11" t="s">
        <v>114</v>
      </c>
      <c r="C9" s="11" t="s">
        <v>2076</v>
      </c>
      <c r="D9" s="11" t="s">
        <v>2077</v>
      </c>
    </row>
    <row r="10">
      <c r="A10" s="11" t="s">
        <v>355</v>
      </c>
      <c r="C10" s="11" t="s">
        <v>2076</v>
      </c>
      <c r="D10" s="11" t="s">
        <v>2077</v>
      </c>
    </row>
    <row r="11">
      <c r="A11" s="11" t="s">
        <v>527</v>
      </c>
      <c r="C11" s="11" t="s">
        <v>2076</v>
      </c>
      <c r="D11" s="11" t="s">
        <v>2077</v>
      </c>
    </row>
    <row r="12">
      <c r="A12" s="11" t="s">
        <v>480</v>
      </c>
      <c r="C12" s="11" t="s">
        <v>2076</v>
      </c>
      <c r="D12" s="11" t="s">
        <v>2077</v>
      </c>
    </row>
    <row r="13">
      <c r="A13" s="11" t="s">
        <v>217</v>
      </c>
      <c r="C13" s="11" t="s">
        <v>2076</v>
      </c>
      <c r="D13" s="11" t="s">
        <v>2077</v>
      </c>
    </row>
    <row r="14">
      <c r="A14" s="11" t="s">
        <v>184</v>
      </c>
      <c r="C14" s="11" t="s">
        <v>2076</v>
      </c>
      <c r="D14" s="11" t="s">
        <v>2077</v>
      </c>
    </row>
    <row r="15">
      <c r="A15" s="11" t="s">
        <v>623</v>
      </c>
      <c r="C15" s="11" t="s">
        <v>2076</v>
      </c>
      <c r="D15" s="11" t="s">
        <v>2077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9.88"/>
    <col customWidth="1" min="2" max="2" width="5.25"/>
    <col customWidth="1" min="3" max="3" width="15.13"/>
    <col customWidth="1" min="4" max="4" width="5.0"/>
    <col customWidth="1" min="5" max="5" width="12.63"/>
    <col customWidth="1" min="6" max="6" width="1.88"/>
    <col customWidth="1" min="7" max="8" width="2.75"/>
    <col customWidth="1" min="9" max="9" width="1.88"/>
    <col customWidth="1" min="10" max="10" width="6.75"/>
    <col customWidth="1" min="11" max="11" width="5.25"/>
    <col customWidth="1" min="12" max="13" width="1.88"/>
    <col customWidth="1" min="14" max="14" width="20.38"/>
  </cols>
  <sheetData>
    <row r="1" ht="15.75" customHeight="1">
      <c r="A1" s="19" t="s">
        <v>2078</v>
      </c>
      <c r="B1" s="29">
        <v>9000.0</v>
      </c>
      <c r="C1" s="19" t="s">
        <v>1019</v>
      </c>
      <c r="D1" s="15" t="s">
        <v>946</v>
      </c>
      <c r="E1" s="19"/>
      <c r="F1" s="29">
        <v>0.0</v>
      </c>
      <c r="G1" s="15">
        <v>0.0</v>
      </c>
      <c r="H1" s="33">
        <v>0.0</v>
      </c>
      <c r="I1" s="19">
        <v>0.0</v>
      </c>
      <c r="J1" s="19" t="str">
        <f t="shared" ref="J1:J159" si="1">IF(
  A1="",
  "",
  IF(
    F1=0,
    "sin stock",
    IF(
      NOT(OR(I1=0,I1=1)),
      "ERROR ESPECIAL",
      IF(
        NOT(OR(G1=0,G1=1,G1=2,G1=3,G1=4,G1=5,G1=6,G1=10)),
        "ERROR RELAMPAGO",
        IF(
          OR(H1&gt;70,AND(H1&gt;0,H1&lt;15)),
          "ERROR DESTACADA",
          IF(
            (I1=1)+(H1&gt;0)+(G1&gt;0)&gt;1,
            "ERROR DOBLE OFERTA",
            IF(
              I1=1,
              "especial",
              IF(
                H1&gt;0,
                "destacada",
                IF(
                  G1&gt;0,
                  IF(
                    OR(
                      AND(G1=10,F1&lt;2),
                      AND(G1&lt;&gt;10,F1&lt;(G1+1))
                    ),
                    "REPONER "&amp;IF(G1=10,2-F1,(G1+1-F1))&amp;" PARA RELAMPAGO",
                    "relampago"
                  ),
                  "sin oferta"
                )
              )
            )
          )
        )
      )
    )
  )
)
</f>
        <v>sin stock</v>
      </c>
      <c r="K1" s="19">
        <v>12000.0</v>
      </c>
      <c r="L1" s="20"/>
      <c r="M1" s="20"/>
      <c r="N1" s="20" t="str">
        <f t="shared" ref="N1:N51" si="2">IF(OR(F1&lt;=0, B1&lt;=0), "SIN STOCK / CARGAR PRECIO", 
IF(B1="", "CARGAR PRECIO",
IF(AND(ISNUMBER(G1), G1&gt;0), 
 B1 * VLOOKUP(G1, {1,0.5; 2,0.6667; 3,0.75; 4,0.8; 5,0.8333; 6,0.8571; 10,0.75}, 2, FALSE), 
 IF(AND(ISNUMBER(H1), H1&gt;0), 
  B1 * (1 - H1/100), 
  IF(I1=1, 
   B1 * 0.9, 
   "NORMAL / SIN OFERTA")))))</f>
        <v>SIN STOCK / CARGAR PRECIO</v>
      </c>
    </row>
    <row r="2" ht="15.75" customHeight="1">
      <c r="A2" s="15" t="s">
        <v>2079</v>
      </c>
      <c r="B2" s="35">
        <v>19000.0</v>
      </c>
      <c r="C2" s="15" t="s">
        <v>1019</v>
      </c>
      <c r="D2" s="15" t="s">
        <v>88</v>
      </c>
      <c r="E2" s="15"/>
      <c r="F2" s="194">
        <v>0.0</v>
      </c>
      <c r="G2" s="15">
        <v>0.0</v>
      </c>
      <c r="H2" s="33">
        <v>0.0</v>
      </c>
      <c r="I2" s="19">
        <v>0.0</v>
      </c>
      <c r="J2" s="19" t="str">
        <f t="shared" si="1"/>
        <v>sin stock</v>
      </c>
      <c r="K2" s="15">
        <v>21300.0</v>
      </c>
      <c r="L2" s="20"/>
      <c r="M2" s="20"/>
      <c r="N2" s="20" t="str">
        <f t="shared" si="2"/>
        <v>SIN STOCK / CARGAR PRECIO</v>
      </c>
    </row>
    <row r="3" ht="15.75" customHeight="1">
      <c r="A3" s="15" t="s">
        <v>2080</v>
      </c>
      <c r="B3" s="35">
        <v>18000.0</v>
      </c>
      <c r="C3" s="15" t="s">
        <v>1019</v>
      </c>
      <c r="D3" s="15" t="s">
        <v>1202</v>
      </c>
      <c r="E3" s="15"/>
      <c r="F3" s="194">
        <v>0.0</v>
      </c>
      <c r="G3" s="15">
        <v>0.0</v>
      </c>
      <c r="H3" s="33">
        <v>0.0</v>
      </c>
      <c r="I3" s="19">
        <v>0.0</v>
      </c>
      <c r="J3" s="19" t="str">
        <f t="shared" si="1"/>
        <v>sin stock</v>
      </c>
      <c r="K3" s="15">
        <v>20300.0</v>
      </c>
      <c r="L3" s="20"/>
      <c r="M3" s="20"/>
      <c r="N3" s="20" t="str">
        <f t="shared" si="2"/>
        <v>SIN STOCK / CARGAR PRECIO</v>
      </c>
    </row>
    <row r="4" ht="15.75" customHeight="1">
      <c r="A4" s="15" t="s">
        <v>694</v>
      </c>
      <c r="B4" s="35">
        <v>2100.0</v>
      </c>
      <c r="C4" s="15" t="s">
        <v>87</v>
      </c>
      <c r="D4" s="15" t="s">
        <v>1061</v>
      </c>
      <c r="E4" s="15"/>
      <c r="F4" s="33">
        <v>0.0</v>
      </c>
      <c r="G4" s="15">
        <v>0.0</v>
      </c>
      <c r="H4" s="33">
        <v>0.0</v>
      </c>
      <c r="I4" s="19">
        <v>0.0</v>
      </c>
      <c r="J4" s="19" t="str">
        <f t="shared" si="1"/>
        <v>sin stock</v>
      </c>
      <c r="K4" s="15"/>
      <c r="L4" s="20"/>
      <c r="M4" s="20"/>
      <c r="N4" s="20" t="str">
        <f t="shared" si="2"/>
        <v>SIN STOCK / CARGAR PRECIO</v>
      </c>
    </row>
    <row r="5" ht="15.75" customHeight="1">
      <c r="A5" s="15" t="s">
        <v>2081</v>
      </c>
      <c r="B5" s="35">
        <v>2500.0</v>
      </c>
      <c r="C5" s="15" t="s">
        <v>502</v>
      </c>
      <c r="D5" s="15" t="s">
        <v>46</v>
      </c>
      <c r="E5" s="15"/>
      <c r="F5" s="33">
        <v>0.0</v>
      </c>
      <c r="G5" s="15">
        <v>0.0</v>
      </c>
      <c r="H5" s="33">
        <v>0.0</v>
      </c>
      <c r="I5" s="19">
        <v>0.0</v>
      </c>
      <c r="J5" s="19" t="str">
        <f t="shared" si="1"/>
        <v>sin stock</v>
      </c>
      <c r="K5" s="15"/>
      <c r="L5" s="20"/>
      <c r="M5" s="20"/>
      <c r="N5" s="20" t="str">
        <f t="shared" si="2"/>
        <v>SIN STOCK / CARGAR PRECIO</v>
      </c>
    </row>
    <row r="6" ht="15.75" customHeight="1">
      <c r="A6" s="15" t="s">
        <v>2082</v>
      </c>
      <c r="B6" s="35">
        <v>2500.0</v>
      </c>
      <c r="C6" s="15" t="s">
        <v>502</v>
      </c>
      <c r="D6" s="15" t="s">
        <v>55</v>
      </c>
      <c r="E6" s="15"/>
      <c r="F6" s="194">
        <v>0.0</v>
      </c>
      <c r="G6" s="15">
        <v>0.0</v>
      </c>
      <c r="H6" s="33">
        <v>0.0</v>
      </c>
      <c r="I6" s="19">
        <v>0.0</v>
      </c>
      <c r="J6" s="19" t="str">
        <f t="shared" si="1"/>
        <v>sin stock</v>
      </c>
      <c r="K6" s="15"/>
      <c r="L6" s="20"/>
      <c r="M6" s="20"/>
      <c r="N6" s="20" t="str">
        <f t="shared" si="2"/>
        <v>SIN STOCK / CARGAR PRECIO</v>
      </c>
    </row>
    <row r="7" ht="15.75" customHeight="1">
      <c r="A7" s="15" t="s">
        <v>2010</v>
      </c>
      <c r="B7" s="35">
        <v>500.0</v>
      </c>
      <c r="C7" s="15" t="s">
        <v>502</v>
      </c>
      <c r="D7" s="15" t="s">
        <v>59</v>
      </c>
      <c r="E7" s="15"/>
      <c r="F7" s="33">
        <v>0.0</v>
      </c>
      <c r="G7" s="15">
        <v>0.0</v>
      </c>
      <c r="H7" s="33">
        <v>0.0</v>
      </c>
      <c r="I7" s="19">
        <v>0.0</v>
      </c>
      <c r="J7" s="19" t="str">
        <f t="shared" si="1"/>
        <v>sin stock</v>
      </c>
      <c r="K7" s="15"/>
      <c r="L7" s="20"/>
      <c r="M7" s="20"/>
      <c r="N7" s="20" t="str">
        <f t="shared" si="2"/>
        <v>SIN STOCK / CARGAR PRECIO</v>
      </c>
    </row>
    <row r="8" ht="15.75" customHeight="1">
      <c r="A8" s="15" t="s">
        <v>2011</v>
      </c>
      <c r="B8" s="35">
        <v>500.0</v>
      </c>
      <c r="C8" s="15" t="s">
        <v>502</v>
      </c>
      <c r="D8" s="15" t="s">
        <v>62</v>
      </c>
      <c r="E8" s="15"/>
      <c r="F8" s="33">
        <v>0.0</v>
      </c>
      <c r="G8" s="15">
        <v>0.0</v>
      </c>
      <c r="H8" s="33">
        <v>0.0</v>
      </c>
      <c r="I8" s="19">
        <v>0.0</v>
      </c>
      <c r="J8" s="19" t="str">
        <f t="shared" si="1"/>
        <v>sin stock</v>
      </c>
      <c r="K8" s="15"/>
      <c r="L8" s="20"/>
      <c r="M8" s="20"/>
      <c r="N8" s="20" t="str">
        <f t="shared" si="2"/>
        <v>SIN STOCK / CARGAR PRECIO</v>
      </c>
    </row>
    <row r="9" ht="15.75" customHeight="1">
      <c r="A9" s="15" t="s">
        <v>61</v>
      </c>
      <c r="B9" s="35">
        <v>600.0</v>
      </c>
      <c r="C9" s="15" t="s">
        <v>502</v>
      </c>
      <c r="D9" s="15" t="s">
        <v>1268</v>
      </c>
      <c r="E9" s="15"/>
      <c r="F9" s="33">
        <v>0.0</v>
      </c>
      <c r="G9" s="15">
        <v>0.0</v>
      </c>
      <c r="H9" s="33">
        <v>0.0</v>
      </c>
      <c r="I9" s="19">
        <v>0.0</v>
      </c>
      <c r="J9" s="19" t="str">
        <f t="shared" si="1"/>
        <v>sin stock</v>
      </c>
      <c r="K9" s="15"/>
      <c r="L9" s="20"/>
      <c r="M9" s="20"/>
      <c r="N9" s="20" t="str">
        <f t="shared" si="2"/>
        <v>SIN STOCK / CARGAR PRECIO</v>
      </c>
    </row>
    <row r="10" ht="15.75" customHeight="1">
      <c r="A10" s="15" t="s">
        <v>1199</v>
      </c>
      <c r="B10" s="35">
        <v>600.0</v>
      </c>
      <c r="C10" s="15" t="s">
        <v>502</v>
      </c>
      <c r="D10" s="15" t="s">
        <v>65</v>
      </c>
      <c r="E10" s="15"/>
      <c r="F10" s="33">
        <v>0.0</v>
      </c>
      <c r="G10" s="15">
        <v>0.0</v>
      </c>
      <c r="H10" s="33">
        <v>0.0</v>
      </c>
      <c r="I10" s="19">
        <v>0.0</v>
      </c>
      <c r="J10" s="19" t="str">
        <f t="shared" si="1"/>
        <v>sin stock</v>
      </c>
      <c r="K10" s="15"/>
      <c r="L10" s="20"/>
      <c r="M10" s="20"/>
      <c r="N10" s="20" t="str">
        <f t="shared" si="2"/>
        <v>SIN STOCK / CARGAR PRECIO</v>
      </c>
    </row>
    <row r="11" ht="15.75" customHeight="1">
      <c r="A11" s="15" t="s">
        <v>2083</v>
      </c>
      <c r="B11" s="35">
        <v>2500.0</v>
      </c>
      <c r="C11" s="15" t="s">
        <v>502</v>
      </c>
      <c r="D11" s="15" t="s">
        <v>756</v>
      </c>
      <c r="E11" s="15"/>
      <c r="F11" s="194">
        <v>0.0</v>
      </c>
      <c r="G11" s="15">
        <v>10.0</v>
      </c>
      <c r="H11" s="33">
        <v>0.0</v>
      </c>
      <c r="I11" s="19">
        <v>0.0</v>
      </c>
      <c r="J11" s="19" t="str">
        <f t="shared" si="1"/>
        <v>sin stock</v>
      </c>
      <c r="K11" s="15"/>
      <c r="L11" s="20">
        <v>1.0</v>
      </c>
      <c r="M11" s="20">
        <v>5.0</v>
      </c>
      <c r="N11" s="20" t="str">
        <f t="shared" si="2"/>
        <v>SIN STOCK / CARGAR PRECIO</v>
      </c>
    </row>
    <row r="12" ht="15.75" customHeight="1">
      <c r="A12" s="15" t="s">
        <v>2013</v>
      </c>
      <c r="B12" s="35">
        <v>500.0</v>
      </c>
      <c r="C12" s="15" t="s">
        <v>502</v>
      </c>
      <c r="D12" s="15" t="s">
        <v>69</v>
      </c>
      <c r="E12" s="15"/>
      <c r="F12" s="33">
        <v>0.0</v>
      </c>
      <c r="G12" s="15">
        <v>0.0</v>
      </c>
      <c r="H12" s="33">
        <v>0.0</v>
      </c>
      <c r="I12" s="19">
        <v>0.0</v>
      </c>
      <c r="J12" s="19" t="str">
        <f t="shared" si="1"/>
        <v>sin stock</v>
      </c>
      <c r="K12" s="15"/>
      <c r="L12" s="20"/>
      <c r="M12" s="20"/>
      <c r="N12" s="20" t="str">
        <f t="shared" si="2"/>
        <v>SIN STOCK / CARGAR PRECIO</v>
      </c>
    </row>
    <row r="13" ht="15.75" customHeight="1">
      <c r="A13" s="15" t="s">
        <v>2012</v>
      </c>
      <c r="B13" s="35">
        <v>500.0</v>
      </c>
      <c r="C13" s="15" t="s">
        <v>502</v>
      </c>
      <c r="D13" s="15" t="s">
        <v>71</v>
      </c>
      <c r="E13" s="15"/>
      <c r="F13" s="33">
        <v>0.0</v>
      </c>
      <c r="G13" s="15">
        <v>0.0</v>
      </c>
      <c r="H13" s="33">
        <v>0.0</v>
      </c>
      <c r="I13" s="19">
        <v>0.0</v>
      </c>
      <c r="J13" s="19" t="str">
        <f t="shared" si="1"/>
        <v>sin stock</v>
      </c>
      <c r="K13" s="15"/>
      <c r="L13" s="20"/>
      <c r="M13" s="20"/>
      <c r="N13" s="20" t="str">
        <f t="shared" si="2"/>
        <v>SIN STOCK / CARGAR PRECIO</v>
      </c>
    </row>
    <row r="14" ht="15.75" customHeight="1">
      <c r="A14" s="15" t="s">
        <v>2084</v>
      </c>
      <c r="B14" s="35">
        <v>500.0</v>
      </c>
      <c r="C14" s="15" t="s">
        <v>502</v>
      </c>
      <c r="D14" s="15" t="s">
        <v>77</v>
      </c>
      <c r="E14" s="15"/>
      <c r="F14" s="194">
        <v>0.0</v>
      </c>
      <c r="G14" s="15">
        <v>0.0</v>
      </c>
      <c r="H14" s="33">
        <v>0.0</v>
      </c>
      <c r="I14" s="19">
        <v>0.0</v>
      </c>
      <c r="J14" s="19" t="str">
        <f t="shared" si="1"/>
        <v>sin stock</v>
      </c>
      <c r="K14" s="15"/>
      <c r="L14" s="20"/>
      <c r="M14" s="20"/>
      <c r="N14" s="20" t="str">
        <f t="shared" si="2"/>
        <v>SIN STOCK / CARGAR PRECIO</v>
      </c>
    </row>
    <row r="15" ht="15.75" customHeight="1">
      <c r="A15" s="15" t="s">
        <v>2085</v>
      </c>
      <c r="B15" s="35">
        <v>500.0</v>
      </c>
      <c r="C15" s="15" t="s">
        <v>502</v>
      </c>
      <c r="D15" s="15" t="s">
        <v>79</v>
      </c>
      <c r="E15" s="15"/>
      <c r="F15" s="194">
        <v>0.0</v>
      </c>
      <c r="G15" s="15">
        <v>0.0</v>
      </c>
      <c r="H15" s="33">
        <v>0.0</v>
      </c>
      <c r="I15" s="19">
        <v>0.0</v>
      </c>
      <c r="J15" s="19" t="str">
        <f t="shared" si="1"/>
        <v>sin stock</v>
      </c>
      <c r="K15" s="15"/>
      <c r="L15" s="20"/>
      <c r="M15" s="20"/>
      <c r="N15" s="20" t="str">
        <f t="shared" si="2"/>
        <v>SIN STOCK / CARGAR PRECIO</v>
      </c>
    </row>
    <row r="16" ht="15.75" customHeight="1">
      <c r="A16" s="15" t="s">
        <v>2086</v>
      </c>
      <c r="B16" s="35">
        <v>1000.0</v>
      </c>
      <c r="C16" s="15" t="s">
        <v>502</v>
      </c>
      <c r="D16" s="15" t="s">
        <v>830</v>
      </c>
      <c r="E16" s="15"/>
      <c r="F16" s="33">
        <v>0.0</v>
      </c>
      <c r="G16" s="15">
        <v>0.0</v>
      </c>
      <c r="H16" s="33">
        <v>0.0</v>
      </c>
      <c r="I16" s="19">
        <v>0.0</v>
      </c>
      <c r="J16" s="19" t="str">
        <f t="shared" si="1"/>
        <v>sin stock</v>
      </c>
      <c r="K16" s="15"/>
      <c r="L16" s="20"/>
      <c r="M16" s="20"/>
      <c r="N16" s="20" t="str">
        <f t="shared" si="2"/>
        <v>SIN STOCK / CARGAR PRECIO</v>
      </c>
    </row>
    <row r="17" ht="15.75" customHeight="1">
      <c r="A17" s="15" t="s">
        <v>2087</v>
      </c>
      <c r="B17" s="35">
        <v>2500.0</v>
      </c>
      <c r="C17" s="15" t="s">
        <v>502</v>
      </c>
      <c r="D17" s="15" t="s">
        <v>365</v>
      </c>
      <c r="E17" s="15"/>
      <c r="F17" s="33">
        <v>0.0</v>
      </c>
      <c r="G17" s="15">
        <v>0.0</v>
      </c>
      <c r="H17" s="33">
        <v>0.0</v>
      </c>
      <c r="I17" s="19">
        <v>1.0</v>
      </c>
      <c r="J17" s="19" t="str">
        <f t="shared" si="1"/>
        <v>sin stock</v>
      </c>
      <c r="K17" s="15"/>
      <c r="L17" s="20"/>
      <c r="M17" s="20"/>
      <c r="N17" s="20" t="str">
        <f t="shared" si="2"/>
        <v>SIN STOCK / CARGAR PRECIO</v>
      </c>
    </row>
    <row r="18" ht="15.75" customHeight="1">
      <c r="A18" s="15" t="s">
        <v>2088</v>
      </c>
      <c r="B18" s="35">
        <v>2500.0</v>
      </c>
      <c r="C18" s="15" t="s">
        <v>502</v>
      </c>
      <c r="D18" s="15" t="s">
        <v>834</v>
      </c>
      <c r="E18" s="15"/>
      <c r="F18" s="33">
        <v>0.0</v>
      </c>
      <c r="G18" s="15">
        <v>0.0</v>
      </c>
      <c r="H18" s="33">
        <v>0.0</v>
      </c>
      <c r="I18" s="19">
        <v>0.0</v>
      </c>
      <c r="J18" s="19" t="str">
        <f t="shared" si="1"/>
        <v>sin stock</v>
      </c>
      <c r="K18" s="15"/>
      <c r="L18" s="20"/>
      <c r="M18" s="20"/>
      <c r="N18" s="20" t="str">
        <f t="shared" si="2"/>
        <v>SIN STOCK / CARGAR PRECIO</v>
      </c>
    </row>
    <row r="19" ht="15.75" customHeight="1">
      <c r="A19" s="19" t="s">
        <v>2089</v>
      </c>
      <c r="B19" s="29">
        <v>1600.0</v>
      </c>
      <c r="C19" s="15" t="s">
        <v>87</v>
      </c>
      <c r="D19" s="15" t="s">
        <v>769</v>
      </c>
      <c r="E19" s="19"/>
      <c r="F19" s="33">
        <v>0.0</v>
      </c>
      <c r="G19" s="15">
        <v>0.0</v>
      </c>
      <c r="H19" s="33">
        <v>0.0</v>
      </c>
      <c r="I19" s="19">
        <v>0.0</v>
      </c>
      <c r="J19" s="19" t="str">
        <f t="shared" si="1"/>
        <v>sin stock</v>
      </c>
      <c r="K19" s="15"/>
      <c r="L19" s="19"/>
      <c r="M19" s="19"/>
      <c r="N19" s="20" t="str">
        <f t="shared" si="2"/>
        <v>SIN STOCK / CARGAR PRECIO</v>
      </c>
    </row>
    <row r="20" ht="15.75" customHeight="1">
      <c r="A20" s="15" t="s">
        <v>2090</v>
      </c>
      <c r="B20" s="35">
        <v>2500.0</v>
      </c>
      <c r="C20" s="15" t="s">
        <v>87</v>
      </c>
      <c r="D20" s="15" t="s">
        <v>583</v>
      </c>
      <c r="E20" s="15"/>
      <c r="F20" s="33">
        <v>0.0</v>
      </c>
      <c r="G20" s="15">
        <v>0.0</v>
      </c>
      <c r="H20" s="33">
        <v>0.0</v>
      </c>
      <c r="I20" s="195">
        <v>0.0</v>
      </c>
      <c r="J20" s="19" t="str">
        <f t="shared" si="1"/>
        <v>sin stock</v>
      </c>
      <c r="K20" s="15"/>
      <c r="L20" s="20"/>
      <c r="M20" s="20"/>
      <c r="N20" s="20" t="str">
        <f t="shared" si="2"/>
        <v>SIN STOCK / CARGAR PRECIO</v>
      </c>
    </row>
    <row r="21" ht="15.75" customHeight="1">
      <c r="A21" s="15" t="s">
        <v>2091</v>
      </c>
      <c r="B21" s="35">
        <v>3000.0</v>
      </c>
      <c r="C21" s="15" t="s">
        <v>87</v>
      </c>
      <c r="D21" s="15" t="s">
        <v>912</v>
      </c>
      <c r="E21" s="15"/>
      <c r="F21" s="33">
        <v>0.0</v>
      </c>
      <c r="G21" s="15">
        <v>0.0</v>
      </c>
      <c r="H21" s="33">
        <v>0.0</v>
      </c>
      <c r="I21" s="195">
        <v>0.0</v>
      </c>
      <c r="J21" s="19" t="str">
        <f t="shared" si="1"/>
        <v>sin stock</v>
      </c>
      <c r="K21" s="15"/>
      <c r="L21" s="20"/>
      <c r="M21" s="20"/>
      <c r="N21" s="20" t="str">
        <f t="shared" si="2"/>
        <v>SIN STOCK / CARGAR PRECIO</v>
      </c>
    </row>
    <row r="22" ht="15.75" customHeight="1">
      <c r="A22" s="15" t="s">
        <v>2092</v>
      </c>
      <c r="B22" s="35">
        <v>2500.0</v>
      </c>
      <c r="C22" s="15" t="s">
        <v>87</v>
      </c>
      <c r="D22" s="15" t="s">
        <v>585</v>
      </c>
      <c r="E22" s="15"/>
      <c r="F22" s="33">
        <v>0.0</v>
      </c>
      <c r="G22" s="15">
        <v>0.0</v>
      </c>
      <c r="H22" s="33">
        <v>0.0</v>
      </c>
      <c r="I22" s="195">
        <v>0.0</v>
      </c>
      <c r="J22" s="19" t="str">
        <f t="shared" si="1"/>
        <v>sin stock</v>
      </c>
      <c r="K22" s="15"/>
      <c r="L22" s="20"/>
      <c r="M22" s="20"/>
      <c r="N22" s="20" t="str">
        <f t="shared" si="2"/>
        <v>SIN STOCK / CARGAR PRECIO</v>
      </c>
    </row>
    <row r="23" ht="15.75" customHeight="1">
      <c r="A23" s="15" t="s">
        <v>2093</v>
      </c>
      <c r="B23" s="35">
        <v>4000.0</v>
      </c>
      <c r="C23" s="15" t="s">
        <v>87</v>
      </c>
      <c r="D23" s="15" t="s">
        <v>503</v>
      </c>
      <c r="E23" s="15"/>
      <c r="F23" s="33">
        <v>0.0</v>
      </c>
      <c r="G23" s="15">
        <v>0.0</v>
      </c>
      <c r="H23" s="33">
        <v>0.0</v>
      </c>
      <c r="I23" s="195">
        <v>0.0</v>
      </c>
      <c r="J23" s="19" t="str">
        <f t="shared" si="1"/>
        <v>sin stock</v>
      </c>
      <c r="K23" s="15"/>
      <c r="L23" s="20"/>
      <c r="M23" s="20"/>
      <c r="N23" s="20" t="str">
        <f t="shared" si="2"/>
        <v>SIN STOCK / CARGAR PRECIO</v>
      </c>
    </row>
    <row r="24" ht="15.75" customHeight="1">
      <c r="A24" s="15" t="s">
        <v>2094</v>
      </c>
      <c r="B24" s="35">
        <v>2500.0</v>
      </c>
      <c r="C24" s="15" t="s">
        <v>87</v>
      </c>
      <c r="D24" s="15" t="s">
        <v>505</v>
      </c>
      <c r="E24" s="15"/>
      <c r="F24" s="33">
        <v>0.0</v>
      </c>
      <c r="G24" s="15">
        <v>0.0</v>
      </c>
      <c r="H24" s="33">
        <v>0.0</v>
      </c>
      <c r="I24" s="195">
        <v>0.0</v>
      </c>
      <c r="J24" s="19" t="str">
        <f t="shared" si="1"/>
        <v>sin stock</v>
      </c>
      <c r="K24" s="15"/>
      <c r="L24" s="20"/>
      <c r="M24" s="20"/>
      <c r="N24" s="20" t="str">
        <f t="shared" si="2"/>
        <v>SIN STOCK / CARGAR PRECIO</v>
      </c>
    </row>
    <row r="25" ht="15.75" customHeight="1">
      <c r="A25" s="15" t="s">
        <v>2095</v>
      </c>
      <c r="B25" s="35">
        <v>2500.0</v>
      </c>
      <c r="C25" s="15" t="s">
        <v>87</v>
      </c>
      <c r="D25" s="15" t="s">
        <v>1155</v>
      </c>
      <c r="E25" s="15"/>
      <c r="F25" s="33">
        <v>0.0</v>
      </c>
      <c r="G25" s="15">
        <v>0.0</v>
      </c>
      <c r="H25" s="33">
        <v>0.0</v>
      </c>
      <c r="I25" s="195">
        <v>0.0</v>
      </c>
      <c r="J25" s="19" t="str">
        <f t="shared" si="1"/>
        <v>sin stock</v>
      </c>
      <c r="K25" s="15"/>
      <c r="L25" s="20"/>
      <c r="M25" s="20"/>
      <c r="N25" s="20" t="str">
        <f t="shared" si="2"/>
        <v>SIN STOCK / CARGAR PRECIO</v>
      </c>
    </row>
    <row r="26" ht="15.75" customHeight="1">
      <c r="A26" s="15" t="s">
        <v>2096</v>
      </c>
      <c r="B26" s="35">
        <v>2500.0</v>
      </c>
      <c r="C26" s="15" t="s">
        <v>87</v>
      </c>
      <c r="D26" s="15" t="s">
        <v>1157</v>
      </c>
      <c r="E26" s="15"/>
      <c r="F26" s="33">
        <v>0.0</v>
      </c>
      <c r="G26" s="15">
        <v>0.0</v>
      </c>
      <c r="H26" s="33">
        <v>0.0</v>
      </c>
      <c r="I26" s="195">
        <v>0.0</v>
      </c>
      <c r="J26" s="19" t="str">
        <f t="shared" si="1"/>
        <v>sin stock</v>
      </c>
      <c r="K26" s="15"/>
      <c r="L26" s="20"/>
      <c r="M26" s="20"/>
      <c r="N26" s="20" t="str">
        <f t="shared" si="2"/>
        <v>SIN STOCK / CARGAR PRECIO</v>
      </c>
    </row>
    <row r="27" ht="15.75" customHeight="1">
      <c r="A27" s="196" t="s">
        <v>2097</v>
      </c>
      <c r="B27" s="197">
        <v>1500.0</v>
      </c>
      <c r="C27" s="196" t="s">
        <v>87</v>
      </c>
      <c r="D27" s="196" t="s">
        <v>706</v>
      </c>
      <c r="E27" s="196"/>
      <c r="F27" s="198">
        <v>0.0</v>
      </c>
      <c r="G27" s="196">
        <v>0.0</v>
      </c>
      <c r="H27" s="198">
        <v>0.0</v>
      </c>
      <c r="I27" s="199">
        <v>0.0</v>
      </c>
      <c r="J27" s="200" t="str">
        <f t="shared" si="1"/>
        <v>sin stock</v>
      </c>
      <c r="K27" s="196"/>
      <c r="L27" s="201"/>
      <c r="M27" s="201"/>
      <c r="N27" s="201" t="str">
        <f t="shared" si="2"/>
        <v>SIN STOCK / CARGAR PRECIO</v>
      </c>
    </row>
    <row r="28" ht="15.75" customHeight="1">
      <c r="A28" s="20" t="s">
        <v>2098</v>
      </c>
      <c r="B28" s="20">
        <v>25000.0</v>
      </c>
      <c r="C28" s="20" t="s">
        <v>703</v>
      </c>
      <c r="D28" s="15" t="s">
        <v>1079</v>
      </c>
      <c r="E28" s="15"/>
      <c r="F28" s="33">
        <v>0.0</v>
      </c>
      <c r="G28" s="15">
        <v>0.0</v>
      </c>
      <c r="H28" s="33">
        <v>0.0</v>
      </c>
      <c r="I28" s="19">
        <v>0.0</v>
      </c>
      <c r="J28" s="19" t="str">
        <f t="shared" si="1"/>
        <v>sin stock</v>
      </c>
      <c r="K28" s="15"/>
      <c r="L28" s="20"/>
      <c r="M28" s="20"/>
      <c r="N28" s="20" t="str">
        <f t="shared" si="2"/>
        <v>SIN STOCK / CARGAR PRECIO</v>
      </c>
    </row>
    <row r="29" ht="15.75" customHeight="1">
      <c r="A29" s="15" t="s">
        <v>272</v>
      </c>
      <c r="B29" s="35">
        <v>3000.0</v>
      </c>
      <c r="C29" s="15" t="s">
        <v>334</v>
      </c>
      <c r="D29" s="15" t="s">
        <v>1099</v>
      </c>
      <c r="E29" s="15"/>
      <c r="F29" s="33">
        <v>0.0</v>
      </c>
      <c r="G29" s="15">
        <v>0.0</v>
      </c>
      <c r="H29" s="33">
        <v>0.0</v>
      </c>
      <c r="I29" s="19">
        <v>0.0</v>
      </c>
      <c r="J29" s="19" t="str">
        <f t="shared" si="1"/>
        <v>sin stock</v>
      </c>
      <c r="K29" s="15"/>
      <c r="L29" s="20"/>
      <c r="M29" s="20"/>
      <c r="N29" s="20" t="str">
        <f t="shared" si="2"/>
        <v>SIN STOCK / CARGAR PRECIO</v>
      </c>
    </row>
    <row r="30" ht="15.75" customHeight="1">
      <c r="A30" s="15" t="s">
        <v>2099</v>
      </c>
      <c r="B30" s="35">
        <v>3500.0</v>
      </c>
      <c r="C30" s="15" t="s">
        <v>334</v>
      </c>
      <c r="D30" s="15" t="s">
        <v>842</v>
      </c>
      <c r="E30" s="15"/>
      <c r="F30" s="33">
        <v>0.0</v>
      </c>
      <c r="G30" s="15">
        <v>0.0</v>
      </c>
      <c r="H30" s="33">
        <v>0.0</v>
      </c>
      <c r="I30" s="19">
        <v>0.0</v>
      </c>
      <c r="J30" s="19" t="str">
        <f t="shared" si="1"/>
        <v>sin stock</v>
      </c>
      <c r="K30" s="15"/>
      <c r="L30" s="20"/>
      <c r="M30" s="20"/>
      <c r="N30" s="20" t="str">
        <f t="shared" si="2"/>
        <v>SIN STOCK / CARGAR PRECIO</v>
      </c>
    </row>
    <row r="31" ht="15.75" customHeight="1">
      <c r="A31" s="15" t="s">
        <v>2100</v>
      </c>
      <c r="B31" s="35">
        <v>5500.0</v>
      </c>
      <c r="C31" s="15" t="s">
        <v>334</v>
      </c>
      <c r="D31" s="15" t="s">
        <v>844</v>
      </c>
      <c r="E31" s="15"/>
      <c r="F31" s="33">
        <v>0.0</v>
      </c>
      <c r="G31" s="15">
        <v>0.0</v>
      </c>
      <c r="H31" s="33">
        <v>0.0</v>
      </c>
      <c r="I31" s="19">
        <v>0.0</v>
      </c>
      <c r="J31" s="19" t="str">
        <f t="shared" si="1"/>
        <v>sin stock</v>
      </c>
      <c r="K31" s="15"/>
      <c r="L31" s="20"/>
      <c r="M31" s="20"/>
      <c r="N31" s="20" t="str">
        <f t="shared" si="2"/>
        <v>SIN STOCK / CARGAR PRECIO</v>
      </c>
    </row>
    <row r="32" ht="15.75" customHeight="1">
      <c r="A32" s="15" t="s">
        <v>2101</v>
      </c>
      <c r="B32" s="35">
        <v>3500.0</v>
      </c>
      <c r="C32" s="15" t="s">
        <v>334</v>
      </c>
      <c r="D32" s="15" t="s">
        <v>848</v>
      </c>
      <c r="E32" s="15"/>
      <c r="F32" s="33">
        <v>0.0</v>
      </c>
      <c r="G32" s="15">
        <v>0.0</v>
      </c>
      <c r="H32" s="33">
        <v>0.0</v>
      </c>
      <c r="I32" s="19">
        <v>0.0</v>
      </c>
      <c r="J32" s="19" t="str">
        <f t="shared" si="1"/>
        <v>sin stock</v>
      </c>
      <c r="K32" s="15"/>
      <c r="L32" s="20"/>
      <c r="M32" s="20"/>
      <c r="N32" s="20" t="str">
        <f t="shared" si="2"/>
        <v>SIN STOCK / CARGAR PRECIO</v>
      </c>
    </row>
    <row r="33" ht="15.75" customHeight="1">
      <c r="A33" s="15" t="s">
        <v>2102</v>
      </c>
      <c r="B33" s="35">
        <v>3000.0</v>
      </c>
      <c r="C33" s="15" t="s">
        <v>334</v>
      </c>
      <c r="D33" s="15" t="s">
        <v>974</v>
      </c>
      <c r="E33" s="15"/>
      <c r="F33" s="33">
        <v>0.0</v>
      </c>
      <c r="G33" s="15">
        <v>0.0</v>
      </c>
      <c r="H33" s="33">
        <v>0.0</v>
      </c>
      <c r="I33" s="19">
        <v>0.0</v>
      </c>
      <c r="J33" s="19" t="str">
        <f t="shared" si="1"/>
        <v>sin stock</v>
      </c>
      <c r="K33" s="15"/>
      <c r="L33" s="20"/>
      <c r="M33" s="20"/>
      <c r="N33" s="20" t="str">
        <f t="shared" si="2"/>
        <v>SIN STOCK / CARGAR PRECIO</v>
      </c>
    </row>
    <row r="34" ht="15.75" customHeight="1">
      <c r="A34" s="15" t="s">
        <v>2103</v>
      </c>
      <c r="B34" s="35">
        <v>5000.0</v>
      </c>
      <c r="C34" s="15" t="s">
        <v>334</v>
      </c>
      <c r="D34" s="15" t="s">
        <v>978</v>
      </c>
      <c r="E34" s="15"/>
      <c r="F34" s="33">
        <v>0.0</v>
      </c>
      <c r="G34" s="15">
        <v>0.0</v>
      </c>
      <c r="H34" s="33">
        <v>0.0</v>
      </c>
      <c r="I34" s="19">
        <v>0.0</v>
      </c>
      <c r="J34" s="19" t="str">
        <f t="shared" si="1"/>
        <v>sin stock</v>
      </c>
      <c r="K34" s="15"/>
      <c r="L34" s="20"/>
      <c r="M34" s="20"/>
      <c r="N34" s="20" t="str">
        <f t="shared" si="2"/>
        <v>SIN STOCK / CARGAR PRECIO</v>
      </c>
    </row>
    <row r="35" ht="15.75" customHeight="1">
      <c r="A35" s="15" t="s">
        <v>2104</v>
      </c>
      <c r="B35" s="35">
        <v>1500.0</v>
      </c>
      <c r="C35" s="15" t="s">
        <v>297</v>
      </c>
      <c r="D35" s="15" t="s">
        <v>1222</v>
      </c>
      <c r="E35" s="15"/>
      <c r="F35" s="194">
        <v>0.0</v>
      </c>
      <c r="G35" s="15">
        <v>0.0</v>
      </c>
      <c r="H35" s="33">
        <v>0.0</v>
      </c>
      <c r="I35" s="19">
        <v>0.0</v>
      </c>
      <c r="J35" s="19" t="str">
        <f t="shared" si="1"/>
        <v>sin stock</v>
      </c>
      <c r="K35" s="15"/>
      <c r="L35" s="20"/>
      <c r="M35" s="20"/>
      <c r="N35" s="20" t="str">
        <f t="shared" si="2"/>
        <v>SIN STOCK / CARGAR PRECIO</v>
      </c>
    </row>
    <row r="36" ht="15.75" customHeight="1">
      <c r="A36" s="15" t="s">
        <v>2105</v>
      </c>
      <c r="B36" s="35">
        <v>1200.0</v>
      </c>
      <c r="C36" s="15" t="s">
        <v>502</v>
      </c>
      <c r="D36" s="15" t="s">
        <v>361</v>
      </c>
      <c r="E36" s="15"/>
      <c r="F36" s="33">
        <v>0.0</v>
      </c>
      <c r="G36" s="15">
        <v>0.0</v>
      </c>
      <c r="H36" s="33">
        <v>0.0</v>
      </c>
      <c r="I36" s="19">
        <v>0.0</v>
      </c>
      <c r="J36" s="19" t="str">
        <f t="shared" si="1"/>
        <v>sin stock</v>
      </c>
      <c r="K36" s="15"/>
      <c r="L36" s="20"/>
      <c r="M36" s="20"/>
      <c r="N36" s="20" t="str">
        <f t="shared" si="2"/>
        <v>SIN STOCK / CARGAR PRECIO</v>
      </c>
    </row>
    <row r="37" ht="15.75" customHeight="1">
      <c r="A37" s="15" t="s">
        <v>2106</v>
      </c>
      <c r="B37" s="35">
        <v>6000.0</v>
      </c>
      <c r="C37" s="15" t="s">
        <v>297</v>
      </c>
      <c r="D37" s="15" t="s">
        <v>526</v>
      </c>
      <c r="E37" s="15"/>
      <c r="F37" s="33">
        <v>0.0</v>
      </c>
      <c r="G37" s="15">
        <v>0.0</v>
      </c>
      <c r="H37" s="33">
        <v>0.0</v>
      </c>
      <c r="I37" s="19">
        <v>0.0</v>
      </c>
      <c r="J37" s="19" t="str">
        <f t="shared" si="1"/>
        <v>sin stock</v>
      </c>
      <c r="K37" s="15"/>
      <c r="L37" s="20"/>
      <c r="M37" s="20"/>
      <c r="N37" s="20" t="str">
        <f t="shared" si="2"/>
        <v>SIN STOCK / CARGAR PRECIO</v>
      </c>
    </row>
    <row r="38" ht="15.75" customHeight="1">
      <c r="A38" s="15" t="s">
        <v>2107</v>
      </c>
      <c r="B38" s="35">
        <v>7000.0</v>
      </c>
      <c r="C38" s="15" t="s">
        <v>297</v>
      </c>
      <c r="D38" s="15" t="s">
        <v>387</v>
      </c>
      <c r="E38" s="15"/>
      <c r="F38" s="194">
        <v>0.0</v>
      </c>
      <c r="G38" s="15">
        <v>0.0</v>
      </c>
      <c r="H38" s="33">
        <v>0.0</v>
      </c>
      <c r="I38" s="19">
        <v>0.0</v>
      </c>
      <c r="J38" s="19" t="str">
        <f t="shared" si="1"/>
        <v>sin stock</v>
      </c>
      <c r="K38" s="15"/>
      <c r="L38" s="20"/>
      <c r="M38" s="20"/>
      <c r="N38" s="20" t="str">
        <f t="shared" si="2"/>
        <v>SIN STOCK / CARGAR PRECIO</v>
      </c>
    </row>
    <row r="39" ht="15.75" customHeight="1">
      <c r="A39" s="15" t="s">
        <v>2108</v>
      </c>
      <c r="B39" s="35">
        <v>3500.0</v>
      </c>
      <c r="C39" s="15" t="s">
        <v>297</v>
      </c>
      <c r="D39" s="15" t="s">
        <v>728</v>
      </c>
      <c r="E39" s="15"/>
      <c r="F39" s="33">
        <v>0.0</v>
      </c>
      <c r="G39" s="15">
        <v>0.0</v>
      </c>
      <c r="H39" s="33">
        <v>0.0</v>
      </c>
      <c r="I39" s="19">
        <v>0.0</v>
      </c>
      <c r="J39" s="19" t="str">
        <f t="shared" si="1"/>
        <v>sin stock</v>
      </c>
      <c r="K39" s="15"/>
      <c r="L39" s="20"/>
      <c r="M39" s="20"/>
      <c r="N39" s="20" t="str">
        <f t="shared" si="2"/>
        <v>SIN STOCK / CARGAR PRECIO</v>
      </c>
    </row>
    <row r="40" ht="15.75" customHeight="1">
      <c r="A40" s="15" t="s">
        <v>2109</v>
      </c>
      <c r="B40" s="35">
        <v>3000.0</v>
      </c>
      <c r="C40" s="15" t="s">
        <v>297</v>
      </c>
      <c r="D40" s="15" t="s">
        <v>122</v>
      </c>
      <c r="E40" s="15"/>
      <c r="F40" s="33">
        <v>0.0</v>
      </c>
      <c r="G40" s="15">
        <v>0.0</v>
      </c>
      <c r="H40" s="33">
        <v>0.0</v>
      </c>
      <c r="I40" s="19">
        <v>0.0</v>
      </c>
      <c r="J40" s="19" t="str">
        <f t="shared" si="1"/>
        <v>sin stock</v>
      </c>
      <c r="K40" s="15"/>
      <c r="L40" s="20"/>
      <c r="M40" s="20"/>
      <c r="N40" s="20" t="str">
        <f t="shared" si="2"/>
        <v>SIN STOCK / CARGAR PRECIO</v>
      </c>
    </row>
    <row r="41" ht="15.75" customHeight="1">
      <c r="A41" s="15" t="s">
        <v>2110</v>
      </c>
      <c r="B41" s="35">
        <v>2500.0</v>
      </c>
      <c r="C41" s="15" t="s">
        <v>582</v>
      </c>
      <c r="D41" s="15" t="s">
        <v>663</v>
      </c>
      <c r="E41" s="15"/>
      <c r="F41" s="33">
        <v>0.0</v>
      </c>
      <c r="G41" s="15">
        <v>0.0</v>
      </c>
      <c r="H41" s="33">
        <v>0.0</v>
      </c>
      <c r="I41" s="19">
        <v>0.0</v>
      </c>
      <c r="J41" s="19" t="str">
        <f t="shared" si="1"/>
        <v>sin stock</v>
      </c>
      <c r="K41" s="15"/>
      <c r="L41" s="20"/>
      <c r="M41" s="20"/>
      <c r="N41" s="20" t="str">
        <f t="shared" si="2"/>
        <v>SIN STOCK / CARGAR PRECIO</v>
      </c>
    </row>
    <row r="42" ht="15.75" customHeight="1">
      <c r="A42" s="15" t="s">
        <v>2111</v>
      </c>
      <c r="B42" s="35">
        <v>5000.0</v>
      </c>
      <c r="C42" s="15" t="s">
        <v>1019</v>
      </c>
      <c r="D42" s="15" t="s">
        <v>1183</v>
      </c>
      <c r="E42" s="15"/>
      <c r="F42" s="194">
        <v>0.0</v>
      </c>
      <c r="G42" s="15">
        <v>0.0</v>
      </c>
      <c r="H42" s="33">
        <v>0.0</v>
      </c>
      <c r="I42" s="19">
        <v>0.0</v>
      </c>
      <c r="J42" s="19" t="str">
        <f t="shared" si="1"/>
        <v>sin stock</v>
      </c>
      <c r="K42" s="15">
        <v>7000.0</v>
      </c>
      <c r="L42" s="20"/>
      <c r="M42" s="20"/>
      <c r="N42" s="20" t="str">
        <f t="shared" si="2"/>
        <v>SIN STOCK / CARGAR PRECIO</v>
      </c>
    </row>
    <row r="43" ht="15.75" customHeight="1">
      <c r="A43" s="15" t="s">
        <v>2112</v>
      </c>
      <c r="B43" s="35">
        <v>5000.0</v>
      </c>
      <c r="C43" s="15" t="s">
        <v>87</v>
      </c>
      <c r="D43" s="15" t="s">
        <v>852</v>
      </c>
      <c r="E43" s="15"/>
      <c r="F43" s="33">
        <v>0.0</v>
      </c>
      <c r="G43" s="15">
        <v>0.0</v>
      </c>
      <c r="H43" s="33">
        <v>0.0</v>
      </c>
      <c r="I43" s="19">
        <v>0.0</v>
      </c>
      <c r="J43" s="19" t="str">
        <f t="shared" si="1"/>
        <v>sin stock</v>
      </c>
      <c r="K43" s="15"/>
      <c r="L43" s="20"/>
      <c r="M43" s="20"/>
      <c r="N43" s="20" t="str">
        <f t="shared" si="2"/>
        <v>SIN STOCK / CARGAR PRECIO</v>
      </c>
    </row>
    <row r="44" ht="15.75" customHeight="1">
      <c r="A44" s="15" t="s">
        <v>2113</v>
      </c>
      <c r="B44" s="35">
        <v>3500.0</v>
      </c>
      <c r="C44" s="15" t="s">
        <v>87</v>
      </c>
      <c r="D44" s="15" t="s">
        <v>856</v>
      </c>
      <c r="E44" s="15"/>
      <c r="F44" s="33">
        <v>0.0</v>
      </c>
      <c r="G44" s="15">
        <v>0.0</v>
      </c>
      <c r="H44" s="33">
        <v>0.0</v>
      </c>
      <c r="I44" s="19">
        <v>0.0</v>
      </c>
      <c r="J44" s="19" t="str">
        <f t="shared" si="1"/>
        <v>sin stock</v>
      </c>
      <c r="K44" s="15"/>
      <c r="L44" s="20"/>
      <c r="M44" s="20"/>
      <c r="N44" s="20" t="str">
        <f t="shared" si="2"/>
        <v>SIN STOCK / CARGAR PRECIO</v>
      </c>
    </row>
    <row r="45" ht="15.75" customHeight="1">
      <c r="A45" s="15" t="s">
        <v>2114</v>
      </c>
      <c r="B45" s="35">
        <v>4000.0</v>
      </c>
      <c r="C45" s="15" t="s">
        <v>87</v>
      </c>
      <c r="D45" s="15" t="s">
        <v>375</v>
      </c>
      <c r="E45" s="15"/>
      <c r="F45" s="33">
        <v>0.0</v>
      </c>
      <c r="G45" s="15">
        <v>0.0</v>
      </c>
      <c r="H45" s="33">
        <v>0.0</v>
      </c>
      <c r="I45" s="19">
        <v>0.0</v>
      </c>
      <c r="J45" s="19" t="str">
        <f t="shared" si="1"/>
        <v>sin stock</v>
      </c>
      <c r="K45" s="15"/>
      <c r="L45" s="20"/>
      <c r="M45" s="20"/>
      <c r="N45" s="20" t="str">
        <f t="shared" si="2"/>
        <v>SIN STOCK / CARGAR PRECIO</v>
      </c>
    </row>
    <row r="46" ht="15.75" customHeight="1">
      <c r="A46" s="15" t="s">
        <v>2115</v>
      </c>
      <c r="B46" s="35">
        <v>5000.0</v>
      </c>
      <c r="C46" s="15" t="s">
        <v>87</v>
      </c>
      <c r="D46" s="15" t="s">
        <v>858</v>
      </c>
      <c r="E46" s="15"/>
      <c r="F46" s="33">
        <v>0.0</v>
      </c>
      <c r="G46" s="15">
        <v>0.0</v>
      </c>
      <c r="H46" s="33">
        <v>0.0</v>
      </c>
      <c r="I46" s="19">
        <v>0.0</v>
      </c>
      <c r="J46" s="19" t="str">
        <f t="shared" si="1"/>
        <v>sin stock</v>
      </c>
      <c r="K46" s="15"/>
      <c r="L46" s="20"/>
      <c r="M46" s="20"/>
      <c r="N46" s="20" t="str">
        <f t="shared" si="2"/>
        <v>SIN STOCK / CARGAR PRECIO</v>
      </c>
    </row>
    <row r="47" ht="15.75" customHeight="1">
      <c r="A47" s="15" t="s">
        <v>2116</v>
      </c>
      <c r="B47" s="35">
        <v>5000.0</v>
      </c>
      <c r="C47" s="15" t="s">
        <v>87</v>
      </c>
      <c r="D47" s="15" t="s">
        <v>860</v>
      </c>
      <c r="E47" s="15"/>
      <c r="F47" s="33">
        <v>0.0</v>
      </c>
      <c r="G47" s="15">
        <v>0.0</v>
      </c>
      <c r="H47" s="33">
        <v>0.0</v>
      </c>
      <c r="I47" s="19">
        <v>0.0</v>
      </c>
      <c r="J47" s="19" t="str">
        <f t="shared" si="1"/>
        <v>sin stock</v>
      </c>
      <c r="K47" s="15"/>
      <c r="L47" s="20"/>
      <c r="M47" s="20"/>
      <c r="N47" s="20" t="str">
        <f t="shared" si="2"/>
        <v>SIN STOCK / CARGAR PRECIO</v>
      </c>
    </row>
    <row r="48" ht="15.75" customHeight="1">
      <c r="A48" s="15" t="s">
        <v>2117</v>
      </c>
      <c r="B48" s="35">
        <v>3500.0</v>
      </c>
      <c r="C48" s="15" t="s">
        <v>87</v>
      </c>
      <c r="D48" s="15" t="s">
        <v>822</v>
      </c>
      <c r="E48" s="15"/>
      <c r="F48" s="33">
        <v>0.0</v>
      </c>
      <c r="G48" s="15">
        <v>0.0</v>
      </c>
      <c r="H48" s="33">
        <v>0.0</v>
      </c>
      <c r="I48" s="19">
        <v>0.0</v>
      </c>
      <c r="J48" s="19" t="str">
        <f t="shared" si="1"/>
        <v>sin stock</v>
      </c>
      <c r="K48" s="15"/>
      <c r="L48" s="20"/>
      <c r="M48" s="20"/>
      <c r="N48" s="20" t="str">
        <f t="shared" si="2"/>
        <v>SIN STOCK / CARGAR PRECIO</v>
      </c>
    </row>
    <row r="49" ht="15.75" customHeight="1">
      <c r="A49" s="15" t="s">
        <v>2118</v>
      </c>
      <c r="B49" s="35">
        <v>900.0</v>
      </c>
      <c r="C49" s="15" t="s">
        <v>383</v>
      </c>
      <c r="D49" s="15" t="s">
        <v>339</v>
      </c>
      <c r="E49" s="15"/>
      <c r="F49" s="33">
        <v>0.0</v>
      </c>
      <c r="G49" s="15">
        <v>0.0</v>
      </c>
      <c r="H49" s="33">
        <v>0.0</v>
      </c>
      <c r="I49" s="19">
        <v>0.0</v>
      </c>
      <c r="J49" s="19" t="str">
        <f t="shared" si="1"/>
        <v>sin stock</v>
      </c>
      <c r="K49" s="15"/>
      <c r="L49" s="20"/>
      <c r="M49" s="20"/>
      <c r="N49" s="20" t="str">
        <f t="shared" si="2"/>
        <v>SIN STOCK / CARGAR PRECIO</v>
      </c>
    </row>
    <row r="50" ht="15.75" customHeight="1">
      <c r="A50" s="15" t="s">
        <v>2119</v>
      </c>
      <c r="B50" s="35">
        <v>1000.0</v>
      </c>
      <c r="C50" s="15" t="s">
        <v>582</v>
      </c>
      <c r="D50" s="15" t="s">
        <v>665</v>
      </c>
      <c r="E50" s="15"/>
      <c r="F50" s="33">
        <v>0.0</v>
      </c>
      <c r="G50" s="15">
        <v>0.0</v>
      </c>
      <c r="H50" s="33">
        <v>0.0</v>
      </c>
      <c r="I50" s="19">
        <v>0.0</v>
      </c>
      <c r="J50" s="19" t="str">
        <f t="shared" si="1"/>
        <v>sin stock</v>
      </c>
      <c r="K50" s="15"/>
      <c r="L50" s="20"/>
      <c r="M50" s="20"/>
      <c r="N50" s="20" t="str">
        <f t="shared" si="2"/>
        <v>SIN STOCK / CARGAR PRECIO</v>
      </c>
    </row>
    <row r="51" ht="15.75" customHeight="1">
      <c r="A51" s="15" t="s">
        <v>2120</v>
      </c>
      <c r="B51" s="35">
        <v>15000.0</v>
      </c>
      <c r="C51" s="15" t="s">
        <v>334</v>
      </c>
      <c r="D51" s="15" t="s">
        <v>1109</v>
      </c>
      <c r="E51" s="15"/>
      <c r="F51" s="33">
        <v>0.0</v>
      </c>
      <c r="G51" s="15">
        <v>0.0</v>
      </c>
      <c r="H51" s="33">
        <v>0.0</v>
      </c>
      <c r="I51" s="19">
        <v>0.0</v>
      </c>
      <c r="J51" s="19" t="str">
        <f t="shared" si="1"/>
        <v>sin stock</v>
      </c>
      <c r="K51" s="15"/>
      <c r="L51" s="20"/>
      <c r="M51" s="20"/>
      <c r="N51" s="20" t="str">
        <f t="shared" si="2"/>
        <v>SIN STOCK / CARGAR PRECIO</v>
      </c>
    </row>
    <row r="52" ht="15.75" customHeight="1">
      <c r="A52" s="14" t="s">
        <v>2121</v>
      </c>
      <c r="B52" s="78">
        <v>6000.0</v>
      </c>
      <c r="C52" s="15" t="s">
        <v>1019</v>
      </c>
      <c r="D52" s="15" t="s">
        <v>339</v>
      </c>
      <c r="E52" s="15"/>
      <c r="F52" s="194">
        <v>0.0</v>
      </c>
      <c r="G52" s="33">
        <v>0.0</v>
      </c>
      <c r="H52" s="33">
        <v>0.0</v>
      </c>
      <c r="I52" s="29">
        <v>0.0</v>
      </c>
      <c r="J52" s="19" t="str">
        <f t="shared" si="1"/>
        <v>sin stock</v>
      </c>
      <c r="K52" s="20" t="str">
        <f t="array" ref="K52">IF(OR(F52&lt;=0, B52&lt;=0), "SIN STOCK / CARGAR PRECIO", 
IF(B52="", "CARGAR PRECIO",
IF(AND(ISNUMBER(G52), G52&gt;0), 
 B52 * VLOOKUP(G52, {1,0.5; 2,0.6667; 3,0.75; 4,0.8; 5,0.8333; 6,0.8571; 10,0.75}, 2, FALSE), 
 IF(AND(ISNUMBER(H52), H52&gt;0), 
  B52 * (1 - H52/100), 
  IF(I52=1, 
   B52 * 0.9, 
   "NORMAL / SIN OFERTA")))))</f>
        <v>SIN STOCK / CARGAR PRECIO</v>
      </c>
      <c r="L52" s="15">
        <v>7300.0</v>
      </c>
      <c r="M52" s="20"/>
      <c r="N52" s="40">
        <v>3.0</v>
      </c>
      <c r="O52" s="201"/>
      <c r="P52" s="201"/>
      <c r="Q52" s="201"/>
      <c r="R52" s="201"/>
      <c r="S52" s="201"/>
      <c r="T52" s="201"/>
    </row>
    <row r="53" ht="15.75" customHeight="1">
      <c r="A53" s="15" t="s">
        <v>2122</v>
      </c>
      <c r="B53" s="35">
        <v>2100.0</v>
      </c>
      <c r="C53" s="15" t="s">
        <v>502</v>
      </c>
      <c r="D53" s="15" t="s">
        <v>779</v>
      </c>
      <c r="E53" s="15"/>
      <c r="F53" s="194">
        <v>0.0</v>
      </c>
      <c r="G53" s="15">
        <v>0.0</v>
      </c>
      <c r="H53" s="33">
        <v>0.0</v>
      </c>
      <c r="I53" s="19">
        <v>0.0</v>
      </c>
      <c r="J53" s="19" t="str">
        <f t="shared" si="1"/>
        <v>sin stock</v>
      </c>
      <c r="K53" s="15"/>
      <c r="L53" s="20"/>
      <c r="M53" s="20"/>
      <c r="N53" s="20" t="str">
        <f t="shared" ref="N53:N159" si="3">IF(OR(F53&lt;=0, B53&lt;=0), "SIN STOCK / CARGAR PRECIO", 
IF(B53="", "CARGAR PRECIO",
IF(AND(ISNUMBER(G53), G53&gt;0), 
 B53 * VLOOKUP(G53, {1,0.5; 2,0.6667; 3,0.75; 4,0.8; 5,0.8333; 6,0.8571; 10,0.75}, 2, FALSE), 
 IF(AND(ISNUMBER(H53), H53&gt;0), 
  B53 * (1 - H53/100), 
  IF(I53=1, 
   B53 * 0.9, 
   "NORMAL / SIN OFERTA")))))</f>
        <v>SIN STOCK / CARGAR PRECIO</v>
      </c>
    </row>
    <row r="54" ht="15.75" customHeight="1">
      <c r="A54" s="15" t="s">
        <v>2123</v>
      </c>
      <c r="B54" s="35">
        <v>3000.0</v>
      </c>
      <c r="C54" s="15" t="s">
        <v>502</v>
      </c>
      <c r="D54" s="15" t="s">
        <v>144</v>
      </c>
      <c r="E54" s="15"/>
      <c r="F54" s="194">
        <v>0.0</v>
      </c>
      <c r="G54" s="15">
        <v>0.0</v>
      </c>
      <c r="H54" s="33">
        <v>0.0</v>
      </c>
      <c r="I54" s="19">
        <v>0.0</v>
      </c>
      <c r="J54" s="19" t="str">
        <f t="shared" si="1"/>
        <v>sin stock</v>
      </c>
      <c r="K54" s="15"/>
      <c r="L54" s="20"/>
      <c r="M54" s="20"/>
      <c r="N54" s="20" t="str">
        <f t="shared" si="3"/>
        <v>SIN STOCK / CARGAR PRECIO</v>
      </c>
    </row>
    <row r="55" ht="15.75" customHeight="1">
      <c r="A55" s="15" t="s">
        <v>2124</v>
      </c>
      <c r="B55" s="35">
        <v>2000.0</v>
      </c>
      <c r="C55" s="15" t="s">
        <v>502</v>
      </c>
      <c r="D55" s="15" t="s">
        <v>708</v>
      </c>
      <c r="E55" s="15"/>
      <c r="F55" s="194">
        <v>0.0</v>
      </c>
      <c r="G55" s="15">
        <v>0.0</v>
      </c>
      <c r="H55" s="33">
        <v>0.0</v>
      </c>
      <c r="I55" s="19">
        <v>0.0</v>
      </c>
      <c r="J55" s="19" t="str">
        <f t="shared" si="1"/>
        <v>sin stock</v>
      </c>
      <c r="K55" s="15"/>
      <c r="L55" s="20"/>
      <c r="M55" s="20"/>
      <c r="N55" s="20" t="str">
        <f t="shared" si="3"/>
        <v>SIN STOCK / CARGAR PRECIO</v>
      </c>
    </row>
    <row r="56" ht="15.75" customHeight="1">
      <c r="A56" s="15" t="s">
        <v>2125</v>
      </c>
      <c r="B56" s="35">
        <v>3000.0</v>
      </c>
      <c r="C56" s="15" t="s">
        <v>502</v>
      </c>
      <c r="D56" s="15" t="s">
        <v>420</v>
      </c>
      <c r="E56" s="15"/>
      <c r="F56" s="33">
        <v>0.0</v>
      </c>
      <c r="G56" s="15">
        <v>0.0</v>
      </c>
      <c r="H56" s="33">
        <v>0.0</v>
      </c>
      <c r="I56" s="19">
        <v>0.0</v>
      </c>
      <c r="J56" s="19" t="str">
        <f t="shared" si="1"/>
        <v>sin stock</v>
      </c>
      <c r="K56" s="15"/>
      <c r="L56" s="20"/>
      <c r="M56" s="20"/>
      <c r="N56" s="20" t="str">
        <f t="shared" si="3"/>
        <v>SIN STOCK / CARGAR PRECIO</v>
      </c>
    </row>
    <row r="57" ht="15.75" customHeight="1">
      <c r="A57" s="196" t="s">
        <v>2126</v>
      </c>
      <c r="B57" s="197">
        <v>2000.0</v>
      </c>
      <c r="C57" s="196" t="s">
        <v>502</v>
      </c>
      <c r="D57" s="196" t="s">
        <v>422</v>
      </c>
      <c r="E57" s="196"/>
      <c r="F57" s="198">
        <v>0.0</v>
      </c>
      <c r="G57" s="196">
        <v>0.0</v>
      </c>
      <c r="H57" s="198">
        <v>0.0</v>
      </c>
      <c r="I57" s="200">
        <v>0.0</v>
      </c>
      <c r="J57" s="200" t="str">
        <f t="shared" si="1"/>
        <v>sin stock</v>
      </c>
      <c r="K57" s="196"/>
      <c r="L57" s="201"/>
      <c r="M57" s="201"/>
      <c r="N57" s="201" t="str">
        <f t="shared" si="3"/>
        <v>SIN STOCK / CARGAR PRECIO</v>
      </c>
    </row>
    <row r="58" ht="15.75" customHeight="1">
      <c r="A58" s="15" t="s">
        <v>2127</v>
      </c>
      <c r="B58" s="35">
        <v>2000.0</v>
      </c>
      <c r="C58" s="15" t="s">
        <v>502</v>
      </c>
      <c r="D58" s="15" t="s">
        <v>424</v>
      </c>
      <c r="E58" s="15"/>
      <c r="F58" s="33">
        <v>0.0</v>
      </c>
      <c r="G58" s="15">
        <v>0.0</v>
      </c>
      <c r="H58" s="33">
        <v>0.0</v>
      </c>
      <c r="I58" s="19">
        <v>0.0</v>
      </c>
      <c r="J58" s="19" t="str">
        <f t="shared" si="1"/>
        <v>sin stock</v>
      </c>
      <c r="K58" s="15"/>
      <c r="L58" s="20"/>
      <c r="M58" s="20"/>
      <c r="N58" s="20" t="str">
        <f t="shared" si="3"/>
        <v>SIN STOCK / CARGAR PRECIO</v>
      </c>
    </row>
    <row r="59" ht="15.75" customHeight="1">
      <c r="A59" s="15" t="s">
        <v>2128</v>
      </c>
      <c r="B59" s="35">
        <v>2000.0</v>
      </c>
      <c r="C59" s="15" t="s">
        <v>502</v>
      </c>
      <c r="D59" s="15" t="s">
        <v>874</v>
      </c>
      <c r="E59" s="15"/>
      <c r="F59" s="33">
        <v>0.0</v>
      </c>
      <c r="G59" s="15">
        <v>0.0</v>
      </c>
      <c r="H59" s="33">
        <v>0.0</v>
      </c>
      <c r="I59" s="19">
        <v>0.0</v>
      </c>
      <c r="J59" s="19" t="str">
        <f t="shared" si="1"/>
        <v>sin stock</v>
      </c>
      <c r="K59" s="15"/>
      <c r="L59" s="20"/>
      <c r="M59" s="20"/>
      <c r="N59" s="20" t="str">
        <f t="shared" si="3"/>
        <v>SIN STOCK / CARGAR PRECIO</v>
      </c>
    </row>
    <row r="60" ht="15.75" customHeight="1">
      <c r="A60" s="15" t="s">
        <v>2129</v>
      </c>
      <c r="B60" s="35">
        <v>2000.0</v>
      </c>
      <c r="C60" s="15" t="s">
        <v>502</v>
      </c>
      <c r="D60" s="15" t="s">
        <v>878</v>
      </c>
      <c r="E60" s="15"/>
      <c r="F60" s="194">
        <v>0.0</v>
      </c>
      <c r="G60" s="15">
        <v>0.0</v>
      </c>
      <c r="H60" s="33">
        <v>0.0</v>
      </c>
      <c r="I60" s="19">
        <v>0.0</v>
      </c>
      <c r="J60" s="19" t="str">
        <f t="shared" si="1"/>
        <v>sin stock</v>
      </c>
      <c r="K60" s="15"/>
      <c r="L60" s="20"/>
      <c r="M60" s="20"/>
      <c r="N60" s="20" t="str">
        <f t="shared" si="3"/>
        <v>SIN STOCK / CARGAR PRECIO</v>
      </c>
    </row>
    <row r="61" ht="15.75" customHeight="1">
      <c r="A61" s="15" t="s">
        <v>2130</v>
      </c>
      <c r="B61" s="35">
        <v>1500.0</v>
      </c>
      <c r="C61" s="15" t="s">
        <v>502</v>
      </c>
      <c r="D61" s="15" t="s">
        <v>884</v>
      </c>
      <c r="E61" s="15"/>
      <c r="F61" s="194">
        <v>0.0</v>
      </c>
      <c r="G61" s="15">
        <v>0.0</v>
      </c>
      <c r="H61" s="33">
        <v>0.0</v>
      </c>
      <c r="I61" s="19">
        <v>0.0</v>
      </c>
      <c r="J61" s="19" t="str">
        <f t="shared" si="1"/>
        <v>sin stock</v>
      </c>
      <c r="K61" s="15"/>
      <c r="L61" s="20"/>
      <c r="M61" s="20"/>
      <c r="N61" s="20" t="str">
        <f t="shared" si="3"/>
        <v>SIN STOCK / CARGAR PRECIO</v>
      </c>
    </row>
    <row r="62" ht="15.75" customHeight="1">
      <c r="A62" s="15" t="s">
        <v>2131</v>
      </c>
      <c r="B62" s="35">
        <v>2000.0</v>
      </c>
      <c r="C62" s="15" t="s">
        <v>502</v>
      </c>
      <c r="D62" s="15" t="s">
        <v>432</v>
      </c>
      <c r="E62" s="15"/>
      <c r="F62" s="33">
        <v>0.0</v>
      </c>
      <c r="G62" s="15">
        <v>0.0</v>
      </c>
      <c r="H62" s="33">
        <v>0.0</v>
      </c>
      <c r="I62" s="19">
        <v>0.0</v>
      </c>
      <c r="J62" s="19" t="str">
        <f t="shared" si="1"/>
        <v>sin stock</v>
      </c>
      <c r="K62" s="15"/>
      <c r="L62" s="20"/>
      <c r="M62" s="20"/>
      <c r="N62" s="20" t="str">
        <f t="shared" si="3"/>
        <v>SIN STOCK / CARGAR PRECIO</v>
      </c>
    </row>
    <row r="63" ht="15.75" customHeight="1">
      <c r="A63" s="15" t="s">
        <v>2132</v>
      </c>
      <c r="B63" s="35">
        <v>2000.0</v>
      </c>
      <c r="C63" s="15" t="s">
        <v>502</v>
      </c>
      <c r="D63" s="15" t="s">
        <v>448</v>
      </c>
      <c r="E63" s="15"/>
      <c r="F63" s="33">
        <v>0.0</v>
      </c>
      <c r="G63" s="15">
        <v>0.0</v>
      </c>
      <c r="H63" s="33">
        <v>0.0</v>
      </c>
      <c r="I63" s="19">
        <v>0.0</v>
      </c>
      <c r="J63" s="19" t="str">
        <f t="shared" si="1"/>
        <v>sin stock</v>
      </c>
      <c r="K63" s="15"/>
      <c r="L63" s="20"/>
      <c r="M63" s="20"/>
      <c r="N63" s="20" t="str">
        <f t="shared" si="3"/>
        <v>SIN STOCK / CARGAR PRECIO</v>
      </c>
    </row>
    <row r="64" ht="15.75" customHeight="1">
      <c r="A64" s="15" t="s">
        <v>2133</v>
      </c>
      <c r="B64" s="35">
        <v>1500.0</v>
      </c>
      <c r="C64" s="15" t="s">
        <v>502</v>
      </c>
      <c r="D64" s="15" t="s">
        <v>1057</v>
      </c>
      <c r="E64" s="15"/>
      <c r="F64" s="33">
        <v>0.0</v>
      </c>
      <c r="G64" s="15">
        <v>0.0</v>
      </c>
      <c r="H64" s="33">
        <v>0.0</v>
      </c>
      <c r="I64" s="19">
        <v>0.0</v>
      </c>
      <c r="J64" s="19" t="str">
        <f t="shared" si="1"/>
        <v>sin stock</v>
      </c>
      <c r="K64" s="15"/>
      <c r="L64" s="20"/>
      <c r="M64" s="20"/>
      <c r="N64" s="20" t="str">
        <f t="shared" si="3"/>
        <v>SIN STOCK / CARGAR PRECIO</v>
      </c>
    </row>
    <row r="65" ht="15.75" customHeight="1">
      <c r="A65" s="196" t="s">
        <v>2134</v>
      </c>
      <c r="B65" s="197">
        <v>1500.0</v>
      </c>
      <c r="C65" s="196" t="s">
        <v>502</v>
      </c>
      <c r="D65" s="196" t="s">
        <v>781</v>
      </c>
      <c r="E65" s="196"/>
      <c r="F65" s="202">
        <v>0.0</v>
      </c>
      <c r="G65" s="196">
        <v>0.0</v>
      </c>
      <c r="H65" s="198">
        <v>0.0</v>
      </c>
      <c r="I65" s="200">
        <v>0.0</v>
      </c>
      <c r="J65" s="200" t="str">
        <f t="shared" si="1"/>
        <v>sin stock</v>
      </c>
      <c r="K65" s="196"/>
      <c r="L65" s="201"/>
      <c r="M65" s="201"/>
      <c r="N65" s="201" t="str">
        <f t="shared" si="3"/>
        <v>SIN STOCK / CARGAR PRECIO</v>
      </c>
    </row>
    <row r="66" ht="15.75" customHeight="1">
      <c r="A66" s="15" t="s">
        <v>2135</v>
      </c>
      <c r="B66" s="35">
        <v>4000.0</v>
      </c>
      <c r="C66" s="15" t="s">
        <v>502</v>
      </c>
      <c r="D66" s="15" t="s">
        <v>461</v>
      </c>
      <c r="E66" s="15"/>
      <c r="F66" s="33">
        <v>0.0</v>
      </c>
      <c r="G66" s="15">
        <v>0.0</v>
      </c>
      <c r="H66" s="33">
        <v>0.0</v>
      </c>
      <c r="I66" s="19">
        <v>0.0</v>
      </c>
      <c r="J66" s="19" t="str">
        <f t="shared" si="1"/>
        <v>sin stock</v>
      </c>
      <c r="K66" s="15"/>
      <c r="L66" s="20"/>
      <c r="M66" s="20"/>
      <c r="N66" s="20" t="str">
        <f t="shared" si="3"/>
        <v>SIN STOCK / CARGAR PRECIO</v>
      </c>
    </row>
    <row r="67" ht="15.75" customHeight="1">
      <c r="A67" s="196" t="s">
        <v>2136</v>
      </c>
      <c r="B67" s="197">
        <v>2000.0</v>
      </c>
      <c r="C67" s="196" t="s">
        <v>502</v>
      </c>
      <c r="D67" s="196" t="s">
        <v>463</v>
      </c>
      <c r="E67" s="196"/>
      <c r="F67" s="198">
        <v>0.0</v>
      </c>
      <c r="G67" s="196">
        <v>0.0</v>
      </c>
      <c r="H67" s="198">
        <v>0.0</v>
      </c>
      <c r="I67" s="200">
        <v>0.0</v>
      </c>
      <c r="J67" s="200" t="str">
        <f t="shared" si="1"/>
        <v>sin stock</v>
      </c>
      <c r="K67" s="196"/>
      <c r="L67" s="201"/>
      <c r="M67" s="201"/>
      <c r="N67" s="201" t="str">
        <f t="shared" si="3"/>
        <v>SIN STOCK / CARGAR PRECIO</v>
      </c>
    </row>
    <row r="68" ht="15.75" customHeight="1">
      <c r="A68" s="15" t="s">
        <v>2137</v>
      </c>
      <c r="B68" s="35">
        <v>10000.0</v>
      </c>
      <c r="C68" s="15" t="s">
        <v>334</v>
      </c>
      <c r="D68" s="15" t="s">
        <v>888</v>
      </c>
      <c r="E68" s="15"/>
      <c r="F68" s="33">
        <v>0.0</v>
      </c>
      <c r="G68" s="15">
        <v>0.0</v>
      </c>
      <c r="H68" s="33">
        <v>0.0</v>
      </c>
      <c r="I68" s="19">
        <v>0.0</v>
      </c>
      <c r="J68" s="19" t="str">
        <f t="shared" si="1"/>
        <v>sin stock</v>
      </c>
      <c r="K68" s="15"/>
      <c r="L68" s="20"/>
      <c r="M68" s="20"/>
      <c r="N68" s="20" t="str">
        <f t="shared" si="3"/>
        <v>SIN STOCK / CARGAR PRECIO</v>
      </c>
    </row>
    <row r="69" ht="15.75" customHeight="1">
      <c r="A69" s="15" t="s">
        <v>2138</v>
      </c>
      <c r="B69" s="35">
        <v>12000.0</v>
      </c>
      <c r="C69" s="15" t="s">
        <v>334</v>
      </c>
      <c r="D69" s="15" t="s">
        <v>465</v>
      </c>
      <c r="E69" s="15"/>
      <c r="F69" s="33">
        <v>0.0</v>
      </c>
      <c r="G69" s="15">
        <v>0.0</v>
      </c>
      <c r="H69" s="33">
        <v>0.0</v>
      </c>
      <c r="I69" s="19">
        <v>0.0</v>
      </c>
      <c r="J69" s="19" t="str">
        <f t="shared" si="1"/>
        <v>sin stock</v>
      </c>
      <c r="K69" s="15"/>
      <c r="L69" s="20"/>
      <c r="M69" s="20"/>
      <c r="N69" s="20" t="str">
        <f t="shared" si="3"/>
        <v>SIN STOCK / CARGAR PRECIO</v>
      </c>
    </row>
    <row r="70" ht="15.75" customHeight="1">
      <c r="A70" s="15" t="s">
        <v>2139</v>
      </c>
      <c r="B70" s="35">
        <v>2000.0</v>
      </c>
      <c r="C70" s="15" t="s">
        <v>87</v>
      </c>
      <c r="D70" s="15" t="s">
        <v>1171</v>
      </c>
      <c r="E70" s="15"/>
      <c r="F70" s="33">
        <v>0.0</v>
      </c>
      <c r="G70" s="15">
        <v>0.0</v>
      </c>
      <c r="H70" s="33">
        <v>0.0</v>
      </c>
      <c r="I70" s="19">
        <v>0.0</v>
      </c>
      <c r="J70" s="19" t="str">
        <f t="shared" si="1"/>
        <v>sin stock</v>
      </c>
      <c r="K70" s="15"/>
      <c r="L70" s="20"/>
      <c r="M70" s="20"/>
      <c r="N70" s="20" t="str">
        <f t="shared" si="3"/>
        <v>SIN STOCK / CARGAR PRECIO</v>
      </c>
    </row>
    <row r="71" ht="15.75" customHeight="1">
      <c r="A71" s="15" t="s">
        <v>2140</v>
      </c>
      <c r="B71" s="35">
        <v>3000.0</v>
      </c>
      <c r="C71" s="15" t="s">
        <v>334</v>
      </c>
      <c r="D71" s="15" t="s">
        <v>894</v>
      </c>
      <c r="E71" s="15"/>
      <c r="F71" s="33">
        <v>0.0</v>
      </c>
      <c r="G71" s="15">
        <v>0.0</v>
      </c>
      <c r="H71" s="33">
        <v>0.0</v>
      </c>
      <c r="I71" s="19">
        <v>0.0</v>
      </c>
      <c r="J71" s="19" t="str">
        <f t="shared" si="1"/>
        <v>sin stock</v>
      </c>
      <c r="K71" s="15"/>
      <c r="L71" s="20"/>
      <c r="M71" s="20"/>
      <c r="N71" s="20" t="str">
        <f t="shared" si="3"/>
        <v>SIN STOCK / CARGAR PRECIO</v>
      </c>
    </row>
    <row r="72" ht="15.75" customHeight="1">
      <c r="A72" s="15" t="s">
        <v>2141</v>
      </c>
      <c r="B72" s="35">
        <v>3000.0</v>
      </c>
      <c r="C72" s="15" t="s">
        <v>334</v>
      </c>
      <c r="D72" s="15" t="s">
        <v>477</v>
      </c>
      <c r="E72" s="15"/>
      <c r="F72" s="33">
        <v>0.0</v>
      </c>
      <c r="G72" s="15">
        <v>0.0</v>
      </c>
      <c r="H72" s="33">
        <v>0.0</v>
      </c>
      <c r="I72" s="19">
        <v>0.0</v>
      </c>
      <c r="J72" s="19" t="str">
        <f t="shared" si="1"/>
        <v>sin stock</v>
      </c>
      <c r="K72" s="15"/>
      <c r="L72" s="20"/>
      <c r="M72" s="20"/>
      <c r="N72" s="20" t="str">
        <f t="shared" si="3"/>
        <v>SIN STOCK / CARGAR PRECIO</v>
      </c>
    </row>
    <row r="73" ht="15.75" customHeight="1">
      <c r="A73" s="15" t="s">
        <v>2142</v>
      </c>
      <c r="B73" s="35">
        <v>3000.0</v>
      </c>
      <c r="C73" s="15" t="s">
        <v>334</v>
      </c>
      <c r="D73" s="15" t="s">
        <v>722</v>
      </c>
      <c r="E73" s="15"/>
      <c r="F73" s="33">
        <v>0.0</v>
      </c>
      <c r="G73" s="15">
        <v>0.0</v>
      </c>
      <c r="H73" s="33">
        <v>0.0</v>
      </c>
      <c r="I73" s="19">
        <v>0.0</v>
      </c>
      <c r="J73" s="19" t="str">
        <f t="shared" si="1"/>
        <v>sin stock</v>
      </c>
      <c r="K73" s="15"/>
      <c r="L73" s="20"/>
      <c r="M73" s="20"/>
      <c r="N73" s="20" t="str">
        <f t="shared" si="3"/>
        <v>SIN STOCK / CARGAR PRECIO</v>
      </c>
    </row>
    <row r="74" ht="15.75" customHeight="1">
      <c r="A74" s="15" t="s">
        <v>2143</v>
      </c>
      <c r="B74" s="35">
        <v>4000.0</v>
      </c>
      <c r="C74" s="15" t="s">
        <v>334</v>
      </c>
      <c r="D74" s="15" t="s">
        <v>488</v>
      </c>
      <c r="E74" s="15"/>
      <c r="F74" s="33">
        <v>0.0</v>
      </c>
      <c r="G74" s="15">
        <v>0.0</v>
      </c>
      <c r="H74" s="33">
        <v>0.0</v>
      </c>
      <c r="I74" s="19">
        <v>0.0</v>
      </c>
      <c r="J74" s="19" t="str">
        <f t="shared" si="1"/>
        <v>sin stock</v>
      </c>
      <c r="K74" s="15"/>
      <c r="L74" s="20"/>
      <c r="M74" s="20"/>
      <c r="N74" s="20" t="str">
        <f t="shared" si="3"/>
        <v>SIN STOCK / CARGAR PRECIO</v>
      </c>
    </row>
    <row r="75" ht="15.75" customHeight="1">
      <c r="A75" s="15" t="s">
        <v>2144</v>
      </c>
      <c r="B75" s="35">
        <v>4000.0</v>
      </c>
      <c r="C75" s="15" t="s">
        <v>334</v>
      </c>
      <c r="D75" s="15" t="s">
        <v>490</v>
      </c>
      <c r="E75" s="15"/>
      <c r="F75" s="33">
        <v>0.0</v>
      </c>
      <c r="G75" s="15">
        <v>0.0</v>
      </c>
      <c r="H75" s="33">
        <v>0.0</v>
      </c>
      <c r="I75" s="19">
        <v>0.0</v>
      </c>
      <c r="J75" s="19" t="str">
        <f t="shared" si="1"/>
        <v>sin stock</v>
      </c>
      <c r="K75" s="15"/>
      <c r="L75" s="20"/>
      <c r="M75" s="20"/>
      <c r="N75" s="20" t="str">
        <f t="shared" si="3"/>
        <v>SIN STOCK / CARGAR PRECIO</v>
      </c>
    </row>
    <row r="76" ht="15.75" customHeight="1">
      <c r="A76" s="15" t="s">
        <v>2145</v>
      </c>
      <c r="B76" s="35">
        <v>4000.0</v>
      </c>
      <c r="C76" s="15" t="s">
        <v>334</v>
      </c>
      <c r="D76" s="15" t="s">
        <v>1173</v>
      </c>
      <c r="E76" s="15"/>
      <c r="F76" s="33">
        <v>0.0</v>
      </c>
      <c r="G76" s="15">
        <v>0.0</v>
      </c>
      <c r="H76" s="33">
        <v>0.0</v>
      </c>
      <c r="I76" s="19">
        <v>0.0</v>
      </c>
      <c r="J76" s="19" t="str">
        <f t="shared" si="1"/>
        <v>sin stock</v>
      </c>
      <c r="K76" s="15"/>
      <c r="L76" s="20"/>
      <c r="M76" s="20"/>
      <c r="N76" s="20" t="str">
        <f t="shared" si="3"/>
        <v>SIN STOCK / CARGAR PRECIO</v>
      </c>
    </row>
    <row r="77" ht="15.75" customHeight="1">
      <c r="A77" s="15" t="s">
        <v>2146</v>
      </c>
      <c r="B77" s="35">
        <v>4000.0</v>
      </c>
      <c r="C77" s="15" t="s">
        <v>334</v>
      </c>
      <c r="D77" s="15" t="s">
        <v>724</v>
      </c>
      <c r="E77" s="15"/>
      <c r="F77" s="33">
        <v>0.0</v>
      </c>
      <c r="G77" s="15">
        <v>0.0</v>
      </c>
      <c r="H77" s="33">
        <v>0.0</v>
      </c>
      <c r="I77" s="19">
        <v>0.0</v>
      </c>
      <c r="J77" s="19" t="str">
        <f t="shared" si="1"/>
        <v>sin stock</v>
      </c>
      <c r="K77" s="15"/>
      <c r="L77" s="20"/>
      <c r="M77" s="20"/>
      <c r="N77" s="20" t="str">
        <f t="shared" si="3"/>
        <v>SIN STOCK / CARGAR PRECIO</v>
      </c>
    </row>
    <row r="78" ht="15.75" customHeight="1">
      <c r="A78" s="15" t="s">
        <v>2147</v>
      </c>
      <c r="B78" s="35">
        <v>4000.0</v>
      </c>
      <c r="C78" s="15" t="s">
        <v>334</v>
      </c>
      <c r="D78" s="15" t="s">
        <v>1115</v>
      </c>
      <c r="E78" s="15"/>
      <c r="F78" s="194">
        <v>0.0</v>
      </c>
      <c r="G78" s="15">
        <v>0.0</v>
      </c>
      <c r="H78" s="33">
        <v>0.0</v>
      </c>
      <c r="I78" s="19">
        <v>0.0</v>
      </c>
      <c r="J78" s="19" t="str">
        <f t="shared" si="1"/>
        <v>sin stock</v>
      </c>
      <c r="K78" s="15"/>
      <c r="L78" s="20"/>
      <c r="M78" s="20"/>
      <c r="N78" s="20" t="str">
        <f t="shared" si="3"/>
        <v>SIN STOCK / CARGAR PRECIO</v>
      </c>
    </row>
    <row r="79" ht="15.75" customHeight="1">
      <c r="A79" s="15" t="s">
        <v>2148</v>
      </c>
      <c r="B79" s="35">
        <v>4000.0</v>
      </c>
      <c r="C79" s="15" t="s">
        <v>334</v>
      </c>
      <c r="D79" s="15" t="s">
        <v>1276</v>
      </c>
      <c r="E79" s="15"/>
      <c r="F79" s="33">
        <v>0.0</v>
      </c>
      <c r="G79" s="15">
        <v>0.0</v>
      </c>
      <c r="H79" s="33">
        <v>0.0</v>
      </c>
      <c r="I79" s="19">
        <v>0.0</v>
      </c>
      <c r="J79" s="19" t="str">
        <f t="shared" si="1"/>
        <v>sin stock</v>
      </c>
      <c r="K79" s="15"/>
      <c r="L79" s="20"/>
      <c r="M79" s="20"/>
      <c r="N79" s="20" t="str">
        <f t="shared" si="3"/>
        <v>SIN STOCK / CARGAR PRECIO</v>
      </c>
    </row>
    <row r="80" ht="15.75" customHeight="1">
      <c r="A80" s="15" t="s">
        <v>2149</v>
      </c>
      <c r="B80" s="35">
        <v>4000.0</v>
      </c>
      <c r="C80" s="15" t="s">
        <v>334</v>
      </c>
      <c r="D80" s="15" t="s">
        <v>1005</v>
      </c>
      <c r="E80" s="15"/>
      <c r="F80" s="33">
        <v>0.0</v>
      </c>
      <c r="G80" s="15">
        <v>0.0</v>
      </c>
      <c r="H80" s="33">
        <v>0.0</v>
      </c>
      <c r="I80" s="19">
        <v>0.0</v>
      </c>
      <c r="J80" s="19" t="str">
        <f t="shared" si="1"/>
        <v>sin stock</v>
      </c>
      <c r="K80" s="15"/>
      <c r="L80" s="20"/>
      <c r="M80" s="20"/>
      <c r="N80" s="20" t="str">
        <f t="shared" si="3"/>
        <v>SIN STOCK / CARGAR PRECIO</v>
      </c>
    </row>
    <row r="81" ht="15.75" customHeight="1">
      <c r="A81" s="15" t="s">
        <v>2150</v>
      </c>
      <c r="B81" s="35">
        <v>3500.0</v>
      </c>
      <c r="C81" s="15" t="s">
        <v>334</v>
      </c>
      <c r="D81" s="15" t="s">
        <v>1119</v>
      </c>
      <c r="E81" s="15"/>
      <c r="F81" s="33">
        <v>0.0</v>
      </c>
      <c r="G81" s="15">
        <v>0.0</v>
      </c>
      <c r="H81" s="33">
        <v>0.0</v>
      </c>
      <c r="I81" s="19">
        <v>0.0</v>
      </c>
      <c r="J81" s="19" t="str">
        <f t="shared" si="1"/>
        <v>sin stock</v>
      </c>
      <c r="K81" s="15"/>
      <c r="L81" s="20"/>
      <c r="M81" s="20"/>
      <c r="N81" s="20" t="str">
        <f t="shared" si="3"/>
        <v>SIN STOCK / CARGAR PRECIO</v>
      </c>
    </row>
    <row r="82" ht="15.75" customHeight="1">
      <c r="A82" s="15" t="s">
        <v>2151</v>
      </c>
      <c r="B82" s="35">
        <v>5500.0</v>
      </c>
      <c r="C82" s="15" t="s">
        <v>334</v>
      </c>
      <c r="D82" s="15" t="s">
        <v>533</v>
      </c>
      <c r="E82" s="15"/>
      <c r="F82" s="33">
        <v>0.0</v>
      </c>
      <c r="G82" s="15">
        <v>0.0</v>
      </c>
      <c r="H82" s="33">
        <v>0.0</v>
      </c>
      <c r="I82" s="19">
        <v>0.0</v>
      </c>
      <c r="J82" s="19" t="str">
        <f t="shared" si="1"/>
        <v>sin stock</v>
      </c>
      <c r="K82" s="15"/>
      <c r="L82" s="20"/>
      <c r="M82" s="20"/>
      <c r="N82" s="20" t="str">
        <f t="shared" si="3"/>
        <v>SIN STOCK / CARGAR PRECIO</v>
      </c>
    </row>
    <row r="83" ht="15.75" customHeight="1">
      <c r="A83" s="15" t="s">
        <v>2152</v>
      </c>
      <c r="B83" s="35">
        <v>4000.0</v>
      </c>
      <c r="C83" s="15" t="s">
        <v>334</v>
      </c>
      <c r="D83" s="15" t="s">
        <v>535</v>
      </c>
      <c r="E83" s="15"/>
      <c r="F83" s="194">
        <v>0.0</v>
      </c>
      <c r="G83" s="15">
        <v>0.0</v>
      </c>
      <c r="H83" s="33">
        <v>0.0</v>
      </c>
      <c r="I83" s="19">
        <v>0.0</v>
      </c>
      <c r="J83" s="19" t="str">
        <f t="shared" si="1"/>
        <v>sin stock</v>
      </c>
      <c r="K83" s="15"/>
      <c r="L83" s="20"/>
      <c r="M83" s="20"/>
      <c r="N83" s="20" t="str">
        <f t="shared" si="3"/>
        <v>SIN STOCK / CARGAR PRECIO</v>
      </c>
    </row>
    <row r="84" ht="15.75" customHeight="1">
      <c r="A84" s="15" t="s">
        <v>2153</v>
      </c>
      <c r="B84" s="35">
        <v>5000.0</v>
      </c>
      <c r="C84" s="15" t="s">
        <v>334</v>
      </c>
      <c r="D84" s="15" t="s">
        <v>545</v>
      </c>
      <c r="E84" s="15"/>
      <c r="F84" s="33">
        <v>0.0</v>
      </c>
      <c r="G84" s="15">
        <v>0.0</v>
      </c>
      <c r="H84" s="33">
        <v>0.0</v>
      </c>
      <c r="I84" s="19">
        <v>0.0</v>
      </c>
      <c r="J84" s="19" t="str">
        <f t="shared" si="1"/>
        <v>sin stock</v>
      </c>
      <c r="K84" s="15"/>
      <c r="L84" s="20"/>
      <c r="M84" s="20"/>
      <c r="N84" s="20" t="str">
        <f t="shared" si="3"/>
        <v>SIN STOCK / CARGAR PRECIO</v>
      </c>
    </row>
    <row r="85" ht="15.75" customHeight="1">
      <c r="A85" s="15" t="s">
        <v>2154</v>
      </c>
      <c r="B85" s="35">
        <v>8000.0</v>
      </c>
      <c r="C85" s="15" t="s">
        <v>297</v>
      </c>
      <c r="D85" s="15" t="s">
        <v>1274</v>
      </c>
      <c r="E85" s="15"/>
      <c r="F85" s="33">
        <v>0.0</v>
      </c>
      <c r="G85" s="15">
        <v>0.0</v>
      </c>
      <c r="H85" s="33">
        <v>0.0</v>
      </c>
      <c r="I85" s="19">
        <v>0.0</v>
      </c>
      <c r="J85" s="19" t="str">
        <f t="shared" si="1"/>
        <v>sin stock</v>
      </c>
      <c r="K85" s="15"/>
      <c r="L85" s="20"/>
      <c r="M85" s="20"/>
      <c r="N85" s="20" t="str">
        <f t="shared" si="3"/>
        <v>SIN STOCK / CARGAR PRECIO</v>
      </c>
    </row>
    <row r="86" ht="15.75" customHeight="1">
      <c r="A86" s="15" t="s">
        <v>2155</v>
      </c>
      <c r="B86" s="35">
        <v>5999.0</v>
      </c>
      <c r="C86" s="15" t="s">
        <v>1019</v>
      </c>
      <c r="D86" s="15" t="s">
        <v>742</v>
      </c>
      <c r="E86" s="15"/>
      <c r="F86" s="33">
        <v>0.0</v>
      </c>
      <c r="G86" s="15">
        <v>0.0</v>
      </c>
      <c r="H86" s="33">
        <v>0.0</v>
      </c>
      <c r="I86" s="19">
        <v>0.0</v>
      </c>
      <c r="J86" s="19" t="str">
        <f t="shared" si="1"/>
        <v>sin stock</v>
      </c>
      <c r="K86" s="15">
        <v>8000.0</v>
      </c>
      <c r="L86" s="20"/>
      <c r="M86" s="20"/>
      <c r="N86" s="20" t="str">
        <f t="shared" si="3"/>
        <v>SIN STOCK / CARGAR PRECIO</v>
      </c>
    </row>
    <row r="87" ht="15.75" customHeight="1">
      <c r="A87" s="15" t="s">
        <v>2156</v>
      </c>
      <c r="B87" s="35">
        <v>2500.0</v>
      </c>
      <c r="C87" s="15" t="s">
        <v>87</v>
      </c>
      <c r="D87" s="15" t="s">
        <v>744</v>
      </c>
      <c r="E87" s="15"/>
      <c r="F87" s="33">
        <v>0.0</v>
      </c>
      <c r="G87" s="15">
        <v>0.0</v>
      </c>
      <c r="H87" s="33">
        <v>0.0</v>
      </c>
      <c r="I87" s="19">
        <v>0.0</v>
      </c>
      <c r="J87" s="19" t="str">
        <f t="shared" si="1"/>
        <v>sin stock</v>
      </c>
      <c r="K87" s="15"/>
      <c r="L87" s="20"/>
      <c r="M87" s="20"/>
      <c r="N87" s="20" t="str">
        <f t="shared" si="3"/>
        <v>SIN STOCK / CARGAR PRECIO</v>
      </c>
    </row>
    <row r="88" ht="15.75" customHeight="1">
      <c r="A88" s="15" t="s">
        <v>2157</v>
      </c>
      <c r="B88" s="35">
        <v>3000.0</v>
      </c>
      <c r="C88" s="15" t="s">
        <v>87</v>
      </c>
      <c r="D88" s="15" t="s">
        <v>669</v>
      </c>
      <c r="E88" s="15"/>
      <c r="F88" s="33">
        <v>0.0</v>
      </c>
      <c r="G88" s="15">
        <v>0.0</v>
      </c>
      <c r="H88" s="33">
        <v>0.0</v>
      </c>
      <c r="I88" s="19">
        <v>0.0</v>
      </c>
      <c r="J88" s="19" t="str">
        <f t="shared" si="1"/>
        <v>sin stock</v>
      </c>
      <c r="K88" s="15"/>
      <c r="L88" s="20"/>
      <c r="M88" s="20"/>
      <c r="N88" s="20" t="str">
        <f t="shared" si="3"/>
        <v>SIN STOCK / CARGAR PRECIO</v>
      </c>
    </row>
    <row r="89" ht="15.75" customHeight="1">
      <c r="A89" s="196" t="s">
        <v>2158</v>
      </c>
      <c r="B89" s="197">
        <v>5000.0</v>
      </c>
      <c r="C89" s="196" t="s">
        <v>87</v>
      </c>
      <c r="D89" s="196" t="s">
        <v>498</v>
      </c>
      <c r="E89" s="196"/>
      <c r="F89" s="198">
        <v>0.0</v>
      </c>
      <c r="G89" s="196">
        <v>0.0</v>
      </c>
      <c r="H89" s="198">
        <v>0.0</v>
      </c>
      <c r="I89" s="200">
        <v>0.0</v>
      </c>
      <c r="J89" s="200" t="str">
        <f t="shared" si="1"/>
        <v>sin stock</v>
      </c>
      <c r="K89" s="196"/>
      <c r="L89" s="201"/>
      <c r="M89" s="201"/>
      <c r="N89" s="201" t="str">
        <f t="shared" si="3"/>
        <v>SIN STOCK / CARGAR PRECIO</v>
      </c>
    </row>
    <row r="90" ht="15.75" customHeight="1">
      <c r="A90" s="196" t="s">
        <v>2159</v>
      </c>
      <c r="B90" s="197">
        <v>8000.0</v>
      </c>
      <c r="C90" s="196" t="s">
        <v>87</v>
      </c>
      <c r="D90" s="196" t="s">
        <v>500</v>
      </c>
      <c r="E90" s="196"/>
      <c r="F90" s="198">
        <v>0.0</v>
      </c>
      <c r="G90" s="196">
        <v>0.0</v>
      </c>
      <c r="H90" s="198">
        <v>0.0</v>
      </c>
      <c r="I90" s="200">
        <v>0.0</v>
      </c>
      <c r="J90" s="200" t="str">
        <f t="shared" si="1"/>
        <v>sin stock</v>
      </c>
      <c r="K90" s="196"/>
      <c r="L90" s="201"/>
      <c r="M90" s="201"/>
      <c r="N90" s="201" t="str">
        <f t="shared" si="3"/>
        <v>SIN STOCK / CARGAR PRECIO</v>
      </c>
    </row>
    <row r="91" ht="15.75" customHeight="1">
      <c r="A91" s="15" t="s">
        <v>2160</v>
      </c>
      <c r="B91" s="35">
        <v>990.0</v>
      </c>
      <c r="C91" s="15" t="s">
        <v>383</v>
      </c>
      <c r="D91" s="15" t="s">
        <v>169</v>
      </c>
      <c r="E91" s="15"/>
      <c r="F91" s="194">
        <v>0.0</v>
      </c>
      <c r="G91" s="15">
        <v>0.0</v>
      </c>
      <c r="H91" s="33">
        <v>0.0</v>
      </c>
      <c r="I91" s="19">
        <v>0.0</v>
      </c>
      <c r="J91" s="19" t="str">
        <f t="shared" si="1"/>
        <v>sin stock</v>
      </c>
      <c r="K91" s="15"/>
      <c r="L91" s="20"/>
      <c r="M91" s="20"/>
      <c r="N91" s="20" t="str">
        <f t="shared" si="3"/>
        <v>SIN STOCK / CARGAR PRECIO</v>
      </c>
    </row>
    <row r="92" ht="15.75" customHeight="1">
      <c r="A92" s="20" t="s">
        <v>2161</v>
      </c>
      <c r="B92" s="20">
        <v>25000.0</v>
      </c>
      <c r="C92" s="20" t="s">
        <v>703</v>
      </c>
      <c r="D92" s="15" t="s">
        <v>1208</v>
      </c>
      <c r="E92" s="15"/>
      <c r="F92" s="33">
        <v>0.0</v>
      </c>
      <c r="G92" s="15">
        <v>0.0</v>
      </c>
      <c r="H92" s="33">
        <v>0.0</v>
      </c>
      <c r="I92" s="19">
        <v>0.0</v>
      </c>
      <c r="J92" s="19" t="str">
        <f t="shared" si="1"/>
        <v>sin stock</v>
      </c>
      <c r="K92" s="15"/>
      <c r="L92" s="20"/>
      <c r="M92" s="20"/>
      <c r="N92" s="20" t="str">
        <f t="shared" si="3"/>
        <v>SIN STOCK / CARGAR PRECIO</v>
      </c>
    </row>
    <row r="93" ht="15.75" customHeight="1">
      <c r="A93" s="20" t="s">
        <v>2162</v>
      </c>
      <c r="B93" s="20">
        <v>25000.0</v>
      </c>
      <c r="C93" s="20" t="s">
        <v>703</v>
      </c>
      <c r="D93" s="15" t="s">
        <v>673</v>
      </c>
      <c r="E93" s="15"/>
      <c r="F93" s="33">
        <v>0.0</v>
      </c>
      <c r="G93" s="15">
        <v>0.0</v>
      </c>
      <c r="H93" s="33">
        <v>0.0</v>
      </c>
      <c r="I93" s="19">
        <v>0.0</v>
      </c>
      <c r="J93" s="19" t="str">
        <f t="shared" si="1"/>
        <v>sin stock</v>
      </c>
      <c r="K93" s="15"/>
      <c r="L93" s="20"/>
      <c r="M93" s="20"/>
      <c r="N93" s="20" t="str">
        <f t="shared" si="3"/>
        <v>SIN STOCK / CARGAR PRECIO</v>
      </c>
    </row>
    <row r="94" ht="15.75" customHeight="1">
      <c r="A94" s="20" t="s">
        <v>2163</v>
      </c>
      <c r="B94" s="20">
        <v>25000.0</v>
      </c>
      <c r="C94" s="20" t="s">
        <v>703</v>
      </c>
      <c r="D94" s="15" t="s">
        <v>173</v>
      </c>
      <c r="E94" s="15"/>
      <c r="F94" s="33">
        <v>0.0</v>
      </c>
      <c r="G94" s="15">
        <v>0.0</v>
      </c>
      <c r="H94" s="33">
        <v>0.0</v>
      </c>
      <c r="I94" s="19">
        <v>0.0</v>
      </c>
      <c r="J94" s="19" t="str">
        <f t="shared" si="1"/>
        <v>sin stock</v>
      </c>
      <c r="K94" s="15"/>
      <c r="L94" s="20"/>
      <c r="M94" s="20"/>
      <c r="N94" s="20" t="str">
        <f t="shared" si="3"/>
        <v>SIN STOCK / CARGAR PRECIO</v>
      </c>
    </row>
    <row r="95" ht="15.75" customHeight="1">
      <c r="A95" s="20" t="s">
        <v>2164</v>
      </c>
      <c r="B95" s="20">
        <v>12000.0</v>
      </c>
      <c r="C95" s="20" t="s">
        <v>703</v>
      </c>
      <c r="D95" s="15" t="s">
        <v>381</v>
      </c>
      <c r="E95" s="15"/>
      <c r="F95" s="33">
        <v>0.0</v>
      </c>
      <c r="G95" s="15">
        <v>0.0</v>
      </c>
      <c r="H95" s="33">
        <v>0.0</v>
      </c>
      <c r="I95" s="19">
        <v>0.0</v>
      </c>
      <c r="J95" s="19" t="str">
        <f t="shared" si="1"/>
        <v>sin stock</v>
      </c>
      <c r="K95" s="15"/>
      <c r="L95" s="20"/>
      <c r="M95" s="20"/>
      <c r="N95" s="20" t="str">
        <f t="shared" si="3"/>
        <v>SIN STOCK / CARGAR PRECIO</v>
      </c>
    </row>
    <row r="96" ht="15.75" customHeight="1">
      <c r="A96" s="15" t="s">
        <v>2165</v>
      </c>
      <c r="B96" s="35">
        <v>3000.0</v>
      </c>
      <c r="C96" s="15" t="s">
        <v>87</v>
      </c>
      <c r="D96" s="15" t="s">
        <v>902</v>
      </c>
      <c r="E96" s="15"/>
      <c r="F96" s="33">
        <v>0.0</v>
      </c>
      <c r="G96" s="15">
        <v>0.0</v>
      </c>
      <c r="H96" s="33">
        <v>0.0</v>
      </c>
      <c r="I96" s="19">
        <v>0.0</v>
      </c>
      <c r="J96" s="19" t="str">
        <f t="shared" si="1"/>
        <v>sin stock</v>
      </c>
      <c r="K96" s="15"/>
      <c r="L96" s="20"/>
      <c r="M96" s="20"/>
      <c r="N96" s="20" t="str">
        <f t="shared" si="3"/>
        <v>SIN STOCK / CARGAR PRECIO</v>
      </c>
    </row>
    <row r="97" ht="15.75" customHeight="1">
      <c r="A97" s="15" t="s">
        <v>2166</v>
      </c>
      <c r="B97" s="35">
        <v>2000.0</v>
      </c>
      <c r="C97" s="15" t="s">
        <v>87</v>
      </c>
      <c r="D97" s="15" t="s">
        <v>186</v>
      </c>
      <c r="E97" s="15"/>
      <c r="F97" s="33">
        <v>0.0</v>
      </c>
      <c r="G97" s="15">
        <v>0.0</v>
      </c>
      <c r="H97" s="33">
        <v>0.0</v>
      </c>
      <c r="I97" s="19">
        <v>0.0</v>
      </c>
      <c r="J97" s="19" t="str">
        <f t="shared" si="1"/>
        <v>sin stock</v>
      </c>
      <c r="K97" s="15"/>
      <c r="L97" s="20"/>
      <c r="M97" s="20"/>
      <c r="N97" s="20" t="str">
        <f t="shared" si="3"/>
        <v>SIN STOCK / CARGAR PRECIO</v>
      </c>
    </row>
    <row r="98" ht="15.75" customHeight="1">
      <c r="A98" s="15" t="s">
        <v>2167</v>
      </c>
      <c r="B98" s="35">
        <v>1200.0</v>
      </c>
      <c r="C98" s="15" t="s">
        <v>87</v>
      </c>
      <c r="D98" s="15" t="s">
        <v>1240</v>
      </c>
      <c r="E98" s="15"/>
      <c r="F98" s="33">
        <v>0.0</v>
      </c>
      <c r="G98" s="15">
        <v>0.0</v>
      </c>
      <c r="H98" s="33">
        <v>0.0</v>
      </c>
      <c r="I98" s="19">
        <v>0.0</v>
      </c>
      <c r="J98" s="19" t="str">
        <f t="shared" si="1"/>
        <v>sin stock</v>
      </c>
      <c r="K98" s="15"/>
      <c r="L98" s="20"/>
      <c r="M98" s="20"/>
      <c r="N98" s="20" t="str">
        <f t="shared" si="3"/>
        <v>SIN STOCK / CARGAR PRECIO</v>
      </c>
    </row>
    <row r="99" ht="15.75" customHeight="1">
      <c r="A99" s="15" t="s">
        <v>388</v>
      </c>
      <c r="B99" s="35">
        <v>6000.0</v>
      </c>
      <c r="C99" s="15" t="s">
        <v>383</v>
      </c>
      <c r="D99" s="15" t="s">
        <v>748</v>
      </c>
      <c r="E99" s="15"/>
      <c r="F99" s="33">
        <v>0.0</v>
      </c>
      <c r="G99" s="15">
        <v>0.0</v>
      </c>
      <c r="H99" s="33">
        <v>0.0</v>
      </c>
      <c r="I99" s="19">
        <v>0.0</v>
      </c>
      <c r="J99" s="19" t="str">
        <f t="shared" si="1"/>
        <v>sin stock</v>
      </c>
      <c r="K99" s="15"/>
      <c r="L99" s="20"/>
      <c r="M99" s="20"/>
      <c r="N99" s="20" t="str">
        <f t="shared" si="3"/>
        <v>SIN STOCK / CARGAR PRECIO</v>
      </c>
    </row>
    <row r="100" ht="15.75" customHeight="1">
      <c r="A100" s="15" t="s">
        <v>2168</v>
      </c>
      <c r="B100" s="35">
        <v>2500.0</v>
      </c>
      <c r="C100" s="15" t="s">
        <v>87</v>
      </c>
      <c r="D100" s="15" t="s">
        <v>563</v>
      </c>
      <c r="E100" s="15"/>
      <c r="F100" s="194">
        <v>0.0</v>
      </c>
      <c r="G100" s="15">
        <v>0.0</v>
      </c>
      <c r="H100" s="33">
        <v>0.0</v>
      </c>
      <c r="I100" s="19">
        <v>0.0</v>
      </c>
      <c r="J100" s="19" t="str">
        <f t="shared" si="1"/>
        <v>sin stock</v>
      </c>
      <c r="K100" s="15"/>
      <c r="L100" s="20"/>
      <c r="M100" s="20"/>
      <c r="N100" s="20" t="str">
        <f t="shared" si="3"/>
        <v>SIN STOCK / CARGAR PRECIO</v>
      </c>
    </row>
    <row r="101" ht="15.75" customHeight="1">
      <c r="A101" s="15" t="s">
        <v>2169</v>
      </c>
      <c r="B101" s="35">
        <v>3000.0</v>
      </c>
      <c r="C101" s="15" t="s">
        <v>383</v>
      </c>
      <c r="D101" s="15" t="s">
        <v>677</v>
      </c>
      <c r="E101" s="15"/>
      <c r="F101" s="33">
        <v>0.0</v>
      </c>
      <c r="G101" s="15">
        <v>0.0</v>
      </c>
      <c r="H101" s="33">
        <v>0.0</v>
      </c>
      <c r="I101" s="19">
        <v>0.0</v>
      </c>
      <c r="J101" s="19" t="str">
        <f t="shared" si="1"/>
        <v>sin stock</v>
      </c>
      <c r="K101" s="15"/>
      <c r="L101" s="20"/>
      <c r="M101" s="20"/>
      <c r="N101" s="20" t="str">
        <f t="shared" si="3"/>
        <v>SIN STOCK / CARGAR PRECIO</v>
      </c>
    </row>
    <row r="102" ht="15.75" customHeight="1">
      <c r="A102" s="15" t="s">
        <v>2170</v>
      </c>
      <c r="B102" s="35">
        <v>1500.0</v>
      </c>
      <c r="C102" s="15" t="s">
        <v>87</v>
      </c>
      <c r="D102" s="15" t="s">
        <v>194</v>
      </c>
      <c r="E102" s="15"/>
      <c r="F102" s="33">
        <v>0.0</v>
      </c>
      <c r="G102" s="15">
        <v>0.0</v>
      </c>
      <c r="H102" s="33">
        <v>0.0</v>
      </c>
      <c r="I102" s="19">
        <v>0.0</v>
      </c>
      <c r="J102" s="19" t="str">
        <f t="shared" si="1"/>
        <v>sin stock</v>
      </c>
      <c r="K102" s="15"/>
      <c r="L102" s="20"/>
      <c r="M102" s="20"/>
      <c r="N102" s="20" t="str">
        <f t="shared" si="3"/>
        <v>SIN STOCK / CARGAR PRECIO</v>
      </c>
    </row>
    <row r="103" ht="15.75" customHeight="1">
      <c r="A103" s="15" t="s">
        <v>2171</v>
      </c>
      <c r="B103" s="35">
        <v>1500.0</v>
      </c>
      <c r="C103" s="15" t="s">
        <v>87</v>
      </c>
      <c r="D103" s="15" t="s">
        <v>196</v>
      </c>
      <c r="E103" s="15"/>
      <c r="F103" s="33">
        <v>0.0</v>
      </c>
      <c r="G103" s="15">
        <v>0.0</v>
      </c>
      <c r="H103" s="33">
        <v>0.0</v>
      </c>
      <c r="I103" s="19">
        <v>0.0</v>
      </c>
      <c r="J103" s="19" t="str">
        <f t="shared" si="1"/>
        <v>sin stock</v>
      </c>
      <c r="K103" s="15"/>
      <c r="L103" s="20"/>
      <c r="M103" s="20"/>
      <c r="N103" s="20" t="str">
        <f t="shared" si="3"/>
        <v>SIN STOCK / CARGAR PRECIO</v>
      </c>
    </row>
    <row r="104" ht="15.75" customHeight="1">
      <c r="A104" s="15" t="s">
        <v>2172</v>
      </c>
      <c r="B104" s="35">
        <v>2500.0</v>
      </c>
      <c r="C104" s="15" t="s">
        <v>297</v>
      </c>
      <c r="D104" s="15" t="s">
        <v>450</v>
      </c>
      <c r="E104" s="15"/>
      <c r="F104" s="33">
        <v>0.0</v>
      </c>
      <c r="G104" s="15">
        <v>0.0</v>
      </c>
      <c r="H104" s="33">
        <v>0.0</v>
      </c>
      <c r="I104" s="19">
        <v>0.0</v>
      </c>
      <c r="J104" s="19" t="str">
        <f t="shared" si="1"/>
        <v>sin stock</v>
      </c>
      <c r="K104" s="15"/>
      <c r="L104" s="20"/>
      <c r="M104" s="20"/>
      <c r="N104" s="20" t="str">
        <f t="shared" si="3"/>
        <v>SIN STOCK / CARGAR PRECIO</v>
      </c>
    </row>
    <row r="105" ht="15.75" customHeight="1">
      <c r="A105" s="15" t="s">
        <v>2173</v>
      </c>
      <c r="B105" s="35">
        <v>5000.0</v>
      </c>
      <c r="C105" s="15" t="s">
        <v>383</v>
      </c>
      <c r="D105" s="15" t="s">
        <v>452</v>
      </c>
      <c r="E105" s="15"/>
      <c r="F105" s="194">
        <v>0.0</v>
      </c>
      <c r="G105" s="15">
        <v>0.0</v>
      </c>
      <c r="H105" s="33">
        <v>0.0</v>
      </c>
      <c r="I105" s="19">
        <v>0.0</v>
      </c>
      <c r="J105" s="19" t="str">
        <f t="shared" si="1"/>
        <v>sin stock</v>
      </c>
      <c r="K105" s="15"/>
      <c r="L105" s="20"/>
      <c r="M105" s="20"/>
      <c r="N105" s="20" t="str">
        <f t="shared" si="3"/>
        <v>SIN STOCK / CARGAR PRECIO</v>
      </c>
    </row>
    <row r="106" ht="15.75" customHeight="1">
      <c r="A106" s="15" t="s">
        <v>2174</v>
      </c>
      <c r="B106" s="35">
        <v>2600.0</v>
      </c>
      <c r="C106" s="15" t="s">
        <v>502</v>
      </c>
      <c r="D106" s="15" t="s">
        <v>519</v>
      </c>
      <c r="E106" s="15"/>
      <c r="F106" s="194">
        <v>0.0</v>
      </c>
      <c r="G106" s="15">
        <v>0.0</v>
      </c>
      <c r="H106" s="33">
        <v>0.0</v>
      </c>
      <c r="I106" s="19">
        <v>0.0</v>
      </c>
      <c r="J106" s="19" t="str">
        <f t="shared" si="1"/>
        <v>sin stock</v>
      </c>
      <c r="K106" s="15"/>
      <c r="L106" s="20"/>
      <c r="M106" s="20"/>
      <c r="N106" s="20" t="str">
        <f t="shared" si="3"/>
        <v>SIN STOCK / CARGAR PRECIO</v>
      </c>
    </row>
    <row r="107" ht="15.75" customHeight="1">
      <c r="A107" s="19" t="s">
        <v>2175</v>
      </c>
      <c r="B107" s="29">
        <v>1600.0</v>
      </c>
      <c r="C107" s="15" t="s">
        <v>87</v>
      </c>
      <c r="D107" s="15" t="s">
        <v>597</v>
      </c>
      <c r="E107" s="19"/>
      <c r="F107" s="33">
        <v>0.0</v>
      </c>
      <c r="G107" s="15">
        <v>0.0</v>
      </c>
      <c r="H107" s="33">
        <v>0.0</v>
      </c>
      <c r="I107" s="19">
        <v>1.0</v>
      </c>
      <c r="J107" s="19" t="str">
        <f t="shared" si="1"/>
        <v>sin stock</v>
      </c>
      <c r="K107" s="15"/>
      <c r="L107" s="20"/>
      <c r="M107" s="20"/>
      <c r="N107" s="20" t="str">
        <f t="shared" si="3"/>
        <v>SIN STOCK / CARGAR PRECIO</v>
      </c>
    </row>
    <row r="108" ht="15.75" customHeight="1">
      <c r="A108" s="15" t="s">
        <v>2176</v>
      </c>
      <c r="B108" s="35">
        <v>3000.0</v>
      </c>
      <c r="C108" s="15" t="s">
        <v>87</v>
      </c>
      <c r="D108" s="15" t="s">
        <v>1023</v>
      </c>
      <c r="E108" s="15"/>
      <c r="F108" s="33">
        <v>0.0</v>
      </c>
      <c r="G108" s="15">
        <v>0.0</v>
      </c>
      <c r="H108" s="33">
        <v>0.0</v>
      </c>
      <c r="I108" s="19">
        <v>0.0</v>
      </c>
      <c r="J108" s="19" t="str">
        <f t="shared" si="1"/>
        <v>sin stock</v>
      </c>
      <c r="K108" s="15"/>
      <c r="L108" s="20"/>
      <c r="M108" s="20"/>
      <c r="N108" s="20" t="str">
        <f t="shared" si="3"/>
        <v>SIN STOCK / CARGAR PRECIO</v>
      </c>
    </row>
    <row r="109" ht="15.75" customHeight="1">
      <c r="A109" s="15" t="s">
        <v>2177</v>
      </c>
      <c r="B109" s="35">
        <v>5000.0</v>
      </c>
      <c r="C109" s="15" t="s">
        <v>87</v>
      </c>
      <c r="D109" s="15" t="s">
        <v>612</v>
      </c>
      <c r="E109" s="15"/>
      <c r="F109" s="33">
        <v>0.0</v>
      </c>
      <c r="G109" s="15">
        <v>0.0</v>
      </c>
      <c r="H109" s="33">
        <v>0.0</v>
      </c>
      <c r="I109" s="19">
        <v>0.0</v>
      </c>
      <c r="J109" s="19" t="str">
        <f t="shared" si="1"/>
        <v>sin stock</v>
      </c>
      <c r="K109" s="15"/>
      <c r="L109" s="20"/>
      <c r="M109" s="20"/>
      <c r="N109" s="20" t="str">
        <f t="shared" si="3"/>
        <v>SIN STOCK / CARGAR PRECIO</v>
      </c>
    </row>
    <row r="110" ht="15.75" customHeight="1">
      <c r="A110" s="15" t="s">
        <v>2178</v>
      </c>
      <c r="B110" s="35">
        <v>5000.0</v>
      </c>
      <c r="C110" s="15" t="s">
        <v>87</v>
      </c>
      <c r="D110" s="15" t="s">
        <v>391</v>
      </c>
      <c r="E110" s="15"/>
      <c r="F110" s="33">
        <v>0.0</v>
      </c>
      <c r="G110" s="15">
        <v>0.0</v>
      </c>
      <c r="H110" s="33">
        <v>0.0</v>
      </c>
      <c r="I110" s="19">
        <v>0.0</v>
      </c>
      <c r="J110" s="19" t="str">
        <f t="shared" si="1"/>
        <v>sin stock</v>
      </c>
      <c r="K110" s="15"/>
      <c r="L110" s="20"/>
      <c r="M110" s="20"/>
      <c r="N110" s="20" t="str">
        <f t="shared" si="3"/>
        <v>SIN STOCK / CARGAR PRECIO</v>
      </c>
    </row>
    <row r="111" ht="15.75" customHeight="1">
      <c r="A111" s="15" t="s">
        <v>2179</v>
      </c>
      <c r="B111" s="35">
        <v>4000.0</v>
      </c>
      <c r="C111" s="15" t="s">
        <v>383</v>
      </c>
      <c r="D111" s="15" t="s">
        <v>964</v>
      </c>
      <c r="E111" s="15"/>
      <c r="F111" s="33">
        <v>0.0</v>
      </c>
      <c r="G111" s="15">
        <v>0.0</v>
      </c>
      <c r="H111" s="33">
        <v>0.0</v>
      </c>
      <c r="I111" s="19">
        <v>0.0</v>
      </c>
      <c r="J111" s="19" t="str">
        <f t="shared" si="1"/>
        <v>sin stock</v>
      </c>
      <c r="K111" s="15"/>
      <c r="L111" s="20"/>
      <c r="M111" s="20"/>
      <c r="N111" s="20" t="str">
        <f t="shared" si="3"/>
        <v>SIN STOCK / CARGAR PRECIO</v>
      </c>
    </row>
    <row r="112" ht="15.75" customHeight="1">
      <c r="A112" s="15" t="s">
        <v>2180</v>
      </c>
      <c r="B112" s="35">
        <v>5000.0</v>
      </c>
      <c r="C112" s="15" t="s">
        <v>87</v>
      </c>
      <c r="D112" s="15" t="s">
        <v>202</v>
      </c>
      <c r="E112" s="15"/>
      <c r="F112" s="33">
        <v>0.0</v>
      </c>
      <c r="G112" s="15">
        <v>0.0</v>
      </c>
      <c r="H112" s="33">
        <v>0.0</v>
      </c>
      <c r="I112" s="19">
        <v>0.0</v>
      </c>
      <c r="J112" s="19" t="str">
        <f t="shared" si="1"/>
        <v>sin stock</v>
      </c>
      <c r="K112" s="15"/>
      <c r="L112" s="20"/>
      <c r="M112" s="20"/>
      <c r="N112" s="20" t="str">
        <f t="shared" si="3"/>
        <v>SIN STOCK / CARGAR PRECIO</v>
      </c>
    </row>
    <row r="113" ht="15.75" customHeight="1">
      <c r="A113" s="15" t="s">
        <v>2181</v>
      </c>
      <c r="B113" s="35">
        <v>4000.0</v>
      </c>
      <c r="C113" s="15" t="s">
        <v>87</v>
      </c>
      <c r="D113" s="15" t="s">
        <v>204</v>
      </c>
      <c r="E113" s="15"/>
      <c r="F113" s="33">
        <v>0.0</v>
      </c>
      <c r="G113" s="15">
        <v>0.0</v>
      </c>
      <c r="H113" s="33">
        <v>0.0</v>
      </c>
      <c r="I113" s="19">
        <v>0.0</v>
      </c>
      <c r="J113" s="19" t="str">
        <f t="shared" si="1"/>
        <v>sin stock</v>
      </c>
      <c r="K113" s="15"/>
      <c r="L113" s="20"/>
      <c r="M113" s="20"/>
      <c r="N113" s="20" t="str">
        <f t="shared" si="3"/>
        <v>SIN STOCK / CARGAR PRECIO</v>
      </c>
    </row>
    <row r="114" ht="15.75" customHeight="1">
      <c r="A114" s="15" t="s">
        <v>2182</v>
      </c>
      <c r="B114" s="35">
        <v>100.0</v>
      </c>
      <c r="C114" s="15" t="s">
        <v>502</v>
      </c>
      <c r="D114" s="15" t="s">
        <v>393</v>
      </c>
      <c r="E114" s="15"/>
      <c r="F114" s="33">
        <v>0.0</v>
      </c>
      <c r="G114" s="15">
        <v>0.0</v>
      </c>
      <c r="H114" s="33">
        <v>0.0</v>
      </c>
      <c r="I114" s="19">
        <v>0.0</v>
      </c>
      <c r="J114" s="19" t="str">
        <f t="shared" si="1"/>
        <v>sin stock</v>
      </c>
      <c r="K114" s="15"/>
      <c r="L114" s="20"/>
      <c r="M114" s="20"/>
      <c r="N114" s="20" t="str">
        <f t="shared" si="3"/>
        <v>SIN STOCK / CARGAR PRECIO</v>
      </c>
    </row>
    <row r="115" ht="15.75" customHeight="1">
      <c r="A115" s="15" t="s">
        <v>2183</v>
      </c>
      <c r="B115" s="35">
        <v>100.0</v>
      </c>
      <c r="C115" s="15" t="s">
        <v>502</v>
      </c>
      <c r="D115" s="15" t="s">
        <v>636</v>
      </c>
      <c r="E115" s="15"/>
      <c r="F115" s="33">
        <v>0.0</v>
      </c>
      <c r="G115" s="15">
        <v>0.0</v>
      </c>
      <c r="H115" s="33">
        <v>0.0</v>
      </c>
      <c r="I115" s="19">
        <v>0.0</v>
      </c>
      <c r="J115" s="19" t="str">
        <f t="shared" si="1"/>
        <v>sin stock</v>
      </c>
      <c r="K115" s="15"/>
      <c r="L115" s="20"/>
      <c r="M115" s="20"/>
      <c r="N115" s="20" t="str">
        <f t="shared" si="3"/>
        <v>SIN STOCK / CARGAR PRECIO</v>
      </c>
    </row>
    <row r="116" ht="15.75" customHeight="1">
      <c r="A116" s="19" t="s">
        <v>2184</v>
      </c>
      <c r="B116" s="29">
        <v>4500.0</v>
      </c>
      <c r="C116" s="19" t="s">
        <v>87</v>
      </c>
      <c r="D116" s="15" t="s">
        <v>1258</v>
      </c>
      <c r="E116" s="19"/>
      <c r="F116" s="29">
        <v>0.0</v>
      </c>
      <c r="G116" s="15">
        <v>0.0</v>
      </c>
      <c r="H116" s="33">
        <v>0.0</v>
      </c>
      <c r="I116" s="19">
        <v>0.0</v>
      </c>
      <c r="J116" s="19" t="str">
        <f t="shared" si="1"/>
        <v>sin stock</v>
      </c>
      <c r="K116" s="15"/>
      <c r="L116" s="20"/>
      <c r="M116" s="20"/>
      <c r="N116" s="20" t="str">
        <f t="shared" si="3"/>
        <v>SIN STOCK / CARGAR PRECIO</v>
      </c>
    </row>
    <row r="117" ht="15.75" customHeight="1">
      <c r="A117" s="19" t="s">
        <v>2015</v>
      </c>
      <c r="B117" s="29">
        <v>9900.0</v>
      </c>
      <c r="C117" s="19" t="s">
        <v>87</v>
      </c>
      <c r="D117" s="15" t="s">
        <v>214</v>
      </c>
      <c r="E117" s="19"/>
      <c r="F117" s="203">
        <v>0.0</v>
      </c>
      <c r="G117" s="15">
        <v>0.0</v>
      </c>
      <c r="H117" s="33">
        <v>0.0</v>
      </c>
      <c r="I117" s="19">
        <v>0.0</v>
      </c>
      <c r="J117" s="19" t="str">
        <f t="shared" si="1"/>
        <v>sin stock</v>
      </c>
      <c r="K117" s="15"/>
      <c r="L117" s="20"/>
      <c r="M117" s="20"/>
      <c r="N117" s="20" t="str">
        <f t="shared" si="3"/>
        <v>SIN STOCK / CARGAR PRECIO</v>
      </c>
    </row>
    <row r="118" ht="15.75" customHeight="1">
      <c r="A118" s="19" t="s">
        <v>2185</v>
      </c>
      <c r="B118" s="29">
        <v>5000.0</v>
      </c>
      <c r="C118" s="15" t="s">
        <v>87</v>
      </c>
      <c r="D118" s="15" t="s">
        <v>216</v>
      </c>
      <c r="E118" s="19"/>
      <c r="F118" s="29">
        <v>0.0</v>
      </c>
      <c r="G118" s="15">
        <v>0.0</v>
      </c>
      <c r="H118" s="33">
        <v>0.0</v>
      </c>
      <c r="I118" s="19">
        <v>0.0</v>
      </c>
      <c r="J118" s="19" t="str">
        <f t="shared" si="1"/>
        <v>sin stock</v>
      </c>
      <c r="K118" s="15"/>
      <c r="L118" s="20"/>
      <c r="M118" s="20"/>
      <c r="N118" s="20" t="str">
        <f t="shared" si="3"/>
        <v>SIN STOCK / CARGAR PRECIO</v>
      </c>
    </row>
    <row r="119" ht="15.75" customHeight="1">
      <c r="A119" s="19" t="s">
        <v>2186</v>
      </c>
      <c r="B119" s="29">
        <v>4000.0</v>
      </c>
      <c r="C119" s="15" t="s">
        <v>87</v>
      </c>
      <c r="D119" s="15" t="s">
        <v>219</v>
      </c>
      <c r="E119" s="19"/>
      <c r="F119" s="29">
        <v>0.0</v>
      </c>
      <c r="G119" s="15">
        <v>0.0</v>
      </c>
      <c r="H119" s="33">
        <v>0.0</v>
      </c>
      <c r="I119" s="19">
        <v>0.0</v>
      </c>
      <c r="J119" s="19" t="str">
        <f t="shared" si="1"/>
        <v>sin stock</v>
      </c>
      <c r="K119" s="15"/>
      <c r="L119" s="20"/>
      <c r="M119" s="20"/>
      <c r="N119" s="20" t="str">
        <f t="shared" si="3"/>
        <v>SIN STOCK / CARGAR PRECIO</v>
      </c>
    </row>
    <row r="120" ht="15.75" customHeight="1">
      <c r="A120" s="19" t="s">
        <v>2187</v>
      </c>
      <c r="B120" s="29">
        <v>2000.0</v>
      </c>
      <c r="C120" s="19" t="s">
        <v>87</v>
      </c>
      <c r="D120" s="15" t="s">
        <v>221</v>
      </c>
      <c r="E120" s="19"/>
      <c r="F120" s="203">
        <v>0.0</v>
      </c>
      <c r="G120" s="15">
        <v>0.0</v>
      </c>
      <c r="H120" s="33">
        <v>25.0</v>
      </c>
      <c r="I120" s="19">
        <v>0.0</v>
      </c>
      <c r="J120" s="19" t="str">
        <f t="shared" si="1"/>
        <v>sin stock</v>
      </c>
      <c r="K120" s="15">
        <v>3000.0</v>
      </c>
      <c r="L120" s="20"/>
      <c r="M120" s="20"/>
      <c r="N120" s="20" t="str">
        <f t="shared" si="3"/>
        <v>SIN STOCK / CARGAR PRECIO</v>
      </c>
    </row>
    <row r="121" ht="15.75" customHeight="1">
      <c r="A121" s="19" t="s">
        <v>2188</v>
      </c>
      <c r="B121" s="29">
        <v>3000.0</v>
      </c>
      <c r="C121" s="19" t="s">
        <v>87</v>
      </c>
      <c r="D121" s="15" t="s">
        <v>618</v>
      </c>
      <c r="E121" s="19"/>
      <c r="F121" s="29">
        <v>0.0</v>
      </c>
      <c r="G121" s="15">
        <v>0.0</v>
      </c>
      <c r="H121" s="33">
        <v>0.0</v>
      </c>
      <c r="I121" s="19">
        <v>0.0</v>
      </c>
      <c r="J121" s="19" t="str">
        <f t="shared" si="1"/>
        <v>sin stock</v>
      </c>
      <c r="K121" s="15"/>
      <c r="L121" s="20"/>
      <c r="M121" s="20"/>
      <c r="N121" s="20" t="str">
        <f t="shared" si="3"/>
        <v>SIN STOCK / CARGAR PRECIO</v>
      </c>
    </row>
    <row r="122" ht="15.75" customHeight="1">
      <c r="A122" s="15" t="s">
        <v>2189</v>
      </c>
      <c r="B122" s="35">
        <v>2000.0</v>
      </c>
      <c r="C122" s="15" t="s">
        <v>383</v>
      </c>
      <c r="D122" s="15" t="s">
        <v>926</v>
      </c>
      <c r="E122" s="15"/>
      <c r="F122" s="33">
        <v>0.0</v>
      </c>
      <c r="G122" s="15">
        <v>0.0</v>
      </c>
      <c r="H122" s="33">
        <v>0.0</v>
      </c>
      <c r="I122" s="19">
        <v>0.0</v>
      </c>
      <c r="J122" s="19" t="str">
        <f t="shared" si="1"/>
        <v>sin stock</v>
      </c>
      <c r="K122" s="15"/>
      <c r="L122" s="20"/>
      <c r="M122" s="20"/>
      <c r="N122" s="20" t="str">
        <f t="shared" si="3"/>
        <v>SIN STOCK / CARGAR PRECIO</v>
      </c>
    </row>
    <row r="123" ht="15.75" customHeight="1">
      <c r="A123" s="15" t="s">
        <v>2190</v>
      </c>
      <c r="B123" s="35">
        <v>5000.0</v>
      </c>
      <c r="C123" s="15" t="s">
        <v>502</v>
      </c>
      <c r="D123" s="15" t="s">
        <v>601</v>
      </c>
      <c r="E123" s="15"/>
      <c r="F123" s="33">
        <v>0.0</v>
      </c>
      <c r="G123" s="15">
        <v>0.0</v>
      </c>
      <c r="H123" s="33">
        <v>0.0</v>
      </c>
      <c r="I123" s="19">
        <v>0.0</v>
      </c>
      <c r="J123" s="19" t="str">
        <f t="shared" si="1"/>
        <v>sin stock</v>
      </c>
      <c r="K123" s="15"/>
      <c r="L123" s="20"/>
      <c r="M123" s="20"/>
      <c r="N123" s="20" t="str">
        <f t="shared" si="3"/>
        <v>SIN STOCK / CARGAR PRECIO</v>
      </c>
    </row>
    <row r="124" ht="15.75" customHeight="1">
      <c r="A124" s="15" t="s">
        <v>2191</v>
      </c>
      <c r="B124" s="35">
        <v>4000.0</v>
      </c>
      <c r="C124" s="15" t="s">
        <v>502</v>
      </c>
      <c r="D124" s="15" t="s">
        <v>223</v>
      </c>
      <c r="E124" s="15"/>
      <c r="F124" s="33">
        <v>0.0</v>
      </c>
      <c r="G124" s="15">
        <v>0.0</v>
      </c>
      <c r="H124" s="33">
        <v>0.0</v>
      </c>
      <c r="I124" s="19">
        <v>0.0</v>
      </c>
      <c r="J124" s="19" t="str">
        <f t="shared" si="1"/>
        <v>sin stock</v>
      </c>
      <c r="K124" s="15"/>
      <c r="L124" s="20"/>
      <c r="M124" s="20"/>
      <c r="N124" s="20" t="str">
        <f t="shared" si="3"/>
        <v>SIN STOCK / CARGAR PRECIO</v>
      </c>
    </row>
    <row r="125" ht="15.75" customHeight="1">
      <c r="A125" s="15" t="s">
        <v>2192</v>
      </c>
      <c r="B125" s="35">
        <v>2000.0</v>
      </c>
      <c r="C125" s="15" t="s">
        <v>502</v>
      </c>
      <c r="D125" s="15" t="s">
        <v>928</v>
      </c>
      <c r="E125" s="15"/>
      <c r="F125" s="33">
        <v>0.0</v>
      </c>
      <c r="G125" s="15">
        <v>0.0</v>
      </c>
      <c r="H125" s="33">
        <v>0.0</v>
      </c>
      <c r="I125" s="19">
        <v>0.0</v>
      </c>
      <c r="J125" s="19" t="str">
        <f t="shared" si="1"/>
        <v>sin stock</v>
      </c>
      <c r="K125" s="15"/>
      <c r="L125" s="20"/>
      <c r="M125" s="20"/>
      <c r="N125" s="20" t="str">
        <f t="shared" si="3"/>
        <v>SIN STOCK / CARGAR PRECIO</v>
      </c>
    </row>
    <row r="126" ht="15.75" customHeight="1">
      <c r="A126" s="15" t="s">
        <v>2193</v>
      </c>
      <c r="B126" s="35">
        <v>4000.0</v>
      </c>
      <c r="C126" s="15" t="s">
        <v>502</v>
      </c>
      <c r="D126" s="15" t="s">
        <v>227</v>
      </c>
      <c r="E126" s="15"/>
      <c r="F126" s="33">
        <v>0.0</v>
      </c>
      <c r="G126" s="15">
        <v>0.0</v>
      </c>
      <c r="H126" s="33">
        <v>0.0</v>
      </c>
      <c r="I126" s="19">
        <v>0.0</v>
      </c>
      <c r="J126" s="19" t="str">
        <f t="shared" si="1"/>
        <v>sin stock</v>
      </c>
      <c r="K126" s="15"/>
      <c r="L126" s="20"/>
      <c r="M126" s="20"/>
      <c r="N126" s="20" t="str">
        <f t="shared" si="3"/>
        <v>SIN STOCK / CARGAR PRECIO</v>
      </c>
    </row>
    <row r="127" ht="15.75" customHeight="1">
      <c r="A127" s="15" t="s">
        <v>2194</v>
      </c>
      <c r="B127" s="35">
        <v>2590.0</v>
      </c>
      <c r="C127" s="15" t="s">
        <v>582</v>
      </c>
      <c r="D127" s="15" t="s">
        <v>794</v>
      </c>
      <c r="E127" s="15"/>
      <c r="F127" s="33">
        <v>0.0</v>
      </c>
      <c r="G127" s="15">
        <v>0.0</v>
      </c>
      <c r="H127" s="33">
        <v>0.0</v>
      </c>
      <c r="I127" s="19">
        <v>0.0</v>
      </c>
      <c r="J127" s="19" t="str">
        <f t="shared" si="1"/>
        <v>sin stock</v>
      </c>
      <c r="K127" s="15"/>
      <c r="L127" s="20"/>
      <c r="M127" s="20"/>
      <c r="N127" s="20" t="str">
        <f t="shared" si="3"/>
        <v>SIN STOCK / CARGAR PRECIO</v>
      </c>
    </row>
    <row r="128" ht="15.75" customHeight="1">
      <c r="A128" s="15" t="s">
        <v>2195</v>
      </c>
      <c r="B128" s="35">
        <v>6000.0</v>
      </c>
      <c r="C128" s="15" t="s">
        <v>297</v>
      </c>
      <c r="D128" s="15" t="s">
        <v>1007</v>
      </c>
      <c r="E128" s="15"/>
      <c r="F128" s="33">
        <v>0.0</v>
      </c>
      <c r="G128" s="15">
        <v>0.0</v>
      </c>
      <c r="H128" s="33">
        <v>0.0</v>
      </c>
      <c r="I128" s="19">
        <v>0.0</v>
      </c>
      <c r="J128" s="19" t="str">
        <f t="shared" si="1"/>
        <v>sin stock</v>
      </c>
      <c r="K128" s="15"/>
      <c r="L128" s="20"/>
      <c r="M128" s="20"/>
      <c r="N128" s="20" t="str">
        <f t="shared" si="3"/>
        <v>SIN STOCK / CARGAR PRECIO</v>
      </c>
    </row>
    <row r="129" ht="15.75" customHeight="1">
      <c r="A129" s="15" t="s">
        <v>2196</v>
      </c>
      <c r="B129" s="35">
        <v>5000.0</v>
      </c>
      <c r="C129" s="15" t="s">
        <v>383</v>
      </c>
      <c r="D129" s="15" t="s">
        <v>229</v>
      </c>
      <c r="E129" s="15"/>
      <c r="F129" s="194">
        <v>0.0</v>
      </c>
      <c r="G129" s="15">
        <v>0.0</v>
      </c>
      <c r="H129" s="33">
        <v>0.0</v>
      </c>
      <c r="I129" s="19">
        <v>0.0</v>
      </c>
      <c r="J129" s="19" t="str">
        <f t="shared" si="1"/>
        <v>sin stock</v>
      </c>
      <c r="K129" s="15"/>
      <c r="L129" s="20"/>
      <c r="M129" s="20"/>
      <c r="N129" s="20" t="str">
        <f t="shared" si="3"/>
        <v>SIN STOCK / CARGAR PRECIO</v>
      </c>
    </row>
    <row r="130" ht="15.75" customHeight="1">
      <c r="A130" s="15" t="s">
        <v>2197</v>
      </c>
      <c r="B130" s="35">
        <v>2000.0</v>
      </c>
      <c r="C130" s="15" t="s">
        <v>87</v>
      </c>
      <c r="D130" s="15" t="s">
        <v>685</v>
      </c>
      <c r="E130" s="15"/>
      <c r="F130" s="33">
        <v>0.0</v>
      </c>
      <c r="G130" s="15">
        <v>0.0</v>
      </c>
      <c r="H130" s="33">
        <v>0.0</v>
      </c>
      <c r="I130" s="19">
        <v>0.0</v>
      </c>
      <c r="J130" s="19" t="str">
        <f t="shared" si="1"/>
        <v>sin stock</v>
      </c>
      <c r="K130" s="15"/>
      <c r="L130" s="20"/>
      <c r="M130" s="20"/>
      <c r="N130" s="20" t="str">
        <f t="shared" si="3"/>
        <v>SIN STOCK / CARGAR PRECIO</v>
      </c>
    </row>
    <row r="131" ht="15.75" customHeight="1">
      <c r="A131" s="15" t="s">
        <v>2198</v>
      </c>
      <c r="B131" s="35">
        <v>3000.0</v>
      </c>
      <c r="C131" s="15" t="s">
        <v>87</v>
      </c>
      <c r="D131" s="15" t="s">
        <v>1260</v>
      </c>
      <c r="E131" s="15"/>
      <c r="F131" s="33">
        <v>0.0</v>
      </c>
      <c r="G131" s="15">
        <v>0.0</v>
      </c>
      <c r="H131" s="33">
        <v>0.0</v>
      </c>
      <c r="I131" s="19">
        <v>0.0</v>
      </c>
      <c r="J131" s="19" t="str">
        <f t="shared" si="1"/>
        <v>sin stock</v>
      </c>
      <c r="K131" s="15"/>
      <c r="L131" s="20"/>
      <c r="M131" s="20"/>
      <c r="N131" s="20" t="str">
        <f t="shared" si="3"/>
        <v>SIN STOCK / CARGAR PRECIO</v>
      </c>
    </row>
    <row r="132" ht="15.75" customHeight="1">
      <c r="A132" s="15" t="s">
        <v>2199</v>
      </c>
      <c r="B132" s="35">
        <v>5000.0</v>
      </c>
      <c r="C132" s="15" t="s">
        <v>87</v>
      </c>
      <c r="D132" s="15" t="s">
        <v>239</v>
      </c>
      <c r="E132" s="15"/>
      <c r="F132" s="33">
        <v>0.0</v>
      </c>
      <c r="G132" s="15">
        <v>0.0</v>
      </c>
      <c r="H132" s="33">
        <v>0.0</v>
      </c>
      <c r="I132" s="19">
        <v>0.0</v>
      </c>
      <c r="J132" s="19" t="str">
        <f t="shared" si="1"/>
        <v>sin stock</v>
      </c>
      <c r="K132" s="15"/>
      <c r="L132" s="20"/>
      <c r="M132" s="20"/>
      <c r="N132" s="20" t="str">
        <f t="shared" si="3"/>
        <v>SIN STOCK / CARGAR PRECIO</v>
      </c>
    </row>
    <row r="133" ht="15.75" customHeight="1">
      <c r="A133" s="15" t="s">
        <v>230</v>
      </c>
      <c r="B133" s="35">
        <v>1700.0</v>
      </c>
      <c r="C133" s="15" t="s">
        <v>87</v>
      </c>
      <c r="D133" s="15" t="s">
        <v>241</v>
      </c>
      <c r="E133" s="15"/>
      <c r="F133" s="33">
        <v>0.0</v>
      </c>
      <c r="G133" s="15">
        <v>2.0</v>
      </c>
      <c r="H133" s="33">
        <v>0.0</v>
      </c>
      <c r="I133" s="19">
        <v>0.0</v>
      </c>
      <c r="J133" s="19" t="str">
        <f t="shared" si="1"/>
        <v>sin stock</v>
      </c>
      <c r="K133" s="15"/>
      <c r="L133" s="20"/>
      <c r="M133" s="20"/>
      <c r="N133" s="20" t="str">
        <f t="shared" si="3"/>
        <v>SIN STOCK / CARGAR PRECIO</v>
      </c>
    </row>
    <row r="134" ht="15.75" customHeight="1">
      <c r="A134" s="15" t="s">
        <v>2200</v>
      </c>
      <c r="B134" s="35">
        <v>3500.0</v>
      </c>
      <c r="C134" s="15" t="s">
        <v>87</v>
      </c>
      <c r="D134" s="15" t="s">
        <v>904</v>
      </c>
      <c r="E134" s="15"/>
      <c r="F134" s="33">
        <v>0.0</v>
      </c>
      <c r="G134" s="15">
        <v>0.0</v>
      </c>
      <c r="H134" s="33">
        <v>0.0</v>
      </c>
      <c r="I134" s="19">
        <v>0.0</v>
      </c>
      <c r="J134" s="19" t="str">
        <f t="shared" si="1"/>
        <v>sin stock</v>
      </c>
      <c r="K134" s="15"/>
      <c r="L134" s="20"/>
      <c r="M134" s="20"/>
      <c r="N134" s="20" t="str">
        <f t="shared" si="3"/>
        <v>SIN STOCK / CARGAR PRECIO</v>
      </c>
    </row>
    <row r="135" ht="15.75" customHeight="1">
      <c r="A135" s="15" t="s">
        <v>2201</v>
      </c>
      <c r="B135" s="35">
        <v>3400.0</v>
      </c>
      <c r="C135" s="15" t="s">
        <v>297</v>
      </c>
      <c r="D135" s="15" t="s">
        <v>1009</v>
      </c>
      <c r="E135" s="15"/>
      <c r="F135" s="33">
        <v>0.0</v>
      </c>
      <c r="G135" s="15">
        <v>0.0</v>
      </c>
      <c r="H135" s="33">
        <v>0.0</v>
      </c>
      <c r="I135" s="19">
        <v>0.0</v>
      </c>
      <c r="J135" s="19" t="str">
        <f t="shared" si="1"/>
        <v>sin stock</v>
      </c>
      <c r="K135" s="15"/>
      <c r="L135" s="20"/>
      <c r="M135" s="20"/>
      <c r="N135" s="20" t="str">
        <f t="shared" si="3"/>
        <v>SIN STOCK / CARGAR PRECIO</v>
      </c>
    </row>
    <row r="136" ht="15.75" customHeight="1">
      <c r="A136" s="15" t="s">
        <v>2202</v>
      </c>
      <c r="B136" s="35">
        <v>3000.0</v>
      </c>
      <c r="C136" s="15" t="s">
        <v>87</v>
      </c>
      <c r="D136" s="15" t="s">
        <v>1250</v>
      </c>
      <c r="E136" s="15"/>
      <c r="F136" s="33">
        <v>0.0</v>
      </c>
      <c r="G136" s="15">
        <v>0.0</v>
      </c>
      <c r="H136" s="33">
        <v>0.0</v>
      </c>
      <c r="I136" s="19">
        <v>0.0</v>
      </c>
      <c r="J136" s="19" t="str">
        <f t="shared" si="1"/>
        <v>sin stock</v>
      </c>
      <c r="K136" s="15"/>
      <c r="L136" s="20"/>
      <c r="M136" s="20"/>
      <c r="N136" s="20" t="str">
        <f t="shared" si="3"/>
        <v>SIN STOCK / CARGAR PRECIO</v>
      </c>
    </row>
    <row r="137" ht="15.75" customHeight="1">
      <c r="A137" s="15" t="s">
        <v>2203</v>
      </c>
      <c r="B137" s="35">
        <v>1500.0</v>
      </c>
      <c r="C137" s="15" t="s">
        <v>87</v>
      </c>
      <c r="D137" s="15" t="s">
        <v>802</v>
      </c>
      <c r="E137" s="15"/>
      <c r="F137" s="33">
        <v>0.0</v>
      </c>
      <c r="G137" s="15">
        <v>0.0</v>
      </c>
      <c r="H137" s="33">
        <v>0.0</v>
      </c>
      <c r="I137" s="19">
        <v>0.0</v>
      </c>
      <c r="J137" s="19" t="str">
        <f t="shared" si="1"/>
        <v>sin stock</v>
      </c>
      <c r="K137" s="15"/>
      <c r="L137" s="20"/>
      <c r="M137" s="20"/>
      <c r="N137" s="20" t="str">
        <f t="shared" si="3"/>
        <v>SIN STOCK / CARGAR PRECIO</v>
      </c>
    </row>
    <row r="138" ht="15.75" customHeight="1">
      <c r="A138" s="15" t="s">
        <v>2204</v>
      </c>
      <c r="B138" s="35">
        <v>2500.0</v>
      </c>
      <c r="C138" s="15" t="s">
        <v>87</v>
      </c>
      <c r="D138" s="15" t="s">
        <v>243</v>
      </c>
      <c r="E138" s="15"/>
      <c r="F138" s="33">
        <v>0.0</v>
      </c>
      <c r="G138" s="15">
        <v>0.0</v>
      </c>
      <c r="H138" s="33">
        <v>0.0</v>
      </c>
      <c r="I138" s="19">
        <v>0.0</v>
      </c>
      <c r="J138" s="19" t="str">
        <f t="shared" si="1"/>
        <v>sin stock</v>
      </c>
      <c r="K138" s="15"/>
      <c r="L138" s="20"/>
      <c r="M138" s="20"/>
      <c r="N138" s="20" t="str">
        <f t="shared" si="3"/>
        <v>SIN STOCK / CARGAR PRECIO</v>
      </c>
    </row>
    <row r="139" ht="15.75" customHeight="1">
      <c r="A139" s="15" t="s">
        <v>2205</v>
      </c>
      <c r="B139" s="35">
        <v>5000.0</v>
      </c>
      <c r="C139" s="15" t="s">
        <v>87</v>
      </c>
      <c r="D139" s="15" t="s">
        <v>1214</v>
      </c>
      <c r="E139" s="15"/>
      <c r="F139" s="33">
        <v>0.0</v>
      </c>
      <c r="G139" s="15">
        <v>0.0</v>
      </c>
      <c r="H139" s="33">
        <v>0.0</v>
      </c>
      <c r="I139" s="19">
        <v>0.0</v>
      </c>
      <c r="J139" s="19" t="str">
        <f t="shared" si="1"/>
        <v>sin stock</v>
      </c>
      <c r="K139" s="15"/>
      <c r="L139" s="20"/>
      <c r="M139" s="20"/>
      <c r="N139" s="20" t="str">
        <f t="shared" si="3"/>
        <v>SIN STOCK / CARGAR PRECIO</v>
      </c>
    </row>
    <row r="140" ht="15.75" customHeight="1">
      <c r="A140" s="19" t="s">
        <v>2206</v>
      </c>
      <c r="B140" s="29">
        <v>2700.0</v>
      </c>
      <c r="C140" s="19" t="s">
        <v>87</v>
      </c>
      <c r="D140" s="15" t="s">
        <v>1228</v>
      </c>
      <c r="E140" s="19"/>
      <c r="F140" s="194">
        <v>0.0</v>
      </c>
      <c r="G140" s="15">
        <v>0.0</v>
      </c>
      <c r="H140" s="33">
        <v>0.0</v>
      </c>
      <c r="I140" s="19">
        <v>0.0</v>
      </c>
      <c r="J140" s="19" t="str">
        <f t="shared" si="1"/>
        <v>sin stock</v>
      </c>
      <c r="K140" s="15"/>
      <c r="L140" s="20"/>
      <c r="M140" s="20"/>
      <c r="N140" s="20" t="str">
        <f t="shared" si="3"/>
        <v>SIN STOCK / CARGAR PRECIO</v>
      </c>
    </row>
    <row r="141" ht="15.75" customHeight="1">
      <c r="A141" s="15" t="s">
        <v>2207</v>
      </c>
      <c r="B141" s="35">
        <v>1500.0</v>
      </c>
      <c r="C141" s="15" t="s">
        <v>502</v>
      </c>
      <c r="D141" s="15" t="s">
        <v>922</v>
      </c>
      <c r="E141" s="15"/>
      <c r="F141" s="33">
        <v>0.0</v>
      </c>
      <c r="G141" s="15">
        <v>0.0</v>
      </c>
      <c r="H141" s="33">
        <v>0.0</v>
      </c>
      <c r="I141" s="19">
        <v>0.0</v>
      </c>
      <c r="J141" s="19" t="str">
        <f t="shared" si="1"/>
        <v>sin stock</v>
      </c>
      <c r="K141" s="15"/>
      <c r="L141" s="20"/>
      <c r="M141" s="20"/>
      <c r="N141" s="20" t="str">
        <f t="shared" si="3"/>
        <v>SIN STOCK / CARGAR PRECIO</v>
      </c>
    </row>
    <row r="142" ht="15.75" customHeight="1">
      <c r="A142" s="15" t="s">
        <v>2208</v>
      </c>
      <c r="B142" s="35">
        <v>3800.0</v>
      </c>
      <c r="C142" s="15" t="s">
        <v>582</v>
      </c>
      <c r="D142" s="15" t="s">
        <v>932</v>
      </c>
      <c r="E142" s="15"/>
      <c r="F142" s="33">
        <v>0.0</v>
      </c>
      <c r="G142" s="15">
        <v>0.0</v>
      </c>
      <c r="H142" s="33">
        <v>0.0</v>
      </c>
      <c r="I142" s="19">
        <v>0.0</v>
      </c>
      <c r="J142" s="19" t="str">
        <f t="shared" si="1"/>
        <v>sin stock</v>
      </c>
      <c r="K142" s="15"/>
      <c r="L142" s="20"/>
      <c r="M142" s="20"/>
      <c r="N142" s="20" t="str">
        <f t="shared" si="3"/>
        <v>SIN STOCK / CARGAR PRECIO</v>
      </c>
    </row>
    <row r="143" ht="15.75" customHeight="1">
      <c r="A143" s="15" t="s">
        <v>2209</v>
      </c>
      <c r="B143" s="35">
        <v>5000.0</v>
      </c>
      <c r="C143" s="15" t="s">
        <v>582</v>
      </c>
      <c r="D143" s="15" t="s">
        <v>1264</v>
      </c>
      <c r="E143" s="15"/>
      <c r="F143" s="33">
        <v>0.0</v>
      </c>
      <c r="G143" s="15">
        <v>0.0</v>
      </c>
      <c r="H143" s="33">
        <v>0.0</v>
      </c>
      <c r="I143" s="19">
        <v>0.0</v>
      </c>
      <c r="J143" s="19" t="str">
        <f t="shared" si="1"/>
        <v>sin stock</v>
      </c>
      <c r="K143" s="15"/>
      <c r="L143" s="20"/>
      <c r="M143" s="20"/>
      <c r="N143" s="20" t="str">
        <f t="shared" si="3"/>
        <v>SIN STOCK / CARGAR PRECIO</v>
      </c>
    </row>
    <row r="144" ht="15.75" customHeight="1">
      <c r="A144" s="15" t="s">
        <v>2210</v>
      </c>
      <c r="B144" s="35">
        <v>5000.0</v>
      </c>
      <c r="C144" s="15" t="s">
        <v>582</v>
      </c>
      <c r="D144" s="15" t="s">
        <v>934</v>
      </c>
      <c r="E144" s="15"/>
      <c r="F144" s="33">
        <v>0.0</v>
      </c>
      <c r="G144" s="15">
        <v>0.0</v>
      </c>
      <c r="H144" s="33">
        <v>0.0</v>
      </c>
      <c r="I144" s="19">
        <v>0.0</v>
      </c>
      <c r="J144" s="19" t="str">
        <f t="shared" si="1"/>
        <v>sin stock</v>
      </c>
      <c r="K144" s="15"/>
      <c r="L144" s="20"/>
      <c r="M144" s="20"/>
      <c r="N144" s="20" t="str">
        <f t="shared" si="3"/>
        <v>SIN STOCK / CARGAR PRECIO</v>
      </c>
    </row>
    <row r="145" ht="15.75" customHeight="1">
      <c r="A145" s="15" t="s">
        <v>2211</v>
      </c>
      <c r="B145" s="35">
        <v>3800.0</v>
      </c>
      <c r="C145" s="15" t="s">
        <v>582</v>
      </c>
      <c r="D145" s="15" t="s">
        <v>643</v>
      </c>
      <c r="E145" s="15"/>
      <c r="F145" s="33">
        <v>0.0</v>
      </c>
      <c r="G145" s="15">
        <v>0.0</v>
      </c>
      <c r="H145" s="33">
        <v>0.0</v>
      </c>
      <c r="I145" s="19">
        <v>0.0</v>
      </c>
      <c r="J145" s="19" t="str">
        <f t="shared" si="1"/>
        <v>sin stock</v>
      </c>
      <c r="K145" s="15"/>
      <c r="L145" s="20"/>
      <c r="M145" s="20"/>
      <c r="N145" s="20" t="str">
        <f t="shared" si="3"/>
        <v>SIN STOCK / CARGAR PRECIO</v>
      </c>
    </row>
    <row r="146" ht="15.75" customHeight="1">
      <c r="A146" s="19" t="s">
        <v>2212</v>
      </c>
      <c r="B146" s="29">
        <v>3800.0</v>
      </c>
      <c r="C146" s="15" t="s">
        <v>582</v>
      </c>
      <c r="D146" s="15" t="s">
        <v>1027</v>
      </c>
      <c r="E146" s="19"/>
      <c r="F146" s="29">
        <v>0.0</v>
      </c>
      <c r="G146" s="15">
        <v>0.0</v>
      </c>
      <c r="H146" s="33">
        <v>0.0</v>
      </c>
      <c r="I146" s="19">
        <v>0.0</v>
      </c>
      <c r="J146" s="19" t="str">
        <f t="shared" si="1"/>
        <v>sin stock</v>
      </c>
      <c r="K146" s="15"/>
      <c r="L146" s="20"/>
      <c r="M146" s="20"/>
      <c r="N146" s="20" t="str">
        <f t="shared" si="3"/>
        <v>SIN STOCK / CARGAR PRECIO</v>
      </c>
    </row>
    <row r="147" ht="15.75" customHeight="1">
      <c r="A147" s="19" t="s">
        <v>2213</v>
      </c>
      <c r="B147" s="29">
        <v>5000.0</v>
      </c>
      <c r="C147" s="15" t="s">
        <v>582</v>
      </c>
      <c r="D147" s="15" t="s">
        <v>1029</v>
      </c>
      <c r="E147" s="19"/>
      <c r="F147" s="29">
        <v>0.0</v>
      </c>
      <c r="G147" s="15">
        <v>0.0</v>
      </c>
      <c r="H147" s="33">
        <v>0.0</v>
      </c>
      <c r="I147" s="19">
        <v>0.0</v>
      </c>
      <c r="J147" s="19" t="str">
        <f t="shared" si="1"/>
        <v>sin stock</v>
      </c>
      <c r="K147" s="15"/>
      <c r="L147" s="20"/>
      <c r="M147" s="20"/>
      <c r="N147" s="20" t="str">
        <f t="shared" si="3"/>
        <v>SIN STOCK / CARGAR PRECIO</v>
      </c>
    </row>
    <row r="148" ht="15.75" customHeight="1">
      <c r="A148" s="19" t="s">
        <v>2214</v>
      </c>
      <c r="B148" s="29">
        <v>5000.0</v>
      </c>
      <c r="C148" s="15" t="s">
        <v>582</v>
      </c>
      <c r="D148" s="15" t="s">
        <v>645</v>
      </c>
      <c r="E148" s="19"/>
      <c r="F148" s="203">
        <v>0.0</v>
      </c>
      <c r="G148" s="15">
        <v>0.0</v>
      </c>
      <c r="H148" s="33">
        <v>0.0</v>
      </c>
      <c r="I148" s="19">
        <v>0.0</v>
      </c>
      <c r="J148" s="19" t="str">
        <f t="shared" si="1"/>
        <v>sin stock</v>
      </c>
      <c r="K148" s="15"/>
      <c r="L148" s="20"/>
      <c r="M148" s="20"/>
      <c r="N148" s="20" t="str">
        <f t="shared" si="3"/>
        <v>SIN STOCK / CARGAR PRECIO</v>
      </c>
    </row>
    <row r="149" ht="15.75" customHeight="1">
      <c r="A149" s="15" t="s">
        <v>2215</v>
      </c>
      <c r="B149" s="35">
        <v>15000.0</v>
      </c>
      <c r="C149" s="15" t="s">
        <v>297</v>
      </c>
      <c r="D149" s="15" t="s">
        <v>1272</v>
      </c>
      <c r="E149" s="15"/>
      <c r="F149" s="194">
        <v>0.0</v>
      </c>
      <c r="G149" s="15">
        <v>0.0</v>
      </c>
      <c r="H149" s="33">
        <v>0.0</v>
      </c>
      <c r="I149" s="19">
        <v>0.0</v>
      </c>
      <c r="J149" s="19" t="str">
        <f t="shared" si="1"/>
        <v>sin stock</v>
      </c>
      <c r="K149" s="15"/>
      <c r="L149" s="20"/>
      <c r="M149" s="20"/>
      <c r="N149" s="20" t="str">
        <f t="shared" si="3"/>
        <v>SIN STOCK / CARGAR PRECIO</v>
      </c>
    </row>
    <row r="150" ht="15.75" customHeight="1">
      <c r="A150" s="15" t="s">
        <v>2216</v>
      </c>
      <c r="B150" s="35">
        <v>2400.0</v>
      </c>
      <c r="C150" s="15" t="s">
        <v>87</v>
      </c>
      <c r="D150" s="15" t="s">
        <v>701</v>
      </c>
      <c r="E150" s="15"/>
      <c r="F150" s="33">
        <v>0.0</v>
      </c>
      <c r="G150" s="15">
        <v>0.0</v>
      </c>
      <c r="H150" s="33">
        <v>0.0</v>
      </c>
      <c r="I150" s="19">
        <v>0.0</v>
      </c>
      <c r="J150" s="19" t="str">
        <f t="shared" si="1"/>
        <v>sin stock</v>
      </c>
      <c r="K150" s="15"/>
      <c r="L150" s="20"/>
      <c r="M150" s="20"/>
      <c r="N150" s="20" t="str">
        <f t="shared" si="3"/>
        <v>SIN STOCK / CARGAR PRECIO</v>
      </c>
    </row>
    <row r="151" ht="15.75" customHeight="1">
      <c r="A151" s="15" t="s">
        <v>2217</v>
      </c>
      <c r="B151" s="35">
        <v>2000.0</v>
      </c>
      <c r="C151" s="15" t="s">
        <v>297</v>
      </c>
      <c r="D151" s="15" t="s">
        <v>347</v>
      </c>
      <c r="E151" s="15"/>
      <c r="F151" s="33">
        <v>0.0</v>
      </c>
      <c r="G151" s="15">
        <v>0.0</v>
      </c>
      <c r="H151" s="33">
        <v>0.0</v>
      </c>
      <c r="I151" s="19">
        <v>0.0</v>
      </c>
      <c r="J151" s="19" t="str">
        <f t="shared" si="1"/>
        <v>sin stock</v>
      </c>
      <c r="K151" s="15"/>
      <c r="L151" s="20"/>
      <c r="M151" s="20"/>
      <c r="N151" s="20" t="str">
        <f t="shared" si="3"/>
        <v>SIN STOCK / CARGAR PRECIO</v>
      </c>
    </row>
    <row r="152" ht="15.75" customHeight="1">
      <c r="A152" s="20" t="s">
        <v>2218</v>
      </c>
      <c r="B152" s="20">
        <v>23000.0</v>
      </c>
      <c r="C152" s="20" t="s">
        <v>703</v>
      </c>
      <c r="D152" s="15" t="s">
        <v>828</v>
      </c>
      <c r="E152" s="15"/>
      <c r="F152" s="33">
        <v>0.0</v>
      </c>
      <c r="G152" s="15">
        <v>0.0</v>
      </c>
      <c r="H152" s="33">
        <v>0.0</v>
      </c>
      <c r="I152" s="19">
        <v>0.0</v>
      </c>
      <c r="J152" s="19" t="str">
        <f t="shared" si="1"/>
        <v>sin stock</v>
      </c>
      <c r="K152" s="15"/>
      <c r="L152" s="20"/>
      <c r="M152" s="20"/>
      <c r="N152" s="20" t="str">
        <f t="shared" si="3"/>
        <v>SIN STOCK / CARGAR PRECIO</v>
      </c>
    </row>
    <row r="153" ht="15.75" customHeight="1">
      <c r="A153" s="15" t="s">
        <v>2219</v>
      </c>
      <c r="B153" s="35">
        <v>3000.0</v>
      </c>
      <c r="C153" s="15" t="s">
        <v>87</v>
      </c>
      <c r="D153" s="15" t="s">
        <v>265</v>
      </c>
      <c r="E153" s="15"/>
      <c r="F153" s="33">
        <v>0.0</v>
      </c>
      <c r="G153" s="15">
        <v>0.0</v>
      </c>
      <c r="H153" s="33">
        <v>0.0</v>
      </c>
      <c r="I153" s="19">
        <v>0.0</v>
      </c>
      <c r="J153" s="19" t="str">
        <f t="shared" si="1"/>
        <v>sin stock</v>
      </c>
      <c r="K153" s="15"/>
      <c r="L153" s="20"/>
      <c r="M153" s="20"/>
      <c r="N153" s="20" t="str">
        <f t="shared" si="3"/>
        <v>SIN STOCK / CARGAR PRECIO</v>
      </c>
    </row>
    <row r="154" ht="15.75" customHeight="1">
      <c r="A154" s="15" t="s">
        <v>2220</v>
      </c>
      <c r="B154" s="35">
        <v>1000.0</v>
      </c>
      <c r="C154" s="15" t="s">
        <v>502</v>
      </c>
      <c r="D154" s="15" t="s">
        <v>273</v>
      </c>
      <c r="E154" s="15"/>
      <c r="F154" s="33">
        <v>0.0</v>
      </c>
      <c r="G154" s="15">
        <v>0.0</v>
      </c>
      <c r="H154" s="33">
        <v>0.0</v>
      </c>
      <c r="I154" s="19">
        <v>0.0</v>
      </c>
      <c r="J154" s="19" t="str">
        <f t="shared" si="1"/>
        <v>sin stock</v>
      </c>
      <c r="K154" s="15"/>
      <c r="L154" s="20"/>
      <c r="M154" s="20"/>
      <c r="N154" s="20" t="str">
        <f t="shared" si="3"/>
        <v>SIN STOCK / CARGAR PRECIO</v>
      </c>
    </row>
    <row r="155" ht="15.75" customHeight="1">
      <c r="A155" s="15" t="s">
        <v>2221</v>
      </c>
      <c r="B155" s="35">
        <v>4000.0</v>
      </c>
      <c r="C155" s="15" t="s">
        <v>334</v>
      </c>
      <c r="D155" s="15" t="s">
        <v>812</v>
      </c>
      <c r="E155" s="15"/>
      <c r="F155" s="33">
        <v>0.0</v>
      </c>
      <c r="G155" s="15">
        <v>0.0</v>
      </c>
      <c r="H155" s="33">
        <v>0.0</v>
      </c>
      <c r="I155" s="19">
        <v>0.0</v>
      </c>
      <c r="J155" s="19" t="str">
        <f t="shared" si="1"/>
        <v>sin stock</v>
      </c>
      <c r="K155" s="15"/>
      <c r="L155" s="20"/>
      <c r="M155" s="20"/>
      <c r="N155" s="20" t="str">
        <f t="shared" si="3"/>
        <v>SIN STOCK / CARGAR PRECIO</v>
      </c>
    </row>
    <row r="156" ht="15.75" customHeight="1">
      <c r="A156" s="15" t="s">
        <v>2222</v>
      </c>
      <c r="B156" s="35">
        <v>4000.0</v>
      </c>
      <c r="C156" s="15" t="s">
        <v>334</v>
      </c>
      <c r="D156" s="15" t="s">
        <v>814</v>
      </c>
      <c r="E156" s="15"/>
      <c r="F156" s="33">
        <v>0.0</v>
      </c>
      <c r="G156" s="15">
        <v>0.0</v>
      </c>
      <c r="H156" s="33">
        <v>0.0</v>
      </c>
      <c r="I156" s="19">
        <v>0.0</v>
      </c>
      <c r="J156" s="19" t="str">
        <f t="shared" si="1"/>
        <v>sin stock</v>
      </c>
      <c r="K156" s="15"/>
      <c r="L156" s="20"/>
      <c r="M156" s="20"/>
      <c r="N156" s="20" t="str">
        <f t="shared" si="3"/>
        <v>SIN STOCK / CARGAR PRECIO</v>
      </c>
    </row>
    <row r="157" ht="15.75" customHeight="1">
      <c r="A157" s="15" t="s">
        <v>2223</v>
      </c>
      <c r="B157" s="35">
        <v>4000.0</v>
      </c>
      <c r="C157" s="15" t="s">
        <v>334</v>
      </c>
      <c r="D157" s="15" t="s">
        <v>291</v>
      </c>
      <c r="E157" s="15"/>
      <c r="F157" s="33">
        <v>0.0</v>
      </c>
      <c r="G157" s="15">
        <v>0.0</v>
      </c>
      <c r="H157" s="33">
        <v>0.0</v>
      </c>
      <c r="I157" s="19">
        <v>0.0</v>
      </c>
      <c r="J157" s="19" t="str">
        <f t="shared" si="1"/>
        <v>sin stock</v>
      </c>
      <c r="K157" s="15"/>
      <c r="L157" s="20"/>
      <c r="M157" s="20"/>
      <c r="N157" s="20" t="str">
        <f t="shared" si="3"/>
        <v>SIN STOCK / CARGAR PRECIO</v>
      </c>
    </row>
    <row r="158" ht="15.75" customHeight="1">
      <c r="A158" s="15" t="s">
        <v>2224</v>
      </c>
      <c r="B158" s="35">
        <v>1500.0</v>
      </c>
      <c r="C158" s="15" t="s">
        <v>582</v>
      </c>
      <c r="D158" s="15" t="s">
        <v>295</v>
      </c>
      <c r="E158" s="15"/>
      <c r="F158" s="33">
        <v>0.0</v>
      </c>
      <c r="G158" s="15">
        <v>0.0</v>
      </c>
      <c r="H158" s="33">
        <v>0.0</v>
      </c>
      <c r="I158" s="19">
        <v>0.0</v>
      </c>
      <c r="J158" s="19" t="str">
        <f t="shared" si="1"/>
        <v>sin stock</v>
      </c>
      <c r="K158" s="15"/>
      <c r="L158" s="20"/>
      <c r="M158" s="20"/>
      <c r="N158" s="20" t="str">
        <f t="shared" si="3"/>
        <v>SIN STOCK / CARGAR PRECIO</v>
      </c>
    </row>
    <row r="159" ht="15.75" customHeight="1">
      <c r="A159" s="20" t="s">
        <v>2225</v>
      </c>
      <c r="B159" s="20">
        <v>30000.0</v>
      </c>
      <c r="C159" s="20" t="s">
        <v>703</v>
      </c>
      <c r="D159" s="15" t="s">
        <v>322</v>
      </c>
      <c r="E159" s="15"/>
      <c r="F159" s="33">
        <v>0.0</v>
      </c>
      <c r="G159" s="15">
        <v>0.0</v>
      </c>
      <c r="H159" s="33">
        <v>0.0</v>
      </c>
      <c r="I159" s="19">
        <v>0.0</v>
      </c>
      <c r="J159" s="19" t="str">
        <f t="shared" si="1"/>
        <v>sin stock</v>
      </c>
      <c r="K159" s="15"/>
      <c r="L159" s="20"/>
      <c r="M159" s="20"/>
      <c r="N159" s="20" t="str">
        <f t="shared" si="3"/>
        <v>SIN STOCK / CARGAR PRECIO</v>
      </c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</row>
    <row r="232" ht="15.7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</row>
    <row r="233" ht="15.7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</row>
    <row r="234" ht="15.7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</row>
    <row r="235" ht="15.7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</row>
    <row r="236" ht="15.7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</row>
    <row r="237" ht="15.7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</row>
    <row r="238" ht="15.7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</row>
    <row r="239" ht="15.7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</row>
    <row r="240" ht="15.7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</row>
    <row r="241" ht="15.7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</row>
    <row r="242" ht="15.7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</row>
    <row r="243" ht="15.7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</row>
    <row r="244" ht="15.7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</row>
    <row r="245" ht="15.7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</row>
    <row r="246" ht="15.7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</row>
    <row r="247" ht="15.7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</row>
    <row r="248" ht="15.7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</row>
    <row r="249" ht="15.7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</row>
    <row r="250" ht="15.7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</row>
    <row r="251" ht="15.7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</row>
    <row r="252" ht="15.7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</row>
    <row r="253" ht="15.7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</row>
    <row r="254" ht="15.7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</row>
    <row r="255" ht="15.7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</row>
    <row r="256" ht="15.7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</row>
    <row r="257" ht="15.7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</row>
    <row r="258" ht="15.7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</row>
    <row r="259" ht="15.7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</row>
    <row r="260" ht="15.7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</row>
    <row r="261" ht="15.7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</row>
    <row r="262" ht="15.7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</row>
    <row r="263" ht="15.7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</row>
    <row r="264" ht="15.7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</row>
    <row r="265" ht="15.7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</row>
    <row r="266" ht="15.7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</row>
    <row r="267" ht="15.7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</row>
    <row r="268" ht="15.7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</row>
    <row r="269" ht="15.7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</row>
    <row r="270" ht="15.7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</row>
    <row r="271" ht="15.7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</row>
    <row r="272" ht="15.7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</row>
    <row r="273" ht="15.7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</row>
    <row r="274" ht="15.7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</row>
    <row r="275" ht="15.7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</row>
    <row r="276" ht="15.7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</row>
    <row r="277" ht="15.7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</row>
    <row r="278" ht="15.7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</row>
    <row r="279" ht="15.7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</row>
    <row r="280" ht="15.7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</row>
    <row r="281" ht="15.7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</row>
    <row r="282" ht="15.7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</row>
    <row r="283" ht="15.7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</row>
    <row r="284" ht="15.7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</row>
    <row r="285" ht="15.7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</row>
    <row r="286" ht="15.7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</row>
    <row r="287" ht="15.7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</row>
    <row r="288" ht="15.7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</row>
    <row r="289" ht="15.7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</row>
    <row r="290" ht="15.7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</row>
    <row r="291" ht="15.7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</row>
    <row r="292" ht="15.7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</row>
    <row r="293" ht="15.7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</row>
    <row r="294" ht="15.7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</row>
    <row r="295" ht="15.7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</row>
    <row r="296" ht="15.7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</row>
    <row r="297" ht="15.7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</row>
    <row r="298" ht="15.7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</row>
    <row r="299" ht="15.7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</row>
    <row r="300" ht="15.7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</row>
    <row r="301" ht="15.7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</row>
    <row r="302" ht="15.7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</row>
    <row r="303" ht="15.7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</row>
    <row r="304" ht="15.7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</row>
    <row r="305" ht="15.7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</row>
    <row r="306" ht="15.7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</row>
    <row r="307" ht="15.7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</row>
    <row r="308" ht="15.7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</row>
    <row r="309" ht="15.7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</row>
    <row r="310" ht="15.7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</row>
    <row r="311" ht="15.7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</row>
    <row r="312" ht="15.7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</row>
    <row r="313" ht="15.7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</row>
    <row r="314" ht="15.7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</row>
    <row r="315" ht="15.7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</row>
    <row r="316" ht="15.7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</row>
    <row r="317" ht="15.7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</row>
    <row r="318" ht="15.7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</row>
    <row r="319" ht="15.7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</row>
    <row r="320" ht="15.7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</row>
    <row r="321" ht="15.7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</row>
    <row r="322" ht="15.7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</row>
    <row r="323" ht="15.7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</row>
    <row r="324" ht="15.7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</row>
    <row r="325" ht="15.7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</row>
    <row r="326" ht="15.7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</row>
    <row r="327" ht="15.7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</row>
    <row r="328" ht="15.7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</row>
    <row r="329" ht="15.7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</row>
    <row r="330" ht="15.7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</row>
    <row r="331" ht="15.7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</row>
    <row r="332" ht="15.7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</row>
    <row r="333" ht="15.7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</row>
    <row r="334" ht="15.7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</row>
    <row r="335" ht="15.7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</row>
    <row r="336" ht="15.7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</row>
    <row r="337" ht="15.7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</row>
    <row r="338" ht="15.7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</row>
    <row r="339" ht="15.7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</row>
    <row r="340" ht="15.7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</row>
    <row r="341" ht="15.7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</row>
    <row r="342" ht="15.7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</row>
    <row r="343" ht="15.7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</row>
    <row r="344" ht="15.7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</row>
    <row r="345" ht="15.7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</row>
    <row r="346" ht="15.7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</row>
    <row r="347" ht="15.7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</row>
    <row r="348" ht="15.7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</row>
    <row r="349" ht="15.7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</row>
    <row r="350" ht="15.7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</row>
    <row r="351" ht="15.7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</row>
    <row r="352" ht="15.7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</row>
    <row r="353" ht="15.7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</row>
    <row r="354" ht="15.7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</row>
    <row r="355" ht="15.7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</row>
    <row r="356" ht="15.7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</row>
    <row r="357" ht="15.7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</row>
    <row r="358" ht="15.7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</row>
    <row r="359" ht="15.7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</row>
    <row r="360" ht="15.75" customHeight="1">
      <c r="A360" s="82"/>
      <c r="B360" s="82"/>
      <c r="C360" s="82"/>
      <c r="D360" s="82"/>
      <c r="F360" s="82"/>
      <c r="G360" s="82"/>
      <c r="H360" s="82"/>
      <c r="I360" s="82"/>
      <c r="J360" s="82"/>
      <c r="K360" s="82"/>
      <c r="L360" s="82"/>
      <c r="M360" s="82"/>
      <c r="N360" s="82"/>
    </row>
    <row r="361" ht="15.75" customHeight="1">
      <c r="A361" s="82"/>
      <c r="B361" s="82"/>
      <c r="C361" s="82"/>
      <c r="D361" s="82"/>
      <c r="F361" s="82"/>
      <c r="G361" s="82"/>
      <c r="H361" s="82"/>
      <c r="I361" s="82"/>
      <c r="J361" s="82"/>
      <c r="K361" s="82"/>
      <c r="L361" s="82"/>
      <c r="M361" s="82"/>
      <c r="N361" s="82"/>
    </row>
    <row r="362" ht="15.75" customHeight="1">
      <c r="A362" s="82"/>
      <c r="B362" s="82"/>
      <c r="C362" s="82"/>
      <c r="D362" s="82"/>
      <c r="F362" s="82"/>
      <c r="G362" s="82"/>
      <c r="H362" s="82"/>
      <c r="I362" s="82"/>
      <c r="J362" s="82"/>
      <c r="K362" s="82"/>
      <c r="L362" s="82"/>
      <c r="M362" s="82"/>
      <c r="N362" s="82"/>
    </row>
    <row r="363" ht="15.75" customHeight="1">
      <c r="A363" s="82"/>
      <c r="B363" s="82"/>
      <c r="C363" s="82"/>
      <c r="D363" s="82"/>
      <c r="F363" s="82"/>
      <c r="G363" s="82"/>
      <c r="H363" s="82"/>
      <c r="I363" s="82"/>
      <c r="J363" s="82"/>
      <c r="K363" s="82"/>
      <c r="L363" s="82"/>
      <c r="M363" s="82"/>
      <c r="N363" s="82"/>
    </row>
    <row r="364" ht="15.75" customHeight="1">
      <c r="A364" s="82"/>
      <c r="B364" s="82"/>
      <c r="C364" s="82"/>
      <c r="D364" s="82"/>
      <c r="F364" s="82"/>
      <c r="G364" s="82"/>
      <c r="H364" s="82"/>
      <c r="I364" s="82"/>
      <c r="J364" s="82"/>
      <c r="K364" s="82"/>
      <c r="L364" s="82"/>
      <c r="M364" s="82"/>
      <c r="N364" s="82"/>
    </row>
    <row r="365" ht="15.75" customHeight="1">
      <c r="A365" s="82"/>
      <c r="B365" s="82"/>
      <c r="C365" s="82"/>
      <c r="D365" s="82"/>
      <c r="F365" s="82"/>
      <c r="G365" s="82"/>
      <c r="H365" s="82"/>
      <c r="I365" s="82"/>
      <c r="J365" s="82"/>
      <c r="K365" s="82"/>
      <c r="L365" s="82"/>
      <c r="M365" s="82"/>
      <c r="N365" s="82"/>
    </row>
    <row r="366" ht="15.75" customHeight="1">
      <c r="A366" s="82"/>
      <c r="B366" s="82"/>
      <c r="C366" s="82"/>
      <c r="D366" s="82"/>
      <c r="F366" s="82"/>
      <c r="G366" s="82"/>
      <c r="H366" s="82"/>
      <c r="I366" s="82"/>
      <c r="J366" s="82"/>
      <c r="K366" s="82"/>
      <c r="L366" s="82"/>
      <c r="M366" s="82"/>
      <c r="N366" s="82"/>
    </row>
    <row r="367" ht="15.75" customHeight="1">
      <c r="A367" s="82"/>
      <c r="B367" s="82"/>
      <c r="C367" s="82"/>
      <c r="D367" s="82"/>
      <c r="F367" s="82"/>
      <c r="G367" s="82"/>
      <c r="H367" s="82"/>
      <c r="I367" s="82"/>
      <c r="J367" s="82"/>
      <c r="K367" s="82"/>
      <c r="L367" s="82"/>
      <c r="M367" s="82"/>
      <c r="N367" s="82"/>
    </row>
    <row r="368" ht="15.75" customHeight="1">
      <c r="A368" s="82"/>
      <c r="B368" s="82"/>
      <c r="C368" s="82"/>
      <c r="D368" s="82"/>
      <c r="F368" s="82"/>
      <c r="G368" s="82"/>
      <c r="H368" s="82"/>
      <c r="I368" s="82"/>
      <c r="J368" s="82"/>
      <c r="K368" s="82"/>
      <c r="L368" s="82"/>
      <c r="M368" s="82"/>
      <c r="N368" s="82"/>
    </row>
    <row r="369" ht="15.75" customHeight="1">
      <c r="A369" s="82"/>
      <c r="B369" s="82"/>
      <c r="C369" s="82"/>
      <c r="D369" s="82"/>
      <c r="F369" s="82"/>
      <c r="G369" s="82"/>
      <c r="H369" s="82"/>
      <c r="I369" s="82"/>
      <c r="J369" s="82"/>
      <c r="K369" s="82"/>
      <c r="L369" s="82"/>
      <c r="M369" s="82"/>
      <c r="N369" s="82"/>
    </row>
    <row r="370" ht="15.75" customHeight="1">
      <c r="A370" s="82"/>
      <c r="B370" s="82"/>
      <c r="C370" s="82"/>
      <c r="D370" s="82"/>
      <c r="F370" s="82"/>
      <c r="G370" s="82"/>
      <c r="H370" s="82"/>
      <c r="I370" s="82"/>
      <c r="J370" s="82"/>
      <c r="K370" s="82"/>
      <c r="L370" s="82"/>
      <c r="M370" s="82"/>
      <c r="N370" s="82"/>
    </row>
    <row r="371" ht="15.75" customHeight="1">
      <c r="A371" s="82"/>
      <c r="B371" s="82"/>
      <c r="C371" s="82"/>
      <c r="D371" s="82"/>
      <c r="F371" s="82"/>
      <c r="G371" s="82"/>
      <c r="H371" s="82"/>
      <c r="I371" s="82"/>
      <c r="J371" s="82"/>
      <c r="K371" s="82"/>
      <c r="L371" s="82"/>
      <c r="M371" s="82"/>
      <c r="N371" s="82"/>
    </row>
    <row r="372" ht="15.75" customHeight="1">
      <c r="A372" s="82"/>
      <c r="B372" s="82"/>
      <c r="C372" s="82"/>
      <c r="D372" s="82"/>
      <c r="F372" s="82"/>
      <c r="G372" s="82"/>
      <c r="H372" s="82"/>
      <c r="I372" s="82"/>
      <c r="J372" s="82"/>
      <c r="K372" s="82"/>
      <c r="L372" s="82"/>
      <c r="M372" s="82"/>
      <c r="N372" s="82"/>
    </row>
    <row r="373" ht="15.75" customHeight="1">
      <c r="A373" s="82"/>
      <c r="B373" s="82"/>
      <c r="C373" s="82"/>
      <c r="D373" s="82"/>
      <c r="F373" s="82"/>
      <c r="G373" s="82"/>
      <c r="H373" s="82"/>
      <c r="I373" s="82"/>
      <c r="J373" s="82"/>
      <c r="K373" s="82"/>
      <c r="L373" s="82"/>
      <c r="M373" s="82"/>
      <c r="N373" s="82"/>
    </row>
    <row r="374" ht="15.75" customHeight="1">
      <c r="A374" s="82"/>
      <c r="B374" s="82"/>
      <c r="C374" s="82"/>
      <c r="D374" s="82"/>
      <c r="F374" s="82"/>
      <c r="G374" s="82"/>
      <c r="H374" s="82"/>
      <c r="I374" s="82"/>
      <c r="J374" s="82"/>
      <c r="K374" s="82"/>
      <c r="L374" s="82"/>
      <c r="M374" s="82"/>
      <c r="N374" s="82"/>
    </row>
    <row r="375" ht="15.75" customHeight="1">
      <c r="A375" s="82"/>
      <c r="B375" s="82"/>
      <c r="C375" s="82"/>
      <c r="D375" s="82"/>
      <c r="F375" s="82"/>
      <c r="G375" s="82"/>
      <c r="H375" s="82"/>
      <c r="I375" s="82"/>
      <c r="J375" s="82"/>
      <c r="K375" s="82"/>
      <c r="L375" s="82"/>
      <c r="M375" s="82"/>
      <c r="N375" s="82"/>
    </row>
    <row r="376" ht="15.75" customHeight="1">
      <c r="A376" s="82"/>
      <c r="B376" s="82"/>
      <c r="C376" s="82"/>
      <c r="D376" s="82"/>
      <c r="F376" s="82"/>
      <c r="G376" s="82"/>
      <c r="H376" s="82"/>
      <c r="I376" s="82"/>
      <c r="J376" s="82"/>
      <c r="K376" s="82"/>
      <c r="L376" s="82"/>
      <c r="M376" s="82"/>
      <c r="N376" s="82"/>
    </row>
    <row r="377" ht="15.75" customHeight="1">
      <c r="A377" s="82"/>
      <c r="B377" s="82"/>
      <c r="C377" s="82"/>
      <c r="D377" s="82"/>
      <c r="F377" s="82"/>
      <c r="G377" s="82"/>
      <c r="H377" s="82"/>
      <c r="I377" s="82"/>
      <c r="J377" s="82"/>
      <c r="K377" s="82"/>
      <c r="L377" s="82"/>
      <c r="M377" s="82"/>
      <c r="N377" s="82"/>
    </row>
    <row r="378" ht="15.75" customHeight="1">
      <c r="A378" s="82"/>
      <c r="B378" s="82"/>
      <c r="C378" s="82"/>
      <c r="D378" s="82"/>
      <c r="F378" s="82"/>
      <c r="G378" s="82"/>
      <c r="H378" s="82"/>
      <c r="I378" s="82"/>
      <c r="J378" s="82"/>
      <c r="K378" s="82"/>
      <c r="L378" s="82"/>
      <c r="M378" s="82"/>
      <c r="N378" s="82"/>
    </row>
    <row r="379" ht="15.75" customHeight="1">
      <c r="A379" s="82"/>
      <c r="B379" s="82"/>
      <c r="C379" s="82"/>
      <c r="D379" s="82"/>
      <c r="F379" s="82"/>
      <c r="G379" s="82"/>
      <c r="H379" s="82"/>
      <c r="I379" s="82"/>
      <c r="J379" s="82"/>
      <c r="K379" s="82"/>
      <c r="L379" s="82"/>
      <c r="M379" s="82"/>
      <c r="N379" s="82"/>
    </row>
    <row r="380" ht="15.75" customHeight="1">
      <c r="A380" s="82"/>
      <c r="B380" s="82"/>
      <c r="C380" s="82"/>
      <c r="D380" s="82"/>
      <c r="F380" s="82"/>
      <c r="G380" s="82"/>
      <c r="H380" s="82"/>
      <c r="I380" s="82"/>
      <c r="J380" s="82"/>
      <c r="K380" s="82"/>
      <c r="L380" s="82"/>
      <c r="M380" s="82"/>
      <c r="N380" s="82"/>
    </row>
    <row r="381" ht="15.75" customHeight="1">
      <c r="A381" s="82"/>
      <c r="B381" s="82"/>
      <c r="C381" s="82"/>
      <c r="D381" s="82"/>
      <c r="F381" s="82"/>
      <c r="G381" s="82"/>
      <c r="H381" s="82"/>
      <c r="I381" s="82"/>
      <c r="J381" s="82"/>
      <c r="K381" s="82"/>
      <c r="L381" s="82"/>
      <c r="M381" s="82"/>
      <c r="N381" s="82"/>
    </row>
    <row r="382" ht="15.75" customHeight="1">
      <c r="A382" s="82"/>
      <c r="B382" s="82"/>
      <c r="C382" s="82"/>
      <c r="D382" s="82"/>
      <c r="F382" s="82"/>
      <c r="G382" s="82"/>
      <c r="H382" s="82"/>
      <c r="I382" s="82"/>
      <c r="J382" s="82"/>
      <c r="K382" s="82"/>
      <c r="L382" s="82"/>
      <c r="M382" s="82"/>
      <c r="N382" s="82"/>
    </row>
    <row r="383" ht="15.75" customHeight="1">
      <c r="A383" s="82"/>
      <c r="B383" s="82"/>
      <c r="C383" s="82"/>
      <c r="D383" s="82"/>
      <c r="F383" s="82"/>
      <c r="G383" s="82"/>
      <c r="H383" s="82"/>
      <c r="I383" s="82"/>
      <c r="J383" s="82"/>
      <c r="K383" s="82"/>
      <c r="L383" s="82"/>
      <c r="M383" s="82"/>
      <c r="N383" s="82"/>
    </row>
    <row r="384" ht="15.75" customHeight="1">
      <c r="A384" s="82"/>
      <c r="B384" s="82"/>
      <c r="C384" s="82"/>
      <c r="D384" s="82"/>
      <c r="F384" s="82"/>
      <c r="G384" s="82"/>
      <c r="H384" s="82"/>
      <c r="I384" s="82"/>
      <c r="J384" s="82"/>
      <c r="K384" s="82"/>
      <c r="L384" s="82"/>
      <c r="M384" s="82"/>
      <c r="N384" s="82"/>
    </row>
    <row r="385" ht="15.75" customHeight="1">
      <c r="A385" s="82"/>
      <c r="B385" s="82"/>
      <c r="C385" s="82"/>
      <c r="D385" s="82"/>
      <c r="F385" s="82"/>
      <c r="G385" s="82"/>
      <c r="H385" s="82"/>
      <c r="I385" s="82"/>
      <c r="J385" s="82"/>
      <c r="K385" s="82"/>
      <c r="L385" s="82"/>
      <c r="M385" s="82"/>
      <c r="N385" s="82"/>
    </row>
    <row r="386" ht="15.75" customHeight="1">
      <c r="A386" s="82"/>
      <c r="B386" s="82"/>
      <c r="C386" s="82"/>
      <c r="D386" s="82"/>
      <c r="F386" s="82"/>
      <c r="G386" s="82"/>
      <c r="H386" s="82"/>
      <c r="I386" s="82"/>
      <c r="J386" s="82"/>
      <c r="K386" s="82"/>
      <c r="L386" s="82"/>
      <c r="M386" s="82"/>
      <c r="N386" s="82"/>
    </row>
    <row r="387" ht="15.75" customHeight="1">
      <c r="A387" s="82"/>
      <c r="B387" s="82"/>
      <c r="C387" s="82"/>
      <c r="D387" s="82"/>
      <c r="F387" s="82"/>
      <c r="G387" s="82"/>
      <c r="H387" s="82"/>
      <c r="I387" s="82"/>
      <c r="J387" s="82"/>
      <c r="K387" s="82"/>
      <c r="L387" s="82"/>
      <c r="M387" s="82"/>
      <c r="N387" s="82"/>
    </row>
    <row r="388" ht="15.75" customHeight="1">
      <c r="A388" s="82"/>
      <c r="B388" s="82"/>
      <c r="C388" s="82"/>
      <c r="D388" s="82"/>
      <c r="F388" s="82"/>
      <c r="G388" s="82"/>
      <c r="H388" s="82"/>
      <c r="I388" s="82"/>
      <c r="J388" s="82"/>
      <c r="K388" s="82"/>
      <c r="L388" s="82"/>
      <c r="M388" s="82"/>
      <c r="N388" s="82"/>
    </row>
    <row r="389" ht="15.75" customHeight="1">
      <c r="A389" s="82"/>
      <c r="B389" s="82"/>
      <c r="C389" s="82"/>
      <c r="D389" s="82"/>
      <c r="F389" s="82"/>
      <c r="G389" s="82"/>
      <c r="H389" s="82"/>
      <c r="I389" s="82"/>
      <c r="J389" s="82"/>
      <c r="K389" s="82"/>
      <c r="L389" s="82"/>
      <c r="M389" s="82"/>
      <c r="N389" s="82"/>
    </row>
    <row r="390" ht="15.75" customHeight="1">
      <c r="A390" s="82"/>
      <c r="B390" s="82"/>
      <c r="C390" s="82"/>
      <c r="D390" s="82"/>
      <c r="F390" s="82"/>
      <c r="G390" s="82"/>
      <c r="H390" s="82"/>
      <c r="I390" s="82"/>
      <c r="J390" s="82"/>
      <c r="K390" s="82"/>
      <c r="L390" s="82"/>
      <c r="M390" s="82"/>
      <c r="N390" s="82"/>
    </row>
    <row r="391" ht="15.75" customHeight="1">
      <c r="A391" s="82"/>
      <c r="B391" s="82"/>
      <c r="C391" s="82"/>
      <c r="D391" s="82"/>
      <c r="F391" s="82"/>
      <c r="G391" s="82"/>
      <c r="H391" s="82"/>
      <c r="I391" s="82"/>
      <c r="J391" s="82"/>
      <c r="K391" s="82"/>
      <c r="L391" s="82"/>
      <c r="M391" s="82"/>
      <c r="N391" s="82"/>
    </row>
    <row r="392" ht="15.75" customHeight="1">
      <c r="A392" s="82"/>
      <c r="B392" s="82"/>
      <c r="C392" s="82"/>
      <c r="D392" s="82"/>
      <c r="F392" s="82"/>
      <c r="G392" s="82"/>
      <c r="H392" s="82"/>
      <c r="I392" s="82"/>
      <c r="J392" s="82"/>
      <c r="K392" s="82"/>
      <c r="L392" s="82"/>
      <c r="M392" s="82"/>
      <c r="N392" s="82"/>
    </row>
    <row r="393" ht="15.75" customHeight="1">
      <c r="A393" s="82"/>
      <c r="B393" s="82"/>
      <c r="C393" s="82"/>
      <c r="D393" s="82"/>
      <c r="F393" s="82"/>
      <c r="G393" s="82"/>
      <c r="H393" s="82"/>
      <c r="I393" s="82"/>
      <c r="J393" s="82"/>
      <c r="K393" s="82"/>
      <c r="L393" s="82"/>
      <c r="M393" s="82"/>
      <c r="N393" s="82"/>
    </row>
    <row r="394" ht="15.75" customHeight="1">
      <c r="A394" s="82"/>
      <c r="B394" s="82"/>
      <c r="C394" s="82"/>
      <c r="D394" s="82"/>
      <c r="F394" s="82"/>
      <c r="G394" s="82"/>
      <c r="H394" s="82"/>
      <c r="I394" s="82"/>
      <c r="J394" s="82"/>
      <c r="K394" s="82"/>
      <c r="L394" s="82"/>
      <c r="M394" s="82"/>
      <c r="N394" s="82"/>
    </row>
    <row r="395" ht="15.75" customHeight="1">
      <c r="A395" s="82"/>
      <c r="B395" s="82"/>
      <c r="C395" s="82"/>
      <c r="D395" s="82"/>
      <c r="F395" s="82"/>
      <c r="G395" s="82"/>
      <c r="H395" s="82"/>
      <c r="I395" s="82"/>
      <c r="J395" s="82"/>
      <c r="K395" s="82"/>
      <c r="L395" s="82"/>
      <c r="M395" s="82"/>
      <c r="N395" s="82"/>
    </row>
    <row r="396" ht="15.75" customHeight="1">
      <c r="A396" s="82"/>
      <c r="B396" s="82"/>
      <c r="C396" s="82"/>
      <c r="D396" s="82"/>
      <c r="F396" s="82"/>
      <c r="G396" s="82"/>
      <c r="H396" s="82"/>
      <c r="I396" s="82"/>
      <c r="J396" s="82"/>
      <c r="K396" s="82"/>
      <c r="L396" s="82"/>
      <c r="M396" s="82"/>
      <c r="N396" s="82"/>
    </row>
    <row r="397" ht="15.75" customHeight="1">
      <c r="A397" s="82"/>
      <c r="B397" s="82"/>
      <c r="C397" s="82"/>
      <c r="D397" s="82"/>
      <c r="F397" s="82"/>
      <c r="G397" s="82"/>
      <c r="H397" s="82"/>
      <c r="I397" s="82"/>
      <c r="J397" s="82"/>
      <c r="K397" s="82"/>
      <c r="L397" s="82"/>
      <c r="M397" s="82"/>
      <c r="N397" s="82"/>
    </row>
    <row r="398" ht="15.75" customHeight="1">
      <c r="A398" s="82"/>
      <c r="B398" s="82"/>
      <c r="C398" s="82"/>
      <c r="D398" s="82"/>
      <c r="F398" s="82"/>
      <c r="G398" s="82"/>
      <c r="H398" s="82"/>
      <c r="I398" s="82"/>
      <c r="J398" s="82"/>
      <c r="K398" s="82"/>
      <c r="L398" s="82"/>
      <c r="M398" s="82"/>
      <c r="N398" s="82"/>
    </row>
    <row r="399" ht="15.75" customHeight="1">
      <c r="A399" s="82"/>
      <c r="B399" s="82"/>
      <c r="C399" s="82"/>
      <c r="D399" s="82"/>
      <c r="F399" s="82"/>
      <c r="G399" s="82"/>
      <c r="H399" s="82"/>
      <c r="I399" s="82"/>
      <c r="J399" s="82"/>
      <c r="K399" s="82"/>
      <c r="L399" s="82"/>
      <c r="M399" s="82"/>
      <c r="N399" s="82"/>
    </row>
    <row r="400" ht="15.75" customHeight="1">
      <c r="A400" s="82"/>
      <c r="B400" s="82"/>
      <c r="C400" s="82"/>
      <c r="D400" s="82"/>
      <c r="F400" s="82"/>
      <c r="G400" s="82"/>
      <c r="H400" s="82"/>
      <c r="I400" s="82"/>
      <c r="J400" s="82"/>
      <c r="K400" s="82"/>
      <c r="L400" s="82"/>
      <c r="M400" s="82"/>
      <c r="N400" s="82"/>
    </row>
    <row r="401" ht="15.75" customHeight="1">
      <c r="A401" s="82"/>
      <c r="B401" s="82"/>
      <c r="C401" s="82"/>
      <c r="D401" s="82"/>
      <c r="F401" s="82"/>
      <c r="G401" s="82"/>
      <c r="H401" s="82"/>
      <c r="I401" s="82"/>
      <c r="J401" s="82"/>
      <c r="K401" s="82"/>
      <c r="L401" s="82"/>
      <c r="M401" s="82"/>
      <c r="N401" s="82"/>
    </row>
    <row r="402" ht="15.75" customHeight="1">
      <c r="A402" s="82"/>
      <c r="B402" s="82"/>
      <c r="C402" s="82"/>
      <c r="D402" s="82"/>
      <c r="F402" s="82"/>
      <c r="G402" s="82"/>
      <c r="H402" s="82"/>
      <c r="I402" s="82"/>
      <c r="J402" s="82"/>
      <c r="K402" s="82"/>
      <c r="L402" s="82"/>
      <c r="M402" s="82"/>
      <c r="N402" s="82"/>
    </row>
    <row r="403" ht="15.75" customHeight="1">
      <c r="A403" s="82"/>
      <c r="B403" s="82"/>
      <c r="C403" s="82"/>
      <c r="D403" s="82"/>
      <c r="F403" s="82"/>
      <c r="G403" s="82"/>
      <c r="H403" s="82"/>
      <c r="I403" s="82"/>
      <c r="J403" s="82"/>
      <c r="K403" s="82"/>
      <c r="L403" s="82"/>
      <c r="M403" s="82"/>
      <c r="N403" s="82"/>
    </row>
    <row r="404" ht="15.75" customHeight="1">
      <c r="A404" s="82"/>
      <c r="B404" s="82"/>
      <c r="C404" s="82"/>
      <c r="D404" s="82"/>
      <c r="F404" s="82"/>
      <c r="G404" s="82"/>
      <c r="H404" s="82"/>
      <c r="I404" s="82"/>
      <c r="J404" s="82"/>
      <c r="K404" s="82"/>
      <c r="L404" s="82"/>
      <c r="M404" s="82"/>
      <c r="N404" s="82"/>
    </row>
    <row r="405" ht="15.75" customHeight="1">
      <c r="A405" s="82"/>
      <c r="B405" s="82"/>
      <c r="C405" s="82"/>
      <c r="D405" s="82"/>
      <c r="F405" s="82"/>
      <c r="G405" s="82"/>
      <c r="H405" s="82"/>
      <c r="I405" s="82"/>
      <c r="J405" s="82"/>
      <c r="K405" s="82"/>
      <c r="L405" s="82"/>
      <c r="M405" s="82"/>
      <c r="N405" s="82"/>
    </row>
    <row r="406" ht="15.75" customHeight="1">
      <c r="A406" s="82"/>
      <c r="B406" s="82"/>
      <c r="C406" s="82"/>
      <c r="D406" s="82"/>
      <c r="F406" s="82"/>
      <c r="G406" s="82"/>
      <c r="H406" s="82"/>
      <c r="I406" s="82"/>
      <c r="J406" s="82"/>
      <c r="K406" s="82"/>
      <c r="L406" s="82"/>
      <c r="M406" s="82"/>
      <c r="N406" s="82"/>
    </row>
    <row r="407" ht="15.75" customHeight="1">
      <c r="A407" s="82"/>
      <c r="B407" s="82"/>
      <c r="C407" s="82"/>
      <c r="D407" s="82"/>
      <c r="F407" s="82"/>
      <c r="G407" s="82"/>
      <c r="H407" s="82"/>
      <c r="I407" s="82"/>
      <c r="J407" s="82"/>
      <c r="K407" s="82"/>
      <c r="L407" s="82"/>
      <c r="M407" s="82"/>
      <c r="N407" s="82"/>
    </row>
    <row r="408" ht="15.75" customHeight="1">
      <c r="A408" s="82"/>
      <c r="B408" s="82"/>
      <c r="C408" s="82"/>
      <c r="D408" s="82"/>
      <c r="F408" s="82"/>
      <c r="G408" s="82"/>
      <c r="H408" s="82"/>
      <c r="I408" s="82"/>
      <c r="J408" s="82"/>
      <c r="K408" s="82"/>
      <c r="L408" s="82"/>
      <c r="M408" s="82"/>
      <c r="N408" s="82"/>
    </row>
    <row r="409" ht="15.75" customHeight="1">
      <c r="A409" s="82"/>
      <c r="B409" s="82"/>
      <c r="C409" s="82"/>
      <c r="D409" s="82"/>
      <c r="F409" s="82"/>
      <c r="G409" s="82"/>
      <c r="H409" s="82"/>
      <c r="I409" s="82"/>
      <c r="J409" s="82"/>
      <c r="K409" s="82"/>
      <c r="L409" s="82"/>
      <c r="M409" s="82"/>
      <c r="N409" s="82"/>
    </row>
    <row r="410" ht="15.75" customHeight="1">
      <c r="A410" s="82"/>
      <c r="B410" s="82"/>
      <c r="C410" s="82"/>
      <c r="D410" s="82"/>
      <c r="F410" s="82"/>
      <c r="G410" s="82"/>
      <c r="H410" s="82"/>
      <c r="I410" s="82"/>
      <c r="J410" s="82"/>
      <c r="K410" s="82"/>
      <c r="L410" s="82"/>
      <c r="M410" s="82"/>
      <c r="N410" s="82"/>
    </row>
    <row r="411" ht="15.75" customHeight="1">
      <c r="A411" s="82"/>
      <c r="B411" s="82"/>
      <c r="C411" s="82"/>
      <c r="D411" s="82"/>
      <c r="F411" s="82"/>
      <c r="G411" s="82"/>
      <c r="H411" s="82"/>
      <c r="I411" s="82"/>
      <c r="J411" s="82"/>
      <c r="K411" s="82"/>
      <c r="L411" s="82"/>
      <c r="M411" s="82"/>
      <c r="N411" s="82"/>
    </row>
    <row r="412" ht="15.75" customHeight="1">
      <c r="A412" s="82"/>
      <c r="B412" s="82"/>
      <c r="C412" s="82"/>
      <c r="D412" s="82"/>
      <c r="F412" s="82"/>
      <c r="G412" s="82"/>
      <c r="H412" s="82"/>
      <c r="I412" s="82"/>
      <c r="J412" s="82"/>
      <c r="K412" s="82"/>
      <c r="L412" s="82"/>
      <c r="M412" s="82"/>
      <c r="N412" s="82"/>
    </row>
    <row r="413" ht="15.75" customHeight="1">
      <c r="A413" s="82"/>
      <c r="B413" s="82"/>
      <c r="C413" s="82"/>
      <c r="D413" s="82"/>
      <c r="F413" s="82"/>
      <c r="G413" s="82"/>
      <c r="H413" s="82"/>
      <c r="I413" s="82"/>
      <c r="J413" s="82"/>
      <c r="K413" s="82"/>
      <c r="L413" s="82"/>
      <c r="M413" s="82"/>
      <c r="N413" s="82"/>
    </row>
    <row r="414" ht="15.75" customHeight="1">
      <c r="A414" s="82"/>
      <c r="B414" s="82"/>
      <c r="C414" s="82"/>
      <c r="D414" s="82"/>
      <c r="F414" s="82"/>
      <c r="G414" s="82"/>
      <c r="H414" s="82"/>
      <c r="I414" s="82"/>
      <c r="J414" s="82"/>
      <c r="K414" s="82"/>
      <c r="L414" s="82"/>
      <c r="M414" s="82"/>
      <c r="N414" s="82"/>
    </row>
    <row r="415" ht="15.75" customHeight="1">
      <c r="A415" s="82"/>
      <c r="B415" s="82"/>
      <c r="C415" s="82"/>
      <c r="D415" s="82"/>
      <c r="F415" s="82"/>
      <c r="G415" s="82"/>
      <c r="H415" s="82"/>
      <c r="I415" s="82"/>
      <c r="J415" s="82"/>
      <c r="K415" s="82"/>
      <c r="L415" s="82"/>
      <c r="M415" s="82"/>
      <c r="N415" s="82"/>
    </row>
    <row r="416" ht="15.75" customHeight="1">
      <c r="A416" s="82"/>
      <c r="B416" s="82"/>
      <c r="C416" s="82"/>
      <c r="D416" s="82"/>
      <c r="F416" s="82"/>
      <c r="G416" s="82"/>
      <c r="H416" s="82"/>
      <c r="I416" s="82"/>
      <c r="J416" s="82"/>
      <c r="K416" s="82"/>
      <c r="L416" s="82"/>
      <c r="M416" s="82"/>
      <c r="N416" s="82"/>
    </row>
    <row r="417" ht="15.75" customHeight="1">
      <c r="A417" s="82"/>
      <c r="B417" s="82"/>
      <c r="C417" s="82"/>
      <c r="D417" s="82"/>
      <c r="F417" s="82"/>
      <c r="G417" s="82"/>
      <c r="H417" s="82"/>
      <c r="I417" s="82"/>
      <c r="J417" s="82"/>
      <c r="K417" s="82"/>
      <c r="L417" s="82"/>
      <c r="M417" s="82"/>
      <c r="N417" s="82"/>
    </row>
    <row r="418" ht="15.75" customHeight="1">
      <c r="A418" s="82"/>
      <c r="B418" s="82"/>
      <c r="C418" s="82"/>
      <c r="D418" s="82"/>
      <c r="F418" s="82"/>
      <c r="G418" s="82"/>
      <c r="H418" s="82"/>
      <c r="I418" s="82"/>
      <c r="J418" s="82"/>
      <c r="K418" s="82"/>
      <c r="L418" s="82"/>
      <c r="M418" s="82"/>
      <c r="N418" s="82"/>
    </row>
    <row r="419" ht="15.75" customHeight="1">
      <c r="A419" s="82"/>
      <c r="B419" s="82"/>
      <c r="C419" s="82"/>
      <c r="D419" s="82"/>
      <c r="F419" s="82"/>
      <c r="G419" s="82"/>
      <c r="H419" s="82"/>
      <c r="I419" s="82"/>
      <c r="J419" s="82"/>
      <c r="K419" s="82"/>
      <c r="L419" s="82"/>
      <c r="M419" s="82"/>
      <c r="N419" s="82"/>
    </row>
    <row r="420" ht="15.75" customHeight="1">
      <c r="A420" s="82"/>
      <c r="B420" s="82"/>
      <c r="C420" s="82"/>
      <c r="D420" s="82"/>
      <c r="F420" s="82"/>
      <c r="G420" s="82"/>
      <c r="H420" s="82"/>
      <c r="I420" s="82"/>
      <c r="J420" s="82"/>
      <c r="K420" s="82"/>
      <c r="L420" s="82"/>
      <c r="M420" s="82"/>
      <c r="N420" s="82"/>
    </row>
    <row r="421" ht="15.75" customHeight="1">
      <c r="A421" s="82"/>
      <c r="B421" s="82"/>
      <c r="C421" s="82"/>
      <c r="D421" s="82"/>
      <c r="F421" s="82"/>
      <c r="G421" s="82"/>
      <c r="H421" s="82"/>
      <c r="I421" s="82"/>
      <c r="J421" s="82"/>
      <c r="K421" s="82"/>
      <c r="L421" s="82"/>
      <c r="M421" s="82"/>
      <c r="N421" s="82"/>
    </row>
    <row r="422" ht="15.75" customHeight="1">
      <c r="A422" s="82"/>
      <c r="B422" s="82"/>
      <c r="C422" s="82"/>
      <c r="D422" s="82"/>
      <c r="F422" s="82"/>
      <c r="G422" s="82"/>
      <c r="H422" s="82"/>
      <c r="I422" s="82"/>
      <c r="J422" s="82"/>
      <c r="K422" s="82"/>
      <c r="L422" s="82"/>
      <c r="M422" s="82"/>
      <c r="N422" s="82"/>
    </row>
    <row r="423" ht="15.75" customHeight="1">
      <c r="A423" s="82"/>
      <c r="B423" s="82"/>
      <c r="C423" s="82"/>
      <c r="D423" s="82"/>
      <c r="F423" s="82"/>
      <c r="G423" s="82"/>
      <c r="H423" s="82"/>
      <c r="I423" s="82"/>
      <c r="J423" s="82"/>
      <c r="K423" s="82"/>
      <c r="L423" s="82"/>
      <c r="M423" s="82"/>
      <c r="N423" s="82"/>
    </row>
    <row r="424" ht="15.75" customHeight="1">
      <c r="A424" s="82"/>
      <c r="B424" s="82"/>
      <c r="C424" s="82"/>
      <c r="D424" s="82"/>
      <c r="F424" s="82"/>
      <c r="G424" s="82"/>
      <c r="H424" s="82"/>
      <c r="I424" s="82"/>
      <c r="J424" s="82"/>
      <c r="K424" s="82"/>
      <c r="L424" s="82"/>
      <c r="M424" s="82"/>
      <c r="N424" s="82"/>
    </row>
    <row r="425" ht="15.75" customHeight="1">
      <c r="A425" s="82"/>
      <c r="B425" s="82"/>
      <c r="C425" s="82"/>
      <c r="D425" s="82"/>
      <c r="F425" s="82"/>
      <c r="G425" s="82"/>
      <c r="H425" s="82"/>
      <c r="I425" s="82"/>
      <c r="J425" s="82"/>
      <c r="K425" s="82"/>
      <c r="L425" s="82"/>
      <c r="M425" s="82"/>
      <c r="N425" s="82"/>
    </row>
    <row r="426" ht="15.75" customHeight="1">
      <c r="A426" s="82"/>
      <c r="B426" s="82"/>
      <c r="C426" s="82"/>
      <c r="D426" s="82"/>
      <c r="F426" s="82"/>
      <c r="G426" s="82"/>
      <c r="H426" s="82"/>
      <c r="I426" s="82"/>
      <c r="J426" s="82"/>
      <c r="K426" s="82"/>
      <c r="L426" s="82"/>
      <c r="M426" s="82"/>
      <c r="N426" s="82"/>
    </row>
    <row r="427" ht="15.75" customHeight="1">
      <c r="A427" s="82"/>
      <c r="B427" s="82"/>
      <c r="C427" s="82"/>
      <c r="D427" s="82"/>
      <c r="F427" s="82"/>
      <c r="G427" s="82"/>
      <c r="H427" s="82"/>
      <c r="I427" s="82"/>
      <c r="J427" s="82"/>
      <c r="K427" s="82"/>
      <c r="L427" s="82"/>
      <c r="M427" s="82"/>
      <c r="N427" s="82"/>
    </row>
    <row r="428" ht="15.75" customHeight="1">
      <c r="A428" s="82"/>
      <c r="B428" s="82"/>
      <c r="C428" s="82"/>
      <c r="D428" s="82"/>
      <c r="F428" s="82"/>
      <c r="G428" s="82"/>
      <c r="H428" s="82"/>
      <c r="I428" s="82"/>
      <c r="J428" s="82"/>
      <c r="K428" s="82"/>
      <c r="L428" s="82"/>
      <c r="M428" s="82"/>
      <c r="N428" s="82"/>
    </row>
    <row r="429" ht="15.75" customHeight="1">
      <c r="A429" s="82"/>
      <c r="B429" s="82"/>
      <c r="C429" s="82"/>
      <c r="D429" s="82"/>
      <c r="F429" s="82"/>
      <c r="G429" s="82"/>
      <c r="H429" s="82"/>
      <c r="I429" s="82"/>
      <c r="J429" s="82"/>
      <c r="K429" s="82"/>
      <c r="L429" s="82"/>
      <c r="M429" s="82"/>
      <c r="N429" s="82"/>
    </row>
    <row r="430" ht="15.75" customHeight="1">
      <c r="A430" s="82"/>
      <c r="B430" s="82"/>
      <c r="C430" s="82"/>
      <c r="D430" s="82"/>
      <c r="F430" s="82"/>
      <c r="G430" s="82"/>
      <c r="H430" s="82"/>
      <c r="I430" s="82"/>
      <c r="J430" s="82"/>
      <c r="K430" s="82"/>
      <c r="L430" s="82"/>
      <c r="M430" s="82"/>
      <c r="N430" s="82"/>
    </row>
    <row r="431" ht="15.75" customHeight="1">
      <c r="A431" s="82"/>
      <c r="B431" s="82"/>
      <c r="C431" s="82"/>
      <c r="D431" s="82"/>
      <c r="F431" s="82"/>
      <c r="G431" s="82"/>
      <c r="H431" s="82"/>
      <c r="I431" s="82"/>
      <c r="J431" s="82"/>
      <c r="K431" s="82"/>
      <c r="L431" s="82"/>
      <c r="M431" s="82"/>
      <c r="N431" s="82"/>
    </row>
    <row r="432" ht="15.75" customHeight="1">
      <c r="A432" s="82"/>
      <c r="B432" s="82"/>
      <c r="C432" s="82"/>
      <c r="D432" s="82"/>
      <c r="F432" s="82"/>
      <c r="G432" s="82"/>
      <c r="H432" s="82"/>
      <c r="I432" s="82"/>
      <c r="J432" s="82"/>
      <c r="K432" s="82"/>
      <c r="L432" s="82"/>
      <c r="M432" s="82"/>
      <c r="N432" s="82"/>
    </row>
    <row r="433" ht="15.75" customHeight="1">
      <c r="A433" s="82"/>
      <c r="B433" s="82"/>
      <c r="C433" s="82"/>
      <c r="D433" s="82"/>
      <c r="F433" s="82"/>
      <c r="G433" s="82"/>
      <c r="H433" s="82"/>
      <c r="I433" s="82"/>
      <c r="J433" s="82"/>
      <c r="K433" s="82"/>
      <c r="L433" s="82"/>
      <c r="M433" s="82"/>
      <c r="N433" s="82"/>
    </row>
    <row r="434" ht="15.75" customHeight="1">
      <c r="A434" s="82"/>
      <c r="B434" s="82"/>
      <c r="C434" s="82"/>
      <c r="D434" s="82"/>
      <c r="F434" s="82"/>
      <c r="G434" s="82"/>
      <c r="H434" s="82"/>
      <c r="I434" s="82"/>
      <c r="J434" s="82"/>
      <c r="K434" s="82"/>
      <c r="L434" s="82"/>
      <c r="M434" s="82"/>
      <c r="N434" s="82"/>
    </row>
    <row r="435" ht="15.75" customHeight="1">
      <c r="A435" s="82"/>
      <c r="B435" s="82"/>
      <c r="C435" s="82"/>
      <c r="D435" s="82"/>
      <c r="F435" s="82"/>
      <c r="G435" s="82"/>
      <c r="H435" s="82"/>
      <c r="I435" s="82"/>
      <c r="J435" s="82"/>
      <c r="K435" s="82"/>
      <c r="L435" s="82"/>
      <c r="M435" s="82"/>
      <c r="N435" s="82"/>
    </row>
    <row r="436" ht="15.75" customHeight="1">
      <c r="A436" s="82"/>
      <c r="B436" s="82"/>
      <c r="C436" s="82"/>
      <c r="D436" s="82"/>
      <c r="F436" s="82"/>
      <c r="G436" s="82"/>
      <c r="H436" s="82"/>
      <c r="I436" s="82"/>
      <c r="J436" s="82"/>
      <c r="K436" s="82"/>
      <c r="L436" s="82"/>
      <c r="M436" s="82"/>
      <c r="N436" s="82"/>
    </row>
    <row r="437" ht="15.75" customHeight="1">
      <c r="A437" s="82"/>
      <c r="B437" s="82"/>
      <c r="C437" s="82"/>
      <c r="D437" s="82"/>
      <c r="F437" s="82"/>
      <c r="G437" s="82"/>
      <c r="H437" s="82"/>
      <c r="I437" s="82"/>
      <c r="J437" s="82"/>
      <c r="K437" s="82"/>
      <c r="L437" s="82"/>
      <c r="M437" s="82"/>
      <c r="N437" s="82"/>
    </row>
    <row r="438" ht="15.75" customHeight="1">
      <c r="A438" s="82"/>
      <c r="B438" s="82"/>
      <c r="C438" s="82"/>
      <c r="D438" s="82"/>
      <c r="F438" s="82"/>
      <c r="G438" s="82"/>
      <c r="H438" s="82"/>
      <c r="I438" s="82"/>
      <c r="J438" s="82"/>
      <c r="K438" s="82"/>
      <c r="L438" s="82"/>
      <c r="M438" s="82"/>
      <c r="N438" s="82"/>
    </row>
    <row r="439" ht="15.75" customHeight="1">
      <c r="A439" s="82"/>
      <c r="B439" s="82"/>
      <c r="C439" s="82"/>
      <c r="D439" s="82"/>
      <c r="F439" s="82"/>
      <c r="G439" s="82"/>
      <c r="H439" s="82"/>
      <c r="I439" s="82"/>
      <c r="J439" s="82"/>
      <c r="K439" s="82"/>
      <c r="L439" s="82"/>
      <c r="M439" s="82"/>
      <c r="N439" s="82"/>
    </row>
    <row r="440" ht="15.75" customHeight="1">
      <c r="A440" s="82"/>
      <c r="B440" s="82"/>
      <c r="C440" s="82"/>
      <c r="D440" s="82"/>
      <c r="F440" s="82"/>
      <c r="G440" s="82"/>
      <c r="H440" s="82"/>
      <c r="I440" s="82"/>
      <c r="J440" s="82"/>
      <c r="K440" s="82"/>
      <c r="L440" s="82"/>
      <c r="M440" s="82"/>
      <c r="N440" s="82"/>
    </row>
    <row r="441" ht="15.75" customHeight="1">
      <c r="A441" s="82"/>
      <c r="B441" s="82"/>
      <c r="C441" s="82"/>
      <c r="D441" s="82"/>
      <c r="F441" s="82"/>
      <c r="G441" s="82"/>
      <c r="H441" s="82"/>
      <c r="I441" s="82"/>
      <c r="J441" s="82"/>
      <c r="K441" s="82"/>
      <c r="L441" s="82"/>
      <c r="M441" s="82"/>
      <c r="N441" s="82"/>
    </row>
    <row r="442" ht="15.75" customHeight="1">
      <c r="A442" s="82"/>
      <c r="B442" s="82"/>
      <c r="C442" s="82"/>
      <c r="D442" s="82"/>
      <c r="F442" s="82"/>
      <c r="G442" s="82"/>
      <c r="H442" s="82"/>
      <c r="I442" s="82"/>
      <c r="J442" s="82"/>
      <c r="K442" s="82"/>
      <c r="L442" s="82"/>
      <c r="M442" s="82"/>
      <c r="N442" s="82"/>
    </row>
    <row r="443" ht="15.75" customHeight="1">
      <c r="A443" s="82"/>
      <c r="B443" s="82"/>
      <c r="C443" s="82"/>
      <c r="D443" s="82"/>
      <c r="F443" s="82"/>
      <c r="G443" s="82"/>
      <c r="H443" s="82"/>
      <c r="I443" s="82"/>
      <c r="J443" s="82"/>
      <c r="K443" s="82"/>
      <c r="L443" s="82"/>
      <c r="M443" s="82"/>
      <c r="N443" s="82"/>
    </row>
    <row r="444" ht="15.75" customHeight="1">
      <c r="A444" s="82"/>
      <c r="B444" s="82"/>
      <c r="C444" s="82"/>
      <c r="D444" s="82"/>
      <c r="F444" s="82"/>
      <c r="G444" s="82"/>
      <c r="H444" s="82"/>
      <c r="I444" s="82"/>
      <c r="J444" s="82"/>
      <c r="K444" s="82"/>
      <c r="L444" s="82"/>
      <c r="M444" s="82"/>
      <c r="N444" s="82"/>
    </row>
    <row r="445" ht="15.75" customHeight="1">
      <c r="A445" s="82"/>
      <c r="B445" s="82"/>
      <c r="C445" s="82"/>
      <c r="D445" s="82"/>
      <c r="F445" s="82"/>
      <c r="G445" s="82"/>
      <c r="H445" s="82"/>
      <c r="I445" s="82"/>
      <c r="J445" s="82"/>
      <c r="K445" s="82"/>
      <c r="L445" s="82"/>
      <c r="M445" s="82"/>
      <c r="N445" s="82"/>
    </row>
    <row r="446" ht="15.75" customHeight="1">
      <c r="A446" s="82"/>
      <c r="B446" s="82"/>
      <c r="C446" s="82"/>
      <c r="D446" s="82"/>
      <c r="F446" s="82"/>
      <c r="G446" s="82"/>
      <c r="H446" s="82"/>
      <c r="I446" s="82"/>
      <c r="J446" s="82"/>
      <c r="K446" s="82"/>
      <c r="L446" s="82"/>
      <c r="M446" s="82"/>
      <c r="N446" s="82"/>
    </row>
    <row r="447" ht="15.75" customHeight="1">
      <c r="A447" s="82"/>
      <c r="B447" s="82"/>
      <c r="C447" s="82"/>
      <c r="D447" s="82"/>
      <c r="F447" s="82"/>
      <c r="G447" s="82"/>
      <c r="H447" s="82"/>
      <c r="I447" s="82"/>
      <c r="J447" s="82"/>
      <c r="K447" s="82"/>
      <c r="L447" s="82"/>
      <c r="M447" s="82"/>
      <c r="N447" s="82"/>
    </row>
    <row r="448" ht="15.75" customHeight="1">
      <c r="A448" s="82"/>
      <c r="B448" s="82"/>
      <c r="C448" s="82"/>
      <c r="D448" s="82"/>
      <c r="F448" s="82"/>
      <c r="G448" s="82"/>
      <c r="H448" s="82"/>
      <c r="I448" s="82"/>
      <c r="J448" s="82"/>
      <c r="K448" s="82"/>
      <c r="L448" s="82"/>
      <c r="M448" s="82"/>
      <c r="N448" s="82"/>
    </row>
    <row r="449" ht="15.75" customHeight="1">
      <c r="A449" s="82"/>
      <c r="B449" s="82"/>
      <c r="C449" s="82"/>
      <c r="D449" s="82"/>
      <c r="F449" s="82"/>
      <c r="G449" s="82"/>
      <c r="H449" s="82"/>
      <c r="I449" s="82"/>
      <c r="J449" s="82"/>
      <c r="K449" s="82"/>
      <c r="L449" s="82"/>
      <c r="M449" s="82"/>
      <c r="N449" s="82"/>
    </row>
    <row r="450" ht="15.75" customHeight="1">
      <c r="A450" s="82"/>
      <c r="B450" s="82"/>
      <c r="C450" s="82"/>
      <c r="D450" s="82"/>
      <c r="F450" s="82"/>
      <c r="G450" s="82"/>
      <c r="H450" s="82"/>
      <c r="I450" s="82"/>
      <c r="J450" s="82"/>
      <c r="K450" s="82"/>
      <c r="L450" s="82"/>
      <c r="M450" s="82"/>
      <c r="N450" s="82"/>
    </row>
    <row r="451" ht="15.75" customHeight="1">
      <c r="A451" s="82"/>
      <c r="B451" s="82"/>
      <c r="C451" s="82"/>
      <c r="D451" s="82"/>
      <c r="F451" s="82"/>
      <c r="G451" s="82"/>
      <c r="H451" s="82"/>
      <c r="I451" s="82"/>
      <c r="J451" s="82"/>
      <c r="K451" s="82"/>
      <c r="L451" s="82"/>
      <c r="M451" s="82"/>
      <c r="N451" s="82"/>
    </row>
    <row r="452" ht="15.75" customHeight="1">
      <c r="A452" s="82"/>
      <c r="B452" s="82"/>
      <c r="C452" s="82"/>
      <c r="D452" s="82"/>
      <c r="F452" s="82"/>
      <c r="G452" s="82"/>
      <c r="H452" s="82"/>
      <c r="I452" s="82"/>
      <c r="J452" s="82"/>
      <c r="K452" s="82"/>
      <c r="L452" s="82"/>
      <c r="M452" s="82"/>
      <c r="N452" s="82"/>
    </row>
    <row r="453" ht="15.75" customHeight="1">
      <c r="A453" s="82"/>
      <c r="B453" s="82"/>
      <c r="C453" s="82"/>
      <c r="D453" s="82"/>
      <c r="F453" s="82"/>
      <c r="G453" s="82"/>
      <c r="H453" s="82"/>
      <c r="I453" s="82"/>
      <c r="J453" s="82"/>
      <c r="K453" s="82"/>
      <c r="L453" s="82"/>
      <c r="M453" s="82"/>
      <c r="N453" s="82"/>
    </row>
    <row r="454" ht="15.75" customHeight="1">
      <c r="A454" s="82"/>
      <c r="B454" s="82"/>
      <c r="C454" s="82"/>
      <c r="D454" s="82"/>
      <c r="F454" s="82"/>
      <c r="G454" s="82"/>
      <c r="H454" s="82"/>
      <c r="I454" s="82"/>
      <c r="J454" s="82"/>
      <c r="K454" s="82"/>
      <c r="L454" s="82"/>
      <c r="M454" s="82"/>
      <c r="N454" s="82"/>
    </row>
    <row r="455" ht="15.75" customHeight="1">
      <c r="A455" s="82"/>
      <c r="B455" s="82"/>
      <c r="C455" s="82"/>
      <c r="D455" s="82"/>
      <c r="F455" s="82"/>
      <c r="G455" s="82"/>
      <c r="H455" s="82"/>
      <c r="I455" s="82"/>
      <c r="J455" s="82"/>
      <c r="K455" s="82"/>
      <c r="L455" s="82"/>
      <c r="M455" s="82"/>
      <c r="N455" s="82"/>
    </row>
    <row r="456" ht="15.75" customHeight="1">
      <c r="A456" s="82"/>
      <c r="B456" s="82"/>
      <c r="C456" s="82"/>
      <c r="D456" s="82"/>
      <c r="F456" s="82"/>
      <c r="G456" s="82"/>
      <c r="H456" s="82"/>
      <c r="I456" s="82"/>
      <c r="J456" s="82"/>
      <c r="K456" s="82"/>
      <c r="L456" s="82"/>
      <c r="M456" s="82"/>
      <c r="N456" s="82"/>
    </row>
    <row r="457" ht="15.75" customHeight="1">
      <c r="A457" s="82"/>
      <c r="B457" s="82"/>
      <c r="C457" s="82"/>
      <c r="D457" s="82"/>
      <c r="F457" s="82"/>
      <c r="G457" s="82"/>
      <c r="H457" s="82"/>
      <c r="I457" s="82"/>
      <c r="J457" s="82"/>
      <c r="K457" s="82"/>
      <c r="L457" s="82"/>
      <c r="M457" s="82"/>
      <c r="N457" s="82"/>
    </row>
    <row r="458" ht="15.75" customHeight="1">
      <c r="A458" s="82"/>
      <c r="B458" s="82"/>
      <c r="C458" s="82"/>
      <c r="D458" s="82"/>
      <c r="F458" s="82"/>
      <c r="G458" s="82"/>
      <c r="H458" s="82"/>
      <c r="I458" s="82"/>
      <c r="J458" s="82"/>
      <c r="K458" s="82"/>
      <c r="L458" s="82"/>
      <c r="M458" s="82"/>
      <c r="N458" s="82"/>
    </row>
    <row r="459" ht="15.75" customHeight="1">
      <c r="A459" s="82"/>
      <c r="B459" s="82"/>
      <c r="C459" s="82"/>
      <c r="D459" s="82"/>
      <c r="F459" s="82"/>
      <c r="G459" s="82"/>
      <c r="H459" s="82"/>
      <c r="I459" s="82"/>
      <c r="J459" s="82"/>
      <c r="K459" s="82"/>
      <c r="L459" s="82"/>
      <c r="M459" s="82"/>
      <c r="N459" s="82"/>
    </row>
    <row r="460" ht="15.75" customHeight="1">
      <c r="A460" s="82"/>
      <c r="B460" s="82"/>
      <c r="C460" s="82"/>
      <c r="D460" s="82"/>
      <c r="F460" s="82"/>
      <c r="G460" s="82"/>
      <c r="H460" s="82"/>
      <c r="I460" s="82"/>
      <c r="J460" s="82"/>
      <c r="K460" s="82"/>
      <c r="L460" s="82"/>
      <c r="M460" s="82"/>
      <c r="N460" s="82"/>
    </row>
    <row r="461" ht="15.75" customHeight="1">
      <c r="A461" s="82"/>
      <c r="B461" s="82"/>
      <c r="C461" s="82"/>
      <c r="D461" s="82"/>
      <c r="F461" s="82"/>
      <c r="G461" s="82"/>
      <c r="H461" s="82"/>
      <c r="I461" s="82"/>
      <c r="J461" s="82"/>
      <c r="K461" s="82"/>
      <c r="L461" s="82"/>
      <c r="M461" s="82"/>
      <c r="N461" s="82"/>
    </row>
    <row r="462" ht="15.75" customHeight="1">
      <c r="A462" s="82"/>
      <c r="B462" s="82"/>
      <c r="C462" s="82"/>
      <c r="D462" s="82"/>
      <c r="F462" s="82"/>
      <c r="G462" s="82"/>
      <c r="H462" s="82"/>
      <c r="I462" s="82"/>
      <c r="J462" s="82"/>
      <c r="K462" s="82"/>
      <c r="L462" s="82"/>
      <c r="M462" s="82"/>
      <c r="N462" s="82"/>
    </row>
    <row r="463" ht="15.75" customHeight="1">
      <c r="A463" s="82"/>
      <c r="B463" s="82"/>
      <c r="C463" s="82"/>
      <c r="D463" s="82"/>
      <c r="F463" s="82"/>
      <c r="G463" s="82"/>
      <c r="H463" s="82"/>
      <c r="I463" s="82"/>
      <c r="J463" s="82"/>
      <c r="K463" s="82"/>
      <c r="L463" s="82"/>
      <c r="M463" s="82"/>
      <c r="N463" s="82"/>
    </row>
    <row r="464" ht="15.75" customHeight="1">
      <c r="A464" s="82"/>
      <c r="B464" s="82"/>
      <c r="C464" s="82"/>
      <c r="D464" s="82"/>
      <c r="F464" s="82"/>
      <c r="G464" s="82"/>
      <c r="H464" s="82"/>
      <c r="I464" s="82"/>
      <c r="J464" s="82"/>
      <c r="K464" s="82"/>
      <c r="L464" s="82"/>
      <c r="M464" s="82"/>
      <c r="N464" s="82"/>
    </row>
    <row r="465" ht="15.75" customHeight="1">
      <c r="A465" s="82"/>
      <c r="B465" s="82"/>
      <c r="C465" s="82"/>
      <c r="D465" s="82"/>
      <c r="F465" s="82"/>
      <c r="G465" s="82"/>
      <c r="H465" s="82"/>
      <c r="I465" s="82"/>
      <c r="J465" s="82"/>
      <c r="K465" s="82"/>
      <c r="L465" s="82"/>
      <c r="M465" s="82"/>
      <c r="N465" s="82"/>
    </row>
    <row r="466" ht="15.75" customHeight="1">
      <c r="A466" s="82"/>
      <c r="B466" s="82"/>
      <c r="C466" s="82"/>
      <c r="D466" s="82"/>
      <c r="F466" s="82"/>
      <c r="G466" s="82"/>
      <c r="H466" s="82"/>
      <c r="I466" s="82"/>
      <c r="J466" s="82"/>
      <c r="K466" s="82"/>
      <c r="L466" s="82"/>
      <c r="M466" s="82"/>
      <c r="N466" s="82"/>
    </row>
    <row r="467" ht="15.75" customHeight="1">
      <c r="A467" s="82"/>
      <c r="B467" s="82"/>
      <c r="C467" s="82"/>
      <c r="D467" s="82"/>
      <c r="F467" s="82"/>
      <c r="G467" s="82"/>
      <c r="H467" s="82"/>
      <c r="I467" s="82"/>
      <c r="J467" s="82"/>
      <c r="K467" s="82"/>
      <c r="L467" s="82"/>
      <c r="M467" s="82"/>
      <c r="N467" s="82"/>
    </row>
    <row r="468" ht="15.75" customHeight="1">
      <c r="A468" s="82"/>
      <c r="B468" s="82"/>
      <c r="C468" s="82"/>
      <c r="D468" s="82"/>
      <c r="F468" s="82"/>
      <c r="G468" s="82"/>
      <c r="H468" s="82"/>
      <c r="I468" s="82"/>
      <c r="J468" s="82"/>
      <c r="K468" s="82"/>
      <c r="L468" s="82"/>
      <c r="M468" s="82"/>
      <c r="N468" s="82"/>
    </row>
    <row r="469" ht="15.75" customHeight="1">
      <c r="A469" s="82"/>
      <c r="B469" s="82"/>
      <c r="C469" s="82"/>
      <c r="D469" s="82"/>
      <c r="F469" s="82"/>
      <c r="G469" s="82"/>
      <c r="H469" s="82"/>
      <c r="I469" s="82"/>
      <c r="J469" s="82"/>
      <c r="K469" s="82"/>
      <c r="L469" s="82"/>
      <c r="M469" s="82"/>
      <c r="N469" s="82"/>
    </row>
    <row r="470" ht="15.75" customHeight="1">
      <c r="A470" s="82"/>
      <c r="B470" s="82"/>
      <c r="C470" s="82"/>
      <c r="D470" s="82"/>
      <c r="F470" s="82"/>
      <c r="G470" s="82"/>
      <c r="H470" s="82"/>
      <c r="I470" s="82"/>
      <c r="J470" s="82"/>
      <c r="K470" s="82"/>
      <c r="L470" s="82"/>
      <c r="M470" s="82"/>
      <c r="N470" s="82"/>
    </row>
    <row r="471" ht="15.75" customHeight="1">
      <c r="A471" s="82"/>
      <c r="B471" s="82"/>
      <c r="C471" s="82"/>
      <c r="D471" s="82"/>
      <c r="F471" s="82"/>
      <c r="G471" s="82"/>
      <c r="H471" s="82"/>
      <c r="I471" s="82"/>
      <c r="J471" s="82"/>
      <c r="K471" s="82"/>
      <c r="L471" s="82"/>
      <c r="M471" s="82"/>
      <c r="N471" s="82"/>
    </row>
    <row r="472" ht="15.75" customHeight="1">
      <c r="A472" s="82"/>
      <c r="B472" s="82"/>
      <c r="C472" s="82"/>
      <c r="D472" s="82"/>
      <c r="F472" s="82"/>
      <c r="G472" s="82"/>
      <c r="H472" s="82"/>
      <c r="I472" s="82"/>
      <c r="J472" s="82"/>
      <c r="K472" s="82"/>
      <c r="L472" s="82"/>
      <c r="M472" s="82"/>
      <c r="N472" s="82"/>
    </row>
    <row r="473" ht="15.75" customHeight="1">
      <c r="A473" s="82"/>
      <c r="B473" s="82"/>
      <c r="C473" s="82"/>
      <c r="D473" s="82"/>
      <c r="F473" s="82"/>
      <c r="G473" s="82"/>
      <c r="H473" s="82"/>
      <c r="I473" s="82"/>
      <c r="J473" s="82"/>
      <c r="K473" s="82"/>
      <c r="L473" s="82"/>
      <c r="M473" s="82"/>
      <c r="N473" s="82"/>
    </row>
    <row r="474" ht="15.75" customHeight="1">
      <c r="A474" s="82"/>
      <c r="B474" s="82"/>
      <c r="C474" s="82"/>
      <c r="D474" s="82"/>
      <c r="F474" s="82"/>
      <c r="G474" s="82"/>
      <c r="H474" s="82"/>
      <c r="I474" s="82"/>
      <c r="J474" s="82"/>
      <c r="K474" s="82"/>
      <c r="L474" s="82"/>
      <c r="M474" s="82"/>
      <c r="N474" s="82"/>
    </row>
    <row r="475" ht="15.75" customHeight="1">
      <c r="A475" s="82"/>
      <c r="B475" s="82"/>
      <c r="C475" s="82"/>
      <c r="D475" s="82"/>
      <c r="F475" s="82"/>
      <c r="G475" s="82"/>
      <c r="H475" s="82"/>
      <c r="I475" s="82"/>
      <c r="J475" s="82"/>
      <c r="K475" s="82"/>
      <c r="L475" s="82"/>
      <c r="M475" s="82"/>
      <c r="N475" s="82"/>
    </row>
    <row r="476" ht="15.75" customHeight="1">
      <c r="A476" s="82"/>
      <c r="B476" s="82"/>
      <c r="C476" s="82"/>
      <c r="D476" s="82"/>
      <c r="F476" s="82"/>
      <c r="G476" s="82"/>
      <c r="H476" s="82"/>
      <c r="I476" s="82"/>
      <c r="J476" s="82"/>
      <c r="K476" s="82"/>
      <c r="L476" s="82"/>
      <c r="M476" s="82"/>
      <c r="N476" s="82"/>
    </row>
    <row r="477" ht="15.75" customHeight="1">
      <c r="A477" s="82"/>
      <c r="B477" s="82"/>
      <c r="C477" s="82"/>
      <c r="D477" s="82"/>
      <c r="F477" s="82"/>
      <c r="G477" s="82"/>
      <c r="H477" s="82"/>
      <c r="I477" s="82"/>
      <c r="J477" s="82"/>
      <c r="K477" s="82"/>
      <c r="L477" s="82"/>
      <c r="M477" s="82"/>
      <c r="N477" s="82"/>
    </row>
    <row r="478" ht="15.75" customHeight="1">
      <c r="A478" s="82"/>
      <c r="B478" s="82"/>
      <c r="C478" s="82"/>
      <c r="D478" s="82"/>
      <c r="F478" s="82"/>
      <c r="G478" s="82"/>
      <c r="H478" s="82"/>
      <c r="I478" s="82"/>
      <c r="J478" s="82"/>
      <c r="K478" s="82"/>
      <c r="L478" s="82"/>
      <c r="M478" s="82"/>
      <c r="N478" s="82"/>
    </row>
    <row r="479" ht="15.75" customHeight="1">
      <c r="A479" s="82"/>
      <c r="B479" s="82"/>
      <c r="C479" s="82"/>
      <c r="D479" s="82"/>
      <c r="F479" s="82"/>
      <c r="G479" s="82"/>
      <c r="H479" s="82"/>
      <c r="I479" s="82"/>
      <c r="J479" s="82"/>
      <c r="K479" s="82"/>
      <c r="L479" s="82"/>
      <c r="M479" s="82"/>
      <c r="N479" s="82"/>
    </row>
    <row r="480" ht="15.75" customHeight="1">
      <c r="A480" s="82"/>
      <c r="B480" s="82"/>
      <c r="C480" s="82"/>
      <c r="D480" s="82"/>
      <c r="F480" s="82"/>
      <c r="G480" s="82"/>
      <c r="H480" s="82"/>
      <c r="I480" s="82"/>
      <c r="J480" s="82"/>
      <c r="K480" s="82"/>
      <c r="L480" s="82"/>
      <c r="M480" s="82"/>
      <c r="N480" s="82"/>
    </row>
    <row r="481" ht="15.75" customHeight="1">
      <c r="A481" s="82"/>
      <c r="B481" s="82"/>
      <c r="C481" s="82"/>
      <c r="D481" s="82"/>
      <c r="F481" s="82"/>
      <c r="G481" s="82"/>
      <c r="H481" s="82"/>
      <c r="I481" s="82"/>
      <c r="J481" s="82"/>
      <c r="K481" s="82"/>
      <c r="L481" s="82"/>
      <c r="M481" s="82"/>
      <c r="N481" s="82"/>
    </row>
    <row r="482" ht="15.75" customHeight="1">
      <c r="A482" s="82"/>
      <c r="B482" s="82"/>
      <c r="C482" s="82"/>
      <c r="D482" s="82"/>
      <c r="F482" s="82"/>
      <c r="G482" s="82"/>
      <c r="H482" s="82"/>
      <c r="I482" s="82"/>
      <c r="J482" s="82"/>
      <c r="K482" s="82"/>
      <c r="L482" s="82"/>
      <c r="M482" s="82"/>
      <c r="N482" s="82"/>
    </row>
    <row r="483" ht="15.75" customHeight="1">
      <c r="A483" s="82"/>
      <c r="B483" s="82"/>
      <c r="C483" s="82"/>
      <c r="D483" s="82"/>
      <c r="F483" s="82"/>
      <c r="G483" s="82"/>
      <c r="H483" s="82"/>
      <c r="I483" s="82"/>
      <c r="J483" s="82"/>
      <c r="K483" s="82"/>
      <c r="L483" s="82"/>
      <c r="M483" s="82"/>
      <c r="N483" s="82"/>
    </row>
    <row r="484" ht="15.75" customHeight="1">
      <c r="A484" s="82"/>
      <c r="B484" s="82"/>
      <c r="C484" s="82"/>
      <c r="D484" s="82"/>
      <c r="F484" s="82"/>
      <c r="G484" s="82"/>
      <c r="H484" s="82"/>
      <c r="I484" s="82"/>
      <c r="J484" s="82"/>
      <c r="K484" s="82"/>
      <c r="L484" s="82"/>
      <c r="M484" s="82"/>
      <c r="N484" s="82"/>
    </row>
    <row r="485" ht="15.75" customHeight="1">
      <c r="A485" s="82"/>
      <c r="B485" s="82"/>
      <c r="C485" s="82"/>
      <c r="D485" s="82"/>
      <c r="F485" s="82"/>
      <c r="G485" s="82"/>
      <c r="H485" s="82"/>
      <c r="I485" s="82"/>
      <c r="J485" s="82"/>
      <c r="K485" s="82"/>
      <c r="L485" s="82"/>
      <c r="M485" s="82"/>
      <c r="N485" s="82"/>
    </row>
    <row r="486" ht="15.75" customHeight="1">
      <c r="A486" s="82"/>
      <c r="B486" s="82"/>
      <c r="C486" s="82"/>
      <c r="D486" s="82"/>
      <c r="F486" s="82"/>
      <c r="G486" s="82"/>
      <c r="H486" s="82"/>
      <c r="I486" s="82"/>
      <c r="J486" s="82"/>
      <c r="K486" s="82"/>
      <c r="L486" s="82"/>
      <c r="M486" s="82"/>
      <c r="N486" s="82"/>
    </row>
    <row r="487" ht="15.75" customHeight="1">
      <c r="A487" s="82"/>
      <c r="B487" s="82"/>
      <c r="C487" s="82"/>
      <c r="D487" s="82"/>
      <c r="F487" s="82"/>
      <c r="G487" s="82"/>
      <c r="H487" s="82"/>
      <c r="I487" s="82"/>
      <c r="J487" s="82"/>
      <c r="K487" s="82"/>
      <c r="L487" s="82"/>
      <c r="M487" s="82"/>
      <c r="N487" s="82"/>
    </row>
    <row r="488" ht="15.75" customHeight="1">
      <c r="A488" s="82"/>
      <c r="B488" s="82"/>
      <c r="C488" s="82"/>
      <c r="D488" s="82"/>
      <c r="F488" s="82"/>
      <c r="G488" s="82"/>
      <c r="H488" s="82"/>
      <c r="I488" s="82"/>
      <c r="J488" s="82"/>
      <c r="K488" s="82"/>
      <c r="L488" s="82"/>
      <c r="M488" s="82"/>
      <c r="N488" s="82"/>
    </row>
    <row r="489" ht="15.75" customHeight="1">
      <c r="A489" s="82"/>
      <c r="B489" s="82"/>
      <c r="C489" s="82"/>
      <c r="D489" s="82"/>
      <c r="F489" s="82"/>
      <c r="G489" s="82"/>
      <c r="H489" s="82"/>
      <c r="I489" s="82"/>
      <c r="J489" s="82"/>
      <c r="K489" s="82"/>
      <c r="L489" s="82"/>
      <c r="M489" s="82"/>
      <c r="N489" s="82"/>
    </row>
    <row r="490" ht="15.75" customHeight="1">
      <c r="A490" s="82"/>
      <c r="B490" s="82"/>
      <c r="C490" s="82"/>
      <c r="D490" s="82"/>
      <c r="F490" s="82"/>
      <c r="G490" s="82"/>
      <c r="H490" s="82"/>
      <c r="I490" s="82"/>
      <c r="J490" s="82"/>
      <c r="K490" s="82"/>
      <c r="L490" s="82"/>
      <c r="M490" s="82"/>
      <c r="N490" s="82"/>
    </row>
    <row r="491" ht="15.75" customHeight="1">
      <c r="A491" s="82"/>
      <c r="B491" s="82"/>
      <c r="C491" s="82"/>
      <c r="D491" s="82"/>
      <c r="F491" s="82"/>
      <c r="G491" s="82"/>
      <c r="H491" s="82"/>
      <c r="I491" s="82"/>
      <c r="J491" s="82"/>
      <c r="K491" s="82"/>
      <c r="L491" s="82"/>
      <c r="M491" s="82"/>
      <c r="N491" s="82"/>
    </row>
    <row r="492" ht="15.75" customHeight="1">
      <c r="A492" s="82"/>
      <c r="B492" s="82"/>
      <c r="C492" s="82"/>
      <c r="D492" s="82"/>
      <c r="F492" s="82"/>
      <c r="G492" s="82"/>
      <c r="H492" s="82"/>
      <c r="I492" s="82"/>
      <c r="J492" s="82"/>
      <c r="K492" s="82"/>
      <c r="L492" s="82"/>
      <c r="M492" s="82"/>
      <c r="N492" s="82"/>
    </row>
    <row r="493" ht="15.75" customHeight="1">
      <c r="A493" s="82"/>
      <c r="B493" s="82"/>
      <c r="C493" s="82"/>
      <c r="D493" s="82"/>
      <c r="F493" s="82"/>
      <c r="G493" s="82"/>
      <c r="H493" s="82"/>
      <c r="I493" s="82"/>
      <c r="J493" s="82"/>
      <c r="K493" s="82"/>
      <c r="L493" s="82"/>
      <c r="M493" s="82"/>
      <c r="N493" s="82"/>
    </row>
    <row r="494" ht="15.75" customHeight="1">
      <c r="A494" s="82"/>
      <c r="B494" s="82"/>
      <c r="C494" s="82"/>
      <c r="D494" s="82"/>
      <c r="F494" s="82"/>
      <c r="G494" s="82"/>
      <c r="H494" s="82"/>
      <c r="I494" s="82"/>
      <c r="J494" s="82"/>
      <c r="K494" s="82"/>
      <c r="L494" s="82"/>
      <c r="M494" s="82"/>
      <c r="N494" s="82"/>
    </row>
    <row r="495" ht="15.75" customHeight="1">
      <c r="A495" s="82"/>
      <c r="B495" s="82"/>
      <c r="C495" s="82"/>
      <c r="D495" s="82"/>
      <c r="F495" s="82"/>
      <c r="G495" s="82"/>
      <c r="H495" s="82"/>
      <c r="I495" s="82"/>
      <c r="J495" s="82"/>
      <c r="K495" s="82"/>
      <c r="L495" s="82"/>
      <c r="M495" s="82"/>
      <c r="N495" s="82"/>
    </row>
    <row r="496" ht="15.75" customHeight="1">
      <c r="A496" s="82"/>
      <c r="B496" s="82"/>
      <c r="C496" s="82"/>
      <c r="D496" s="82"/>
      <c r="F496" s="82"/>
      <c r="G496" s="82"/>
      <c r="H496" s="82"/>
      <c r="I496" s="82"/>
      <c r="J496" s="82"/>
      <c r="K496" s="82"/>
      <c r="L496" s="82"/>
      <c r="M496" s="82"/>
      <c r="N496" s="82"/>
    </row>
    <row r="497" ht="15.75" customHeight="1">
      <c r="A497" s="82"/>
      <c r="B497" s="82"/>
      <c r="C497" s="82"/>
      <c r="D497" s="82"/>
      <c r="F497" s="82"/>
      <c r="G497" s="82"/>
      <c r="H497" s="82"/>
      <c r="I497" s="82"/>
      <c r="J497" s="82"/>
      <c r="K497" s="82"/>
      <c r="L497" s="82"/>
      <c r="M497" s="82"/>
      <c r="N497" s="82"/>
    </row>
    <row r="498" ht="15.75" customHeight="1">
      <c r="A498" s="82"/>
      <c r="B498" s="82"/>
      <c r="C498" s="82"/>
      <c r="D498" s="82"/>
      <c r="F498" s="82"/>
      <c r="G498" s="82"/>
      <c r="H498" s="82"/>
      <c r="I498" s="82"/>
      <c r="J498" s="82"/>
      <c r="K498" s="82"/>
      <c r="L498" s="82"/>
      <c r="M498" s="82"/>
      <c r="N498" s="82"/>
    </row>
    <row r="499" ht="15.75" customHeight="1">
      <c r="A499" s="82"/>
      <c r="B499" s="82"/>
      <c r="C499" s="82"/>
      <c r="D499" s="82"/>
      <c r="F499" s="82"/>
      <c r="G499" s="82"/>
      <c r="H499" s="82"/>
      <c r="I499" s="82"/>
      <c r="J499" s="82"/>
      <c r="K499" s="82"/>
      <c r="L499" s="82"/>
      <c r="M499" s="82"/>
      <c r="N499" s="82"/>
    </row>
    <row r="500" ht="15.75" customHeight="1">
      <c r="A500" s="82"/>
      <c r="B500" s="82"/>
      <c r="C500" s="82"/>
      <c r="D500" s="82"/>
      <c r="F500" s="82"/>
      <c r="G500" s="82"/>
      <c r="H500" s="82"/>
      <c r="I500" s="82"/>
      <c r="J500" s="82"/>
      <c r="K500" s="82"/>
      <c r="L500" s="82"/>
      <c r="M500" s="82"/>
      <c r="N500" s="82"/>
    </row>
    <row r="501" ht="15.75" customHeight="1">
      <c r="A501" s="82"/>
      <c r="B501" s="82"/>
      <c r="C501" s="82"/>
      <c r="D501" s="82"/>
      <c r="F501" s="82"/>
      <c r="G501" s="82"/>
      <c r="H501" s="82"/>
      <c r="I501" s="82"/>
      <c r="J501" s="82"/>
      <c r="K501" s="82"/>
      <c r="L501" s="82"/>
      <c r="M501" s="82"/>
      <c r="N501" s="82"/>
    </row>
    <row r="502" ht="15.75" customHeight="1">
      <c r="A502" s="82"/>
      <c r="B502" s="82"/>
      <c r="C502" s="82"/>
      <c r="D502" s="82"/>
      <c r="F502" s="82"/>
      <c r="G502" s="82"/>
      <c r="H502" s="82"/>
      <c r="I502" s="82"/>
      <c r="J502" s="82"/>
      <c r="K502" s="82"/>
      <c r="L502" s="82"/>
      <c r="M502" s="82"/>
      <c r="N502" s="82"/>
    </row>
    <row r="503" ht="15.75" customHeight="1">
      <c r="A503" s="82"/>
      <c r="B503" s="82"/>
      <c r="C503" s="82"/>
      <c r="D503" s="82"/>
      <c r="F503" s="82"/>
      <c r="G503" s="82"/>
      <c r="H503" s="82"/>
      <c r="I503" s="82"/>
      <c r="J503" s="82"/>
      <c r="K503" s="82"/>
      <c r="L503" s="82"/>
      <c r="M503" s="82"/>
      <c r="N503" s="82"/>
    </row>
    <row r="504" ht="15.75" customHeight="1">
      <c r="A504" s="82"/>
      <c r="B504" s="82"/>
      <c r="C504" s="82"/>
      <c r="D504" s="82"/>
      <c r="F504" s="82"/>
      <c r="G504" s="82"/>
      <c r="H504" s="82"/>
      <c r="I504" s="82"/>
      <c r="J504" s="82"/>
      <c r="K504" s="82"/>
      <c r="L504" s="82"/>
      <c r="M504" s="82"/>
      <c r="N504" s="82"/>
    </row>
    <row r="505" ht="15.75" customHeight="1">
      <c r="A505" s="82"/>
      <c r="B505" s="82"/>
      <c r="C505" s="82"/>
      <c r="D505" s="82"/>
      <c r="F505" s="82"/>
      <c r="G505" s="82"/>
      <c r="H505" s="82"/>
      <c r="I505" s="82"/>
      <c r="J505" s="82"/>
      <c r="K505" s="82"/>
      <c r="L505" s="82"/>
      <c r="M505" s="82"/>
      <c r="N505" s="82"/>
    </row>
    <row r="506" ht="15.75" customHeight="1">
      <c r="A506" s="82"/>
      <c r="B506" s="82"/>
      <c r="C506" s="82"/>
      <c r="D506" s="82"/>
      <c r="F506" s="82"/>
      <c r="G506" s="82"/>
      <c r="H506" s="82"/>
      <c r="I506" s="82"/>
      <c r="J506" s="82"/>
      <c r="K506" s="82"/>
      <c r="L506" s="82"/>
      <c r="M506" s="82"/>
      <c r="N506" s="82"/>
    </row>
    <row r="507" ht="15.75" customHeight="1">
      <c r="A507" s="82"/>
      <c r="B507" s="82"/>
      <c r="C507" s="82"/>
      <c r="D507" s="82"/>
      <c r="F507" s="82"/>
      <c r="G507" s="82"/>
      <c r="H507" s="82"/>
      <c r="I507" s="82"/>
      <c r="J507" s="82"/>
      <c r="K507" s="82"/>
      <c r="L507" s="82"/>
      <c r="M507" s="82"/>
      <c r="N507" s="82"/>
    </row>
    <row r="508" ht="15.75" customHeight="1">
      <c r="A508" s="82"/>
      <c r="B508" s="82"/>
      <c r="C508" s="82"/>
      <c r="D508" s="82"/>
      <c r="F508" s="82"/>
      <c r="G508" s="82"/>
      <c r="H508" s="82"/>
      <c r="I508" s="82"/>
      <c r="J508" s="82"/>
      <c r="K508" s="82"/>
      <c r="L508" s="82"/>
      <c r="M508" s="82"/>
      <c r="N508" s="82"/>
    </row>
    <row r="509" ht="15.75" customHeight="1">
      <c r="A509" s="82"/>
      <c r="B509" s="82"/>
      <c r="C509" s="82"/>
      <c r="D509" s="82"/>
      <c r="F509" s="82"/>
      <c r="G509" s="82"/>
      <c r="H509" s="82"/>
      <c r="I509" s="82"/>
      <c r="J509" s="82"/>
      <c r="K509" s="82"/>
      <c r="L509" s="82"/>
      <c r="M509" s="82"/>
      <c r="N509" s="82"/>
    </row>
    <row r="510" ht="15.75" customHeight="1">
      <c r="A510" s="82"/>
      <c r="B510" s="82"/>
      <c r="C510" s="82"/>
      <c r="D510" s="82"/>
      <c r="F510" s="82"/>
      <c r="G510" s="82"/>
      <c r="H510" s="82"/>
      <c r="I510" s="82"/>
      <c r="J510" s="82"/>
      <c r="K510" s="82"/>
      <c r="L510" s="82"/>
      <c r="M510" s="82"/>
      <c r="N510" s="82"/>
    </row>
    <row r="511" ht="15.75" customHeight="1">
      <c r="A511" s="82"/>
      <c r="B511" s="82"/>
      <c r="C511" s="82"/>
      <c r="D511" s="82"/>
      <c r="F511" s="82"/>
      <c r="G511" s="82"/>
      <c r="H511" s="82"/>
      <c r="I511" s="82"/>
      <c r="J511" s="82"/>
      <c r="K511" s="82"/>
      <c r="L511" s="82"/>
      <c r="M511" s="82"/>
      <c r="N511" s="82"/>
    </row>
    <row r="512" ht="15.75" customHeight="1">
      <c r="A512" s="82"/>
      <c r="B512" s="82"/>
      <c r="C512" s="82"/>
      <c r="D512" s="82"/>
      <c r="F512" s="82"/>
      <c r="G512" s="82"/>
      <c r="H512" s="82"/>
      <c r="I512" s="82"/>
      <c r="J512" s="82"/>
      <c r="K512" s="82"/>
      <c r="L512" s="82"/>
      <c r="M512" s="82"/>
      <c r="N512" s="82"/>
    </row>
    <row r="513" ht="15.75" customHeight="1">
      <c r="A513" s="82"/>
      <c r="B513" s="82"/>
      <c r="C513" s="82"/>
      <c r="D513" s="82"/>
      <c r="F513" s="82"/>
      <c r="G513" s="82"/>
      <c r="H513" s="82"/>
      <c r="I513" s="82"/>
      <c r="J513" s="82"/>
      <c r="K513" s="82"/>
      <c r="L513" s="82"/>
      <c r="M513" s="82"/>
      <c r="N513" s="82"/>
    </row>
    <row r="514" ht="15.75" customHeight="1">
      <c r="A514" s="82"/>
      <c r="B514" s="82"/>
      <c r="C514" s="82"/>
      <c r="D514" s="82"/>
      <c r="F514" s="82"/>
      <c r="G514" s="82"/>
      <c r="H514" s="82"/>
      <c r="I514" s="82"/>
      <c r="J514" s="82"/>
      <c r="K514" s="82"/>
      <c r="L514" s="82"/>
      <c r="M514" s="82"/>
      <c r="N514" s="82"/>
    </row>
    <row r="515" ht="15.75" customHeight="1">
      <c r="A515" s="82"/>
      <c r="B515" s="82"/>
      <c r="C515" s="82"/>
      <c r="D515" s="82"/>
      <c r="F515" s="82"/>
      <c r="G515" s="82"/>
      <c r="H515" s="82"/>
      <c r="I515" s="82"/>
      <c r="J515" s="82"/>
      <c r="K515" s="82"/>
      <c r="L515" s="82"/>
      <c r="M515" s="82"/>
      <c r="N515" s="82"/>
    </row>
    <row r="516" ht="15.75" customHeight="1">
      <c r="A516" s="82"/>
      <c r="B516" s="82"/>
      <c r="C516" s="82"/>
      <c r="D516" s="82"/>
      <c r="F516" s="82"/>
      <c r="G516" s="82"/>
      <c r="H516" s="82"/>
      <c r="I516" s="82"/>
      <c r="J516" s="82"/>
      <c r="K516" s="82"/>
      <c r="L516" s="82"/>
      <c r="M516" s="82"/>
      <c r="N516" s="82"/>
    </row>
    <row r="517" ht="15.75" customHeight="1">
      <c r="A517" s="82"/>
      <c r="B517" s="82"/>
      <c r="C517" s="82"/>
      <c r="D517" s="82"/>
      <c r="F517" s="82"/>
      <c r="G517" s="82"/>
      <c r="H517" s="82"/>
      <c r="I517" s="82"/>
      <c r="J517" s="82"/>
      <c r="K517" s="82"/>
      <c r="L517" s="82"/>
      <c r="M517" s="82"/>
      <c r="N517" s="82"/>
    </row>
    <row r="518" ht="15.75" customHeight="1">
      <c r="A518" s="82"/>
      <c r="B518" s="82"/>
      <c r="C518" s="82"/>
      <c r="D518" s="82"/>
      <c r="F518" s="82"/>
      <c r="G518" s="82"/>
      <c r="H518" s="82"/>
      <c r="I518" s="82"/>
      <c r="J518" s="82"/>
      <c r="K518" s="82"/>
      <c r="L518" s="82"/>
      <c r="M518" s="82"/>
      <c r="N518" s="82"/>
    </row>
    <row r="519" ht="15.75" customHeight="1">
      <c r="A519" s="82"/>
      <c r="B519" s="82"/>
      <c r="C519" s="82"/>
      <c r="D519" s="82"/>
      <c r="F519" s="82"/>
      <c r="G519" s="82"/>
      <c r="H519" s="82"/>
      <c r="I519" s="82"/>
      <c r="J519" s="82"/>
      <c r="K519" s="82"/>
      <c r="L519" s="82"/>
      <c r="M519" s="82"/>
      <c r="N519" s="82"/>
    </row>
    <row r="520" ht="15.75" customHeight="1">
      <c r="A520" s="82"/>
      <c r="B520" s="82"/>
      <c r="C520" s="82"/>
      <c r="D520" s="82"/>
      <c r="F520" s="82"/>
      <c r="G520" s="82"/>
      <c r="H520" s="82"/>
      <c r="I520" s="82"/>
      <c r="J520" s="82"/>
      <c r="K520" s="82"/>
      <c r="L520" s="82"/>
      <c r="M520" s="82"/>
      <c r="N520" s="82"/>
    </row>
    <row r="521" ht="15.75" customHeight="1">
      <c r="A521" s="82"/>
      <c r="B521" s="82"/>
      <c r="C521" s="82"/>
      <c r="D521" s="82"/>
      <c r="F521" s="82"/>
      <c r="G521" s="82"/>
      <c r="H521" s="82"/>
      <c r="I521" s="82"/>
      <c r="J521" s="82"/>
      <c r="K521" s="82"/>
      <c r="L521" s="82"/>
      <c r="M521" s="82"/>
      <c r="N521" s="82"/>
    </row>
    <row r="522" ht="15.75" customHeight="1">
      <c r="A522" s="82"/>
      <c r="B522" s="82"/>
      <c r="C522" s="82"/>
      <c r="D522" s="82"/>
      <c r="F522" s="82"/>
      <c r="G522" s="82"/>
      <c r="H522" s="82"/>
      <c r="I522" s="82"/>
      <c r="J522" s="82"/>
      <c r="K522" s="82"/>
      <c r="L522" s="82"/>
      <c r="M522" s="82"/>
      <c r="N522" s="82"/>
    </row>
    <row r="523" ht="15.75" customHeight="1">
      <c r="A523" s="82"/>
      <c r="B523" s="82"/>
      <c r="C523" s="82"/>
      <c r="D523" s="82"/>
      <c r="F523" s="82"/>
      <c r="G523" s="82"/>
      <c r="H523" s="82"/>
      <c r="I523" s="82"/>
      <c r="J523" s="82"/>
      <c r="K523" s="82"/>
      <c r="L523" s="82"/>
      <c r="M523" s="82"/>
      <c r="N523" s="82"/>
    </row>
    <row r="524" ht="15.75" customHeight="1">
      <c r="A524" s="82"/>
      <c r="B524" s="82"/>
      <c r="C524" s="82"/>
      <c r="D524" s="82"/>
      <c r="F524" s="82"/>
      <c r="G524" s="82"/>
      <c r="H524" s="82"/>
      <c r="I524" s="82"/>
      <c r="J524" s="82"/>
      <c r="K524" s="82"/>
      <c r="L524" s="82"/>
      <c r="M524" s="82"/>
      <c r="N524" s="82"/>
    </row>
    <row r="525" ht="15.75" customHeight="1">
      <c r="A525" s="82"/>
      <c r="B525" s="82"/>
      <c r="C525" s="82"/>
      <c r="D525" s="82"/>
      <c r="F525" s="82"/>
      <c r="G525" s="82"/>
      <c r="H525" s="82"/>
      <c r="I525" s="82"/>
      <c r="J525" s="82"/>
      <c r="K525" s="82"/>
      <c r="L525" s="82"/>
      <c r="M525" s="82"/>
      <c r="N525" s="82"/>
    </row>
    <row r="526" ht="15.75" customHeight="1">
      <c r="A526" s="82"/>
      <c r="B526" s="82"/>
      <c r="C526" s="82"/>
      <c r="D526" s="82"/>
      <c r="F526" s="82"/>
      <c r="G526" s="82"/>
      <c r="H526" s="82"/>
      <c r="I526" s="82"/>
      <c r="J526" s="82"/>
      <c r="K526" s="82"/>
      <c r="L526" s="82"/>
      <c r="M526" s="82"/>
      <c r="N526" s="82"/>
    </row>
    <row r="527" ht="15.75" customHeight="1">
      <c r="A527" s="82"/>
      <c r="B527" s="82"/>
      <c r="C527" s="82"/>
      <c r="D527" s="82"/>
      <c r="F527" s="82"/>
      <c r="G527" s="82"/>
      <c r="H527" s="82"/>
      <c r="I527" s="82"/>
      <c r="J527" s="82"/>
      <c r="K527" s="82"/>
      <c r="L527" s="82"/>
      <c r="M527" s="82"/>
      <c r="N527" s="82"/>
    </row>
    <row r="528" ht="15.75" customHeight="1">
      <c r="A528" s="82"/>
      <c r="B528" s="82"/>
      <c r="C528" s="82"/>
      <c r="D528" s="82"/>
      <c r="F528" s="82"/>
      <c r="G528" s="82"/>
      <c r="H528" s="82"/>
      <c r="I528" s="82"/>
      <c r="J528" s="82"/>
      <c r="K528" s="82"/>
      <c r="L528" s="82"/>
      <c r="M528" s="82"/>
      <c r="N528" s="82"/>
    </row>
    <row r="529" ht="15.75" customHeight="1">
      <c r="A529" s="82"/>
      <c r="B529" s="82"/>
      <c r="C529" s="82"/>
      <c r="D529" s="82"/>
      <c r="F529" s="82"/>
      <c r="G529" s="82"/>
      <c r="H529" s="82"/>
      <c r="I529" s="82"/>
      <c r="J529" s="82"/>
      <c r="K529" s="82"/>
      <c r="L529" s="82"/>
      <c r="M529" s="82"/>
      <c r="N529" s="82"/>
    </row>
    <row r="530" ht="15.75" customHeight="1">
      <c r="A530" s="82"/>
      <c r="B530" s="82"/>
      <c r="C530" s="82"/>
      <c r="D530" s="82"/>
      <c r="F530" s="82"/>
      <c r="G530" s="82"/>
      <c r="H530" s="82"/>
      <c r="I530" s="82"/>
      <c r="J530" s="82"/>
      <c r="K530" s="82"/>
      <c r="L530" s="82"/>
      <c r="M530" s="82"/>
      <c r="N530" s="82"/>
    </row>
    <row r="531" ht="15.75" customHeight="1">
      <c r="A531" s="82"/>
      <c r="B531" s="82"/>
      <c r="C531" s="82"/>
      <c r="D531" s="82"/>
      <c r="F531" s="82"/>
      <c r="G531" s="82"/>
      <c r="H531" s="82"/>
      <c r="I531" s="82"/>
      <c r="J531" s="82"/>
      <c r="K531" s="82"/>
      <c r="L531" s="82"/>
      <c r="M531" s="82"/>
      <c r="N531" s="82"/>
    </row>
    <row r="532" ht="15.75" customHeight="1">
      <c r="A532" s="82"/>
      <c r="B532" s="82"/>
      <c r="C532" s="82"/>
      <c r="D532" s="82"/>
      <c r="F532" s="82"/>
      <c r="G532" s="82"/>
      <c r="H532" s="82"/>
      <c r="I532" s="82"/>
      <c r="J532" s="82"/>
      <c r="K532" s="82"/>
      <c r="L532" s="82"/>
      <c r="M532" s="82"/>
      <c r="N532" s="82"/>
    </row>
    <row r="533" ht="15.75" customHeight="1">
      <c r="A533" s="82"/>
      <c r="B533" s="82"/>
      <c r="C533" s="82"/>
      <c r="D533" s="82"/>
      <c r="F533" s="82"/>
      <c r="G533" s="82"/>
      <c r="H533" s="82"/>
      <c r="I533" s="82"/>
      <c r="J533" s="82"/>
      <c r="K533" s="82"/>
      <c r="L533" s="82"/>
      <c r="M533" s="82"/>
      <c r="N533" s="82"/>
    </row>
    <row r="534" ht="15.75" customHeight="1">
      <c r="A534" s="82"/>
      <c r="B534" s="82"/>
      <c r="C534" s="82"/>
      <c r="D534" s="82"/>
      <c r="F534" s="82"/>
      <c r="G534" s="82"/>
      <c r="H534" s="82"/>
      <c r="I534" s="82"/>
      <c r="J534" s="82"/>
      <c r="K534" s="82"/>
      <c r="L534" s="82"/>
      <c r="M534" s="82"/>
      <c r="N534" s="82"/>
    </row>
    <row r="535" ht="15.75" customHeight="1">
      <c r="A535" s="82"/>
      <c r="B535" s="82"/>
      <c r="C535" s="82"/>
      <c r="D535" s="82"/>
      <c r="F535" s="82"/>
      <c r="G535" s="82"/>
      <c r="H535" s="82"/>
      <c r="I535" s="82"/>
      <c r="J535" s="82"/>
      <c r="K535" s="82"/>
      <c r="L535" s="82"/>
      <c r="M535" s="82"/>
      <c r="N535" s="82"/>
    </row>
    <row r="536" ht="15.75" customHeight="1">
      <c r="A536" s="82"/>
      <c r="B536" s="82"/>
      <c r="C536" s="82"/>
      <c r="D536" s="82"/>
      <c r="F536" s="82"/>
      <c r="G536" s="82"/>
      <c r="H536" s="82"/>
      <c r="I536" s="82"/>
      <c r="J536" s="82"/>
      <c r="K536" s="82"/>
      <c r="L536" s="82"/>
      <c r="M536" s="82"/>
      <c r="N536" s="82"/>
    </row>
    <row r="537" ht="15.75" customHeight="1">
      <c r="A537" s="82"/>
      <c r="B537" s="82"/>
      <c r="C537" s="82"/>
      <c r="D537" s="82"/>
      <c r="F537" s="82"/>
      <c r="G537" s="82"/>
      <c r="H537" s="82"/>
      <c r="I537" s="82"/>
      <c r="J537" s="82"/>
      <c r="K537" s="82"/>
      <c r="L537" s="82"/>
      <c r="M537" s="82"/>
      <c r="N537" s="82"/>
    </row>
    <row r="538" ht="15.75" customHeight="1">
      <c r="A538" s="82"/>
      <c r="B538" s="82"/>
      <c r="C538" s="82"/>
      <c r="D538" s="82"/>
      <c r="F538" s="82"/>
      <c r="G538" s="82"/>
      <c r="H538" s="82"/>
      <c r="I538" s="82"/>
      <c r="J538" s="82"/>
      <c r="K538" s="82"/>
      <c r="L538" s="82"/>
      <c r="M538" s="82"/>
      <c r="N538" s="82"/>
    </row>
    <row r="539" ht="15.75" customHeight="1">
      <c r="A539" s="82"/>
      <c r="B539" s="82"/>
      <c r="C539" s="82"/>
      <c r="D539" s="82"/>
      <c r="F539" s="82"/>
      <c r="G539" s="82"/>
      <c r="H539" s="82"/>
      <c r="I539" s="82"/>
      <c r="J539" s="82"/>
      <c r="K539" s="82"/>
      <c r="L539" s="82"/>
      <c r="M539" s="82"/>
      <c r="N539" s="82"/>
    </row>
    <row r="540" ht="15.75" customHeight="1">
      <c r="A540" s="82"/>
      <c r="B540" s="82"/>
      <c r="C540" s="82"/>
      <c r="D540" s="82"/>
      <c r="F540" s="82"/>
      <c r="G540" s="82"/>
      <c r="H540" s="82"/>
      <c r="I540" s="82"/>
      <c r="J540" s="82"/>
      <c r="K540" s="82"/>
      <c r="L540" s="82"/>
      <c r="M540" s="82"/>
      <c r="N540" s="82"/>
    </row>
    <row r="541" ht="15.75" customHeight="1">
      <c r="A541" s="82"/>
      <c r="B541" s="82"/>
      <c r="C541" s="82"/>
      <c r="D541" s="82"/>
      <c r="F541" s="82"/>
      <c r="G541" s="82"/>
      <c r="H541" s="82"/>
      <c r="I541" s="82"/>
      <c r="J541" s="82"/>
      <c r="K541" s="82"/>
      <c r="L541" s="82"/>
      <c r="M541" s="82"/>
      <c r="N541" s="82"/>
    </row>
    <row r="542" ht="15.75" customHeight="1">
      <c r="A542" s="82"/>
      <c r="B542" s="82"/>
      <c r="C542" s="82"/>
      <c r="D542" s="82"/>
      <c r="F542" s="82"/>
      <c r="G542" s="82"/>
      <c r="H542" s="82"/>
      <c r="I542" s="82"/>
      <c r="J542" s="82"/>
      <c r="K542" s="82"/>
      <c r="L542" s="82"/>
      <c r="M542" s="82"/>
      <c r="N542" s="82"/>
    </row>
    <row r="543" ht="15.75" customHeight="1">
      <c r="A543" s="82"/>
      <c r="B543" s="82"/>
      <c r="C543" s="82"/>
      <c r="D543" s="82"/>
      <c r="F543" s="82"/>
      <c r="G543" s="82"/>
      <c r="H543" s="82"/>
      <c r="I543" s="82"/>
      <c r="J543" s="82"/>
      <c r="K543" s="82"/>
      <c r="L543" s="82"/>
      <c r="M543" s="82"/>
      <c r="N543" s="82"/>
    </row>
    <row r="544" ht="15.75" customHeight="1">
      <c r="A544" s="82"/>
      <c r="B544" s="82"/>
      <c r="C544" s="82"/>
      <c r="D544" s="82"/>
      <c r="F544" s="82"/>
      <c r="G544" s="82"/>
      <c r="H544" s="82"/>
      <c r="I544" s="82"/>
      <c r="J544" s="82"/>
      <c r="K544" s="82"/>
      <c r="L544" s="82"/>
      <c r="M544" s="82"/>
      <c r="N544" s="82"/>
    </row>
    <row r="545" ht="15.75" customHeight="1">
      <c r="A545" s="82"/>
      <c r="B545" s="82"/>
      <c r="C545" s="82"/>
      <c r="D545" s="82"/>
      <c r="F545" s="82"/>
      <c r="G545" s="82"/>
      <c r="H545" s="82"/>
      <c r="I545" s="82"/>
      <c r="J545" s="82"/>
      <c r="K545" s="82"/>
      <c r="L545" s="82"/>
      <c r="M545" s="82"/>
      <c r="N545" s="82"/>
    </row>
    <row r="546" ht="15.75" customHeight="1">
      <c r="A546" s="82"/>
      <c r="B546" s="82"/>
      <c r="C546" s="82"/>
      <c r="D546" s="82"/>
      <c r="F546" s="82"/>
      <c r="G546" s="82"/>
      <c r="H546" s="82"/>
      <c r="I546" s="82"/>
      <c r="J546" s="82"/>
      <c r="K546" s="82"/>
      <c r="L546" s="82"/>
      <c r="M546" s="82"/>
      <c r="N546" s="82"/>
    </row>
    <row r="547" ht="15.75" customHeight="1">
      <c r="A547" s="82"/>
      <c r="B547" s="82"/>
      <c r="C547" s="82"/>
      <c r="D547" s="82"/>
      <c r="F547" s="82"/>
      <c r="G547" s="82"/>
      <c r="H547" s="82"/>
      <c r="I547" s="82"/>
      <c r="J547" s="82"/>
      <c r="K547" s="82"/>
      <c r="L547" s="82"/>
      <c r="M547" s="82"/>
      <c r="N547" s="82"/>
    </row>
    <row r="548" ht="15.75" customHeight="1">
      <c r="A548" s="82"/>
      <c r="B548" s="82"/>
      <c r="C548" s="82"/>
      <c r="D548" s="82"/>
      <c r="F548" s="82"/>
      <c r="G548" s="82"/>
      <c r="H548" s="82"/>
      <c r="I548" s="82"/>
      <c r="J548" s="82"/>
      <c r="K548" s="82"/>
      <c r="L548" s="82"/>
      <c r="M548" s="82"/>
      <c r="N548" s="82"/>
    </row>
    <row r="549" ht="15.75" customHeight="1">
      <c r="A549" s="82"/>
      <c r="B549" s="82"/>
      <c r="C549" s="82"/>
      <c r="D549" s="82"/>
      <c r="F549" s="82"/>
      <c r="G549" s="82"/>
      <c r="H549" s="82"/>
      <c r="I549" s="82"/>
      <c r="J549" s="82"/>
      <c r="K549" s="82"/>
      <c r="L549" s="82"/>
      <c r="M549" s="82"/>
      <c r="N549" s="82"/>
    </row>
    <row r="550" ht="15.75" customHeight="1">
      <c r="A550" s="82"/>
      <c r="B550" s="82"/>
      <c r="C550" s="82"/>
      <c r="D550" s="82"/>
      <c r="F550" s="82"/>
      <c r="G550" s="82"/>
      <c r="H550" s="82"/>
      <c r="I550" s="82"/>
      <c r="J550" s="82"/>
      <c r="K550" s="82"/>
      <c r="L550" s="82"/>
      <c r="M550" s="82"/>
      <c r="N550" s="82"/>
    </row>
    <row r="551" ht="15.75" customHeight="1">
      <c r="A551" s="82"/>
      <c r="B551" s="82"/>
      <c r="C551" s="82"/>
      <c r="D551" s="82"/>
      <c r="F551" s="82"/>
      <c r="G551" s="82"/>
      <c r="H551" s="82"/>
      <c r="I551" s="82"/>
      <c r="J551" s="82"/>
      <c r="K551" s="82"/>
      <c r="L551" s="82"/>
      <c r="M551" s="82"/>
      <c r="N551" s="82"/>
    </row>
    <row r="552" ht="15.75" customHeight="1">
      <c r="A552" s="82"/>
      <c r="B552" s="82"/>
      <c r="C552" s="82"/>
      <c r="D552" s="82"/>
      <c r="F552" s="82"/>
      <c r="G552" s="82"/>
      <c r="H552" s="82"/>
      <c r="I552" s="82"/>
      <c r="J552" s="82"/>
      <c r="K552" s="82"/>
      <c r="L552" s="82"/>
      <c r="M552" s="82"/>
      <c r="N552" s="82"/>
    </row>
    <row r="553" ht="15.75" customHeight="1">
      <c r="A553" s="82"/>
      <c r="B553" s="82"/>
      <c r="C553" s="82"/>
      <c r="D553" s="82"/>
      <c r="F553" s="82"/>
      <c r="G553" s="82"/>
      <c r="H553" s="82"/>
      <c r="I553" s="82"/>
      <c r="J553" s="82"/>
      <c r="K553" s="82"/>
      <c r="L553" s="82"/>
      <c r="M553" s="82"/>
      <c r="N553" s="82"/>
    </row>
    <row r="554" ht="15.75" customHeight="1">
      <c r="A554" s="82"/>
      <c r="B554" s="82"/>
      <c r="C554" s="82"/>
      <c r="D554" s="82"/>
      <c r="F554" s="82"/>
      <c r="G554" s="82"/>
      <c r="H554" s="82"/>
      <c r="I554" s="82"/>
      <c r="J554" s="82"/>
      <c r="K554" s="82"/>
      <c r="L554" s="82"/>
      <c r="M554" s="82"/>
      <c r="N554" s="82"/>
    </row>
    <row r="555" ht="15.75" customHeight="1">
      <c r="A555" s="82"/>
      <c r="B555" s="82"/>
      <c r="C555" s="82"/>
      <c r="D555" s="82"/>
      <c r="F555" s="82"/>
      <c r="G555" s="82"/>
      <c r="H555" s="82"/>
      <c r="I555" s="82"/>
      <c r="J555" s="82"/>
      <c r="K555" s="82"/>
      <c r="L555" s="82"/>
      <c r="M555" s="82"/>
      <c r="N555" s="82"/>
    </row>
    <row r="556" ht="15.75" customHeight="1">
      <c r="A556" s="82"/>
      <c r="B556" s="82"/>
      <c r="C556" s="82"/>
      <c r="D556" s="82"/>
      <c r="F556" s="82"/>
      <c r="G556" s="82"/>
      <c r="H556" s="82"/>
      <c r="I556" s="82"/>
      <c r="J556" s="82"/>
      <c r="K556" s="82"/>
      <c r="L556" s="82"/>
      <c r="M556" s="82"/>
      <c r="N556" s="82"/>
    </row>
    <row r="557" ht="15.75" customHeight="1">
      <c r="A557" s="82"/>
      <c r="B557" s="82"/>
      <c r="C557" s="82"/>
      <c r="D557" s="82"/>
      <c r="F557" s="82"/>
      <c r="G557" s="82"/>
      <c r="H557" s="82"/>
      <c r="I557" s="82"/>
      <c r="J557" s="82"/>
      <c r="K557" s="82"/>
      <c r="L557" s="82"/>
      <c r="M557" s="82"/>
      <c r="N557" s="82"/>
    </row>
    <row r="558" ht="15.75" customHeight="1">
      <c r="A558" s="82"/>
      <c r="B558" s="82"/>
      <c r="C558" s="82"/>
      <c r="D558" s="82"/>
      <c r="F558" s="82"/>
      <c r="G558" s="82"/>
      <c r="H558" s="82"/>
      <c r="I558" s="82"/>
      <c r="J558" s="82"/>
      <c r="K558" s="82"/>
      <c r="L558" s="82"/>
      <c r="M558" s="82"/>
      <c r="N558" s="82"/>
    </row>
    <row r="559" ht="15.75" customHeight="1">
      <c r="A559" s="82"/>
      <c r="B559" s="82"/>
      <c r="C559" s="82"/>
      <c r="D559" s="82"/>
      <c r="F559" s="82"/>
      <c r="G559" s="82"/>
      <c r="H559" s="82"/>
      <c r="I559" s="82"/>
      <c r="J559" s="82"/>
      <c r="K559" s="82"/>
      <c r="L559" s="82"/>
      <c r="M559" s="82"/>
      <c r="N559" s="82"/>
    </row>
    <row r="560" ht="15.75" customHeight="1">
      <c r="A560" s="82"/>
      <c r="B560" s="82"/>
      <c r="C560" s="82"/>
      <c r="D560" s="82"/>
      <c r="F560" s="82"/>
      <c r="G560" s="82"/>
      <c r="H560" s="82"/>
      <c r="I560" s="82"/>
      <c r="J560" s="82"/>
      <c r="K560" s="82"/>
      <c r="L560" s="82"/>
      <c r="M560" s="82"/>
      <c r="N560" s="82"/>
    </row>
    <row r="561" ht="15.75" customHeight="1">
      <c r="A561" s="82"/>
      <c r="B561" s="82"/>
      <c r="C561" s="82"/>
      <c r="D561" s="82"/>
      <c r="F561" s="82"/>
      <c r="G561" s="82"/>
      <c r="H561" s="82"/>
      <c r="I561" s="82"/>
      <c r="J561" s="82"/>
      <c r="K561" s="82"/>
      <c r="L561" s="82"/>
      <c r="M561" s="82"/>
      <c r="N561" s="82"/>
    </row>
    <row r="562" ht="15.75" customHeight="1">
      <c r="A562" s="82"/>
      <c r="B562" s="82"/>
      <c r="C562" s="82"/>
      <c r="D562" s="82"/>
      <c r="F562" s="82"/>
      <c r="G562" s="82"/>
      <c r="H562" s="82"/>
      <c r="I562" s="82"/>
      <c r="J562" s="82"/>
      <c r="K562" s="82"/>
      <c r="L562" s="82"/>
      <c r="M562" s="82"/>
      <c r="N562" s="82"/>
    </row>
    <row r="563" ht="15.75" customHeight="1">
      <c r="A563" s="82"/>
      <c r="B563" s="82"/>
      <c r="C563" s="82"/>
      <c r="D563" s="82"/>
      <c r="F563" s="82"/>
      <c r="G563" s="82"/>
      <c r="H563" s="82"/>
      <c r="I563" s="82"/>
      <c r="J563" s="82"/>
      <c r="K563" s="82"/>
      <c r="L563" s="82"/>
      <c r="M563" s="82"/>
      <c r="N563" s="82"/>
    </row>
    <row r="564" ht="15.75" customHeight="1">
      <c r="A564" s="82"/>
      <c r="B564" s="82"/>
      <c r="C564" s="82"/>
      <c r="D564" s="82"/>
      <c r="F564" s="82"/>
      <c r="G564" s="82"/>
      <c r="H564" s="82"/>
      <c r="I564" s="82"/>
      <c r="J564" s="82"/>
      <c r="K564" s="82"/>
      <c r="L564" s="82"/>
      <c r="M564" s="82"/>
      <c r="N564" s="82"/>
    </row>
    <row r="565" ht="15.75" customHeight="1">
      <c r="A565" s="82"/>
      <c r="B565" s="82"/>
      <c r="C565" s="82"/>
      <c r="D565" s="82"/>
      <c r="F565" s="82"/>
      <c r="G565" s="82"/>
      <c r="H565" s="82"/>
      <c r="I565" s="82"/>
      <c r="J565" s="82"/>
      <c r="K565" s="82"/>
      <c r="L565" s="82"/>
      <c r="M565" s="82"/>
      <c r="N565" s="82"/>
    </row>
    <row r="566" ht="15.75" customHeight="1">
      <c r="A566" s="82"/>
      <c r="B566" s="82"/>
      <c r="C566" s="82"/>
      <c r="D566" s="82"/>
      <c r="F566" s="82"/>
      <c r="G566" s="82"/>
      <c r="H566" s="82"/>
      <c r="I566" s="82"/>
      <c r="J566" s="82"/>
      <c r="K566" s="82"/>
      <c r="L566" s="82"/>
      <c r="M566" s="82"/>
      <c r="N566" s="82"/>
    </row>
    <row r="567" ht="15.75" customHeight="1">
      <c r="A567" s="82"/>
      <c r="B567" s="82"/>
      <c r="C567" s="82"/>
      <c r="D567" s="82"/>
      <c r="F567" s="82"/>
      <c r="G567" s="82"/>
      <c r="H567" s="82"/>
      <c r="I567" s="82"/>
      <c r="J567" s="82"/>
      <c r="K567" s="82"/>
      <c r="L567" s="82"/>
      <c r="M567" s="82"/>
      <c r="N567" s="82"/>
    </row>
    <row r="568" ht="15.75" customHeight="1">
      <c r="A568" s="82"/>
      <c r="B568" s="82"/>
      <c r="C568" s="82"/>
      <c r="D568" s="82"/>
      <c r="F568" s="82"/>
      <c r="G568" s="82"/>
      <c r="H568" s="82"/>
      <c r="I568" s="82"/>
      <c r="J568" s="82"/>
      <c r="K568" s="82"/>
      <c r="L568" s="82"/>
      <c r="M568" s="82"/>
      <c r="N568" s="82"/>
    </row>
    <row r="569" ht="15.75" customHeight="1">
      <c r="A569" s="82"/>
      <c r="B569" s="82"/>
      <c r="C569" s="82"/>
      <c r="D569" s="82"/>
      <c r="F569" s="82"/>
      <c r="G569" s="82"/>
      <c r="H569" s="82"/>
      <c r="I569" s="82"/>
      <c r="J569" s="82"/>
      <c r="K569" s="82"/>
      <c r="L569" s="82"/>
      <c r="M569" s="82"/>
      <c r="N569" s="82"/>
    </row>
    <row r="570" ht="15.75" customHeight="1">
      <c r="A570" s="82"/>
      <c r="B570" s="82"/>
      <c r="C570" s="82"/>
      <c r="D570" s="82"/>
      <c r="F570" s="82"/>
      <c r="G570" s="82"/>
      <c r="H570" s="82"/>
      <c r="I570" s="82"/>
      <c r="J570" s="82"/>
      <c r="K570" s="82"/>
      <c r="L570" s="82"/>
      <c r="M570" s="82"/>
      <c r="N570" s="82"/>
    </row>
    <row r="571" ht="15.75" customHeight="1">
      <c r="A571" s="82"/>
      <c r="B571" s="82"/>
      <c r="C571" s="82"/>
      <c r="D571" s="82"/>
      <c r="F571" s="82"/>
      <c r="G571" s="82"/>
      <c r="H571" s="82"/>
      <c r="I571" s="82"/>
      <c r="J571" s="82"/>
      <c r="K571" s="82"/>
      <c r="L571" s="82"/>
      <c r="M571" s="82"/>
      <c r="N571" s="82"/>
    </row>
    <row r="572" ht="15.75" customHeight="1">
      <c r="A572" s="82"/>
      <c r="B572" s="82"/>
      <c r="C572" s="82"/>
      <c r="D572" s="82"/>
      <c r="F572" s="82"/>
      <c r="G572" s="82"/>
      <c r="H572" s="82"/>
      <c r="I572" s="82"/>
      <c r="J572" s="82"/>
      <c r="K572" s="82"/>
      <c r="L572" s="82"/>
      <c r="M572" s="82"/>
      <c r="N572" s="82"/>
    </row>
    <row r="573" ht="15.75" customHeight="1">
      <c r="A573" s="82"/>
      <c r="B573" s="82"/>
      <c r="C573" s="82"/>
      <c r="D573" s="82"/>
      <c r="F573" s="82"/>
      <c r="G573" s="82"/>
      <c r="H573" s="82"/>
      <c r="I573" s="82"/>
      <c r="J573" s="82"/>
      <c r="K573" s="82"/>
      <c r="L573" s="82"/>
      <c r="M573" s="82"/>
      <c r="N573" s="82"/>
    </row>
    <row r="574" ht="15.75" customHeight="1">
      <c r="A574" s="82"/>
      <c r="B574" s="82"/>
      <c r="C574" s="82"/>
      <c r="D574" s="82"/>
      <c r="F574" s="82"/>
      <c r="G574" s="82"/>
      <c r="H574" s="82"/>
      <c r="I574" s="82"/>
      <c r="J574" s="82"/>
      <c r="K574" s="82"/>
      <c r="L574" s="82"/>
      <c r="M574" s="82"/>
      <c r="N574" s="82"/>
    </row>
    <row r="575" ht="15.75" customHeight="1">
      <c r="A575" s="82"/>
      <c r="B575" s="82"/>
      <c r="C575" s="82"/>
      <c r="D575" s="82"/>
      <c r="F575" s="82"/>
      <c r="G575" s="82"/>
      <c r="H575" s="82"/>
      <c r="I575" s="82"/>
      <c r="J575" s="82"/>
      <c r="K575" s="82"/>
      <c r="L575" s="82"/>
      <c r="M575" s="82"/>
      <c r="N575" s="82"/>
    </row>
    <row r="576" ht="15.75" customHeight="1">
      <c r="A576" s="82"/>
      <c r="B576" s="82"/>
      <c r="C576" s="82"/>
      <c r="D576" s="82"/>
      <c r="F576" s="82"/>
      <c r="G576" s="82"/>
      <c r="H576" s="82"/>
      <c r="I576" s="82"/>
      <c r="J576" s="82"/>
      <c r="K576" s="82"/>
      <c r="L576" s="82"/>
      <c r="M576" s="82"/>
      <c r="N576" s="82"/>
    </row>
    <row r="577" ht="15.75" customHeight="1">
      <c r="A577" s="82"/>
      <c r="B577" s="82"/>
      <c r="C577" s="82"/>
      <c r="D577" s="82"/>
      <c r="F577" s="82"/>
      <c r="G577" s="82"/>
      <c r="H577" s="82"/>
      <c r="I577" s="82"/>
      <c r="J577" s="82"/>
      <c r="K577" s="82"/>
      <c r="L577" s="82"/>
      <c r="M577" s="82"/>
      <c r="N577" s="82"/>
    </row>
    <row r="578" ht="15.75" customHeight="1">
      <c r="A578" s="82"/>
      <c r="B578" s="82"/>
      <c r="C578" s="82"/>
      <c r="D578" s="82"/>
      <c r="F578" s="82"/>
      <c r="G578" s="82"/>
      <c r="H578" s="82"/>
      <c r="I578" s="82"/>
      <c r="J578" s="82"/>
      <c r="K578" s="82"/>
      <c r="L578" s="82"/>
      <c r="M578" s="82"/>
      <c r="N578" s="82"/>
    </row>
    <row r="579" ht="15.75" customHeight="1">
      <c r="A579" s="82"/>
      <c r="B579" s="82"/>
      <c r="C579" s="82"/>
      <c r="D579" s="82"/>
      <c r="F579" s="82"/>
      <c r="G579" s="82"/>
      <c r="H579" s="82"/>
      <c r="I579" s="82"/>
      <c r="J579" s="82"/>
      <c r="K579" s="82"/>
      <c r="L579" s="82"/>
      <c r="M579" s="82"/>
      <c r="N579" s="82"/>
    </row>
    <row r="580" ht="15.75" customHeight="1">
      <c r="A580" s="82"/>
      <c r="B580" s="82"/>
      <c r="C580" s="82"/>
      <c r="D580" s="82"/>
      <c r="F580" s="82"/>
      <c r="G580" s="82"/>
      <c r="H580" s="82"/>
      <c r="I580" s="82"/>
      <c r="J580" s="82"/>
      <c r="K580" s="82"/>
      <c r="L580" s="82"/>
      <c r="M580" s="82"/>
      <c r="N580" s="82"/>
    </row>
    <row r="581" ht="15.75" customHeight="1">
      <c r="A581" s="82"/>
      <c r="B581" s="82"/>
      <c r="C581" s="82"/>
      <c r="D581" s="82"/>
      <c r="F581" s="82"/>
      <c r="G581" s="82"/>
      <c r="H581" s="82"/>
      <c r="I581" s="82"/>
      <c r="J581" s="82"/>
      <c r="K581" s="82"/>
      <c r="L581" s="82"/>
      <c r="M581" s="82"/>
      <c r="N581" s="82"/>
    </row>
    <row r="582" ht="15.75" customHeight="1">
      <c r="A582" s="82"/>
      <c r="B582" s="82"/>
      <c r="C582" s="82"/>
      <c r="D582" s="82"/>
      <c r="F582" s="82"/>
      <c r="G582" s="82"/>
      <c r="H582" s="82"/>
      <c r="I582" s="82"/>
      <c r="J582" s="82"/>
      <c r="K582" s="82"/>
      <c r="L582" s="82"/>
      <c r="M582" s="82"/>
      <c r="N582" s="82"/>
    </row>
    <row r="583" ht="15.75" customHeight="1">
      <c r="A583" s="82"/>
      <c r="B583" s="82"/>
      <c r="C583" s="82"/>
      <c r="D583" s="82"/>
      <c r="F583" s="82"/>
      <c r="G583" s="82"/>
      <c r="H583" s="82"/>
      <c r="I583" s="82"/>
      <c r="J583" s="82"/>
      <c r="K583" s="82"/>
      <c r="L583" s="82"/>
      <c r="M583" s="82"/>
      <c r="N583" s="82"/>
    </row>
    <row r="584" ht="15.75" customHeight="1">
      <c r="A584" s="82"/>
      <c r="B584" s="82"/>
      <c r="C584" s="82"/>
      <c r="D584" s="82"/>
      <c r="F584" s="82"/>
      <c r="G584" s="82"/>
      <c r="H584" s="82"/>
      <c r="I584" s="82"/>
      <c r="J584" s="82"/>
      <c r="K584" s="82"/>
      <c r="L584" s="82"/>
      <c r="M584" s="82"/>
      <c r="N584" s="82"/>
    </row>
    <row r="585" ht="15.75" customHeight="1">
      <c r="A585" s="82"/>
      <c r="B585" s="82"/>
      <c r="C585" s="82"/>
      <c r="D585" s="82"/>
      <c r="F585" s="82"/>
      <c r="G585" s="82"/>
      <c r="H585" s="82"/>
      <c r="I585" s="82"/>
      <c r="J585" s="82"/>
      <c r="K585" s="82"/>
      <c r="L585" s="82"/>
      <c r="M585" s="82"/>
      <c r="N585" s="82"/>
    </row>
    <row r="586" ht="15.75" customHeight="1">
      <c r="A586" s="82"/>
      <c r="B586" s="82"/>
      <c r="C586" s="82"/>
      <c r="D586" s="82"/>
      <c r="F586" s="82"/>
      <c r="G586" s="82"/>
      <c r="H586" s="82"/>
      <c r="I586" s="82"/>
      <c r="J586" s="82"/>
      <c r="K586" s="82"/>
      <c r="L586" s="82"/>
      <c r="M586" s="82"/>
      <c r="N586" s="82"/>
    </row>
    <row r="587" ht="15.75" customHeight="1">
      <c r="A587" s="82"/>
      <c r="B587" s="82"/>
      <c r="C587" s="82"/>
      <c r="D587" s="82"/>
      <c r="F587" s="82"/>
      <c r="G587" s="82"/>
      <c r="H587" s="82"/>
      <c r="I587" s="82"/>
      <c r="J587" s="82"/>
      <c r="K587" s="82"/>
      <c r="L587" s="82"/>
      <c r="M587" s="82"/>
      <c r="N587" s="82"/>
    </row>
    <row r="588" ht="15.75" customHeight="1">
      <c r="A588" s="82"/>
      <c r="B588" s="82"/>
      <c r="C588" s="82"/>
      <c r="D588" s="82"/>
      <c r="F588" s="82"/>
      <c r="G588" s="82"/>
      <c r="H588" s="82"/>
      <c r="I588" s="82"/>
      <c r="J588" s="82"/>
      <c r="K588" s="82"/>
      <c r="L588" s="82"/>
      <c r="M588" s="82"/>
      <c r="N588" s="82"/>
    </row>
    <row r="589" ht="15.75" customHeight="1">
      <c r="A589" s="82"/>
      <c r="B589" s="82"/>
      <c r="C589" s="82"/>
      <c r="D589" s="82"/>
      <c r="F589" s="82"/>
      <c r="G589" s="82"/>
      <c r="H589" s="82"/>
      <c r="I589" s="82"/>
      <c r="J589" s="82"/>
      <c r="K589" s="82"/>
      <c r="L589" s="82"/>
      <c r="M589" s="82"/>
      <c r="N589" s="82"/>
    </row>
    <row r="590" ht="15.75" customHeight="1">
      <c r="A590" s="82"/>
      <c r="B590" s="82"/>
      <c r="C590" s="82"/>
      <c r="D590" s="82"/>
      <c r="F590" s="82"/>
      <c r="G590" s="82"/>
      <c r="H590" s="82"/>
      <c r="I590" s="82"/>
      <c r="J590" s="82"/>
      <c r="K590" s="82"/>
      <c r="L590" s="82"/>
      <c r="M590" s="82"/>
      <c r="N590" s="82"/>
    </row>
    <row r="591" ht="15.75" customHeight="1">
      <c r="A591" s="82"/>
      <c r="B591" s="82"/>
      <c r="C591" s="82"/>
      <c r="D591" s="82"/>
      <c r="F591" s="82"/>
      <c r="G591" s="82"/>
      <c r="H591" s="82"/>
      <c r="I591" s="82"/>
      <c r="J591" s="82"/>
      <c r="K591" s="82"/>
      <c r="L591" s="82"/>
      <c r="M591" s="82"/>
      <c r="N591" s="82"/>
    </row>
    <row r="592" ht="15.75" customHeight="1">
      <c r="A592" s="82"/>
      <c r="B592" s="82"/>
      <c r="C592" s="82"/>
      <c r="D592" s="82"/>
      <c r="F592" s="82"/>
      <c r="G592" s="82"/>
      <c r="H592" s="82"/>
      <c r="I592" s="82"/>
      <c r="J592" s="82"/>
      <c r="K592" s="82"/>
      <c r="L592" s="82"/>
      <c r="M592" s="82"/>
      <c r="N592" s="82"/>
    </row>
    <row r="593" ht="15.75" customHeight="1">
      <c r="A593" s="82"/>
      <c r="B593" s="82"/>
      <c r="C593" s="82"/>
      <c r="D593" s="82"/>
      <c r="F593" s="82"/>
      <c r="G593" s="82"/>
      <c r="H593" s="82"/>
      <c r="I593" s="82"/>
      <c r="J593" s="82"/>
      <c r="K593" s="82"/>
      <c r="L593" s="82"/>
      <c r="M593" s="82"/>
      <c r="N593" s="82"/>
    </row>
    <row r="594" ht="15.75" customHeight="1">
      <c r="A594" s="82"/>
      <c r="B594" s="82"/>
      <c r="C594" s="82"/>
      <c r="D594" s="82"/>
      <c r="F594" s="82"/>
      <c r="G594" s="82"/>
      <c r="H594" s="82"/>
      <c r="I594" s="82"/>
      <c r="J594" s="82"/>
      <c r="K594" s="82"/>
      <c r="L594" s="82"/>
      <c r="M594" s="82"/>
      <c r="N594" s="82"/>
    </row>
    <row r="595" ht="15.75" customHeight="1">
      <c r="A595" s="82"/>
      <c r="B595" s="82"/>
      <c r="C595" s="82"/>
      <c r="D595" s="82"/>
      <c r="F595" s="82"/>
      <c r="G595" s="82"/>
      <c r="H595" s="82"/>
      <c r="I595" s="82"/>
      <c r="J595" s="82"/>
      <c r="K595" s="82"/>
      <c r="L595" s="82"/>
      <c r="M595" s="82"/>
      <c r="N595" s="82"/>
    </row>
    <row r="596" ht="15.75" customHeight="1">
      <c r="A596" s="82"/>
      <c r="B596" s="82"/>
      <c r="C596" s="82"/>
      <c r="D596" s="82"/>
      <c r="F596" s="82"/>
      <c r="G596" s="82"/>
      <c r="H596" s="82"/>
      <c r="I596" s="82"/>
      <c r="J596" s="82"/>
      <c r="K596" s="82"/>
      <c r="L596" s="82"/>
      <c r="M596" s="82"/>
      <c r="N596" s="82"/>
    </row>
    <row r="597" ht="15.75" customHeight="1">
      <c r="A597" s="82"/>
      <c r="B597" s="82"/>
      <c r="C597" s="82"/>
      <c r="D597" s="82"/>
      <c r="F597" s="82"/>
      <c r="G597" s="82"/>
      <c r="H597" s="82"/>
      <c r="I597" s="82"/>
      <c r="J597" s="82"/>
      <c r="K597" s="82"/>
      <c r="L597" s="82"/>
      <c r="M597" s="82"/>
      <c r="N597" s="82"/>
    </row>
    <row r="598" ht="15.75" customHeight="1">
      <c r="A598" s="82"/>
      <c r="B598" s="82"/>
      <c r="C598" s="82"/>
      <c r="D598" s="82"/>
      <c r="F598" s="82"/>
      <c r="G598" s="82"/>
      <c r="H598" s="82"/>
      <c r="I598" s="82"/>
      <c r="J598" s="82"/>
      <c r="K598" s="82"/>
      <c r="L598" s="82"/>
      <c r="M598" s="82"/>
      <c r="N598" s="82"/>
    </row>
    <row r="599" ht="15.75" customHeight="1">
      <c r="A599" s="82"/>
      <c r="B599" s="82"/>
      <c r="C599" s="82"/>
      <c r="D599" s="82"/>
      <c r="F599" s="82"/>
      <c r="G599" s="82"/>
      <c r="H599" s="82"/>
      <c r="I599" s="82"/>
      <c r="J599" s="82"/>
      <c r="K599" s="82"/>
      <c r="L599" s="82"/>
      <c r="M599" s="82"/>
      <c r="N599" s="82"/>
    </row>
    <row r="600" ht="15.75" customHeight="1">
      <c r="A600" s="82"/>
      <c r="B600" s="82"/>
      <c r="C600" s="82"/>
      <c r="D600" s="82"/>
      <c r="F600" s="82"/>
      <c r="G600" s="82"/>
      <c r="H600" s="82"/>
      <c r="I600" s="82"/>
      <c r="J600" s="82"/>
      <c r="K600" s="82"/>
      <c r="L600" s="82"/>
      <c r="M600" s="82"/>
      <c r="N600" s="82"/>
    </row>
    <row r="601" ht="15.75" customHeight="1">
      <c r="A601" s="82"/>
      <c r="B601" s="82"/>
      <c r="C601" s="82"/>
      <c r="D601" s="82"/>
      <c r="F601" s="82"/>
      <c r="G601" s="82"/>
      <c r="H601" s="82"/>
      <c r="I601" s="82"/>
      <c r="J601" s="82"/>
      <c r="K601" s="82"/>
      <c r="L601" s="82"/>
      <c r="M601" s="82"/>
      <c r="N601" s="82"/>
    </row>
    <row r="602" ht="15.75" customHeight="1">
      <c r="A602" s="82"/>
      <c r="B602" s="82"/>
      <c r="C602" s="82"/>
      <c r="D602" s="82"/>
      <c r="F602" s="82"/>
      <c r="G602" s="82"/>
      <c r="H602" s="82"/>
      <c r="I602" s="82"/>
      <c r="J602" s="82"/>
      <c r="K602" s="82"/>
      <c r="L602" s="82"/>
      <c r="M602" s="82"/>
      <c r="N602" s="82"/>
    </row>
    <row r="603" ht="15.75" customHeight="1">
      <c r="A603" s="82"/>
      <c r="B603" s="82"/>
      <c r="C603" s="82"/>
      <c r="D603" s="82"/>
      <c r="F603" s="82"/>
      <c r="G603" s="82"/>
      <c r="H603" s="82"/>
      <c r="I603" s="82"/>
      <c r="J603" s="82"/>
      <c r="K603" s="82"/>
      <c r="L603" s="82"/>
      <c r="M603" s="82"/>
      <c r="N603" s="82"/>
    </row>
    <row r="604" ht="15.75" customHeight="1">
      <c r="A604" s="82"/>
      <c r="B604" s="82"/>
      <c r="C604" s="82"/>
      <c r="D604" s="82"/>
      <c r="F604" s="82"/>
      <c r="G604" s="82"/>
      <c r="H604" s="82"/>
      <c r="I604" s="82"/>
      <c r="J604" s="82"/>
      <c r="K604" s="82"/>
      <c r="L604" s="82"/>
      <c r="M604" s="82"/>
      <c r="N604" s="82"/>
    </row>
    <row r="605" ht="15.75" customHeight="1">
      <c r="A605" s="82"/>
      <c r="B605" s="82"/>
      <c r="C605" s="82"/>
      <c r="D605" s="82"/>
      <c r="F605" s="82"/>
      <c r="G605" s="82"/>
      <c r="H605" s="82"/>
      <c r="I605" s="82"/>
      <c r="J605" s="82"/>
      <c r="K605" s="82"/>
      <c r="L605" s="82"/>
      <c r="M605" s="82"/>
      <c r="N605" s="82"/>
    </row>
    <row r="606" ht="15.75" customHeight="1">
      <c r="A606" s="82"/>
      <c r="B606" s="82"/>
      <c r="C606" s="82"/>
      <c r="D606" s="82"/>
      <c r="F606" s="82"/>
      <c r="G606" s="82"/>
      <c r="H606" s="82"/>
      <c r="I606" s="82"/>
      <c r="J606" s="82"/>
      <c r="K606" s="82"/>
      <c r="L606" s="82"/>
      <c r="M606" s="82"/>
      <c r="N606" s="82"/>
    </row>
    <row r="607" ht="15.75" customHeight="1">
      <c r="A607" s="82"/>
      <c r="B607" s="82"/>
      <c r="C607" s="82"/>
      <c r="D607" s="82"/>
      <c r="F607" s="82"/>
      <c r="G607" s="82"/>
      <c r="H607" s="82"/>
      <c r="I607" s="82"/>
      <c r="J607" s="82"/>
      <c r="K607" s="82"/>
      <c r="L607" s="82"/>
      <c r="M607" s="82"/>
      <c r="N607" s="82"/>
    </row>
    <row r="608" ht="15.75" customHeight="1">
      <c r="A608" s="82"/>
      <c r="B608" s="82"/>
      <c r="C608" s="82"/>
      <c r="D608" s="82"/>
      <c r="F608" s="82"/>
      <c r="G608" s="82"/>
      <c r="H608" s="82"/>
      <c r="I608" s="82"/>
      <c r="J608" s="82"/>
      <c r="K608" s="82"/>
      <c r="L608" s="82"/>
      <c r="M608" s="82"/>
      <c r="N608" s="82"/>
    </row>
    <row r="609" ht="15.75" customHeight="1">
      <c r="A609" s="82"/>
      <c r="B609" s="82"/>
      <c r="C609" s="82"/>
      <c r="D609" s="82"/>
      <c r="F609" s="82"/>
      <c r="G609" s="82"/>
      <c r="H609" s="82"/>
      <c r="I609" s="82"/>
      <c r="J609" s="82"/>
      <c r="K609" s="82"/>
      <c r="L609" s="82"/>
      <c r="M609" s="82"/>
      <c r="N609" s="82"/>
    </row>
    <row r="610" ht="15.75" customHeight="1">
      <c r="A610" s="82"/>
      <c r="B610" s="82"/>
      <c r="C610" s="82"/>
      <c r="D610" s="82"/>
      <c r="F610" s="82"/>
      <c r="G610" s="82"/>
      <c r="H610" s="82"/>
      <c r="I610" s="82"/>
      <c r="J610" s="82"/>
      <c r="K610" s="82"/>
      <c r="L610" s="82"/>
      <c r="M610" s="82"/>
      <c r="N610" s="82"/>
    </row>
    <row r="611" ht="15.75" customHeight="1">
      <c r="A611" s="82"/>
      <c r="B611" s="82"/>
      <c r="C611" s="82"/>
      <c r="D611" s="82"/>
      <c r="F611" s="82"/>
      <c r="G611" s="82"/>
      <c r="H611" s="82"/>
      <c r="I611" s="82"/>
      <c r="J611" s="82"/>
      <c r="K611" s="82"/>
      <c r="L611" s="82"/>
      <c r="M611" s="82"/>
      <c r="N611" s="82"/>
    </row>
    <row r="612" ht="15.75" customHeight="1">
      <c r="A612" s="82"/>
      <c r="B612" s="82"/>
      <c r="C612" s="82"/>
      <c r="D612" s="82"/>
      <c r="F612" s="82"/>
      <c r="G612" s="82"/>
      <c r="H612" s="82"/>
      <c r="I612" s="82"/>
      <c r="J612" s="82"/>
      <c r="K612" s="82"/>
      <c r="L612" s="82"/>
      <c r="M612" s="82"/>
      <c r="N612" s="82"/>
    </row>
    <row r="613" ht="15.75" customHeight="1">
      <c r="A613" s="82"/>
      <c r="B613" s="82"/>
      <c r="C613" s="82"/>
      <c r="D613" s="82"/>
      <c r="F613" s="82"/>
      <c r="G613" s="82"/>
      <c r="H613" s="82"/>
      <c r="I613" s="82"/>
      <c r="J613" s="82"/>
      <c r="K613" s="82"/>
      <c r="L613" s="82"/>
      <c r="M613" s="82"/>
      <c r="N613" s="82"/>
    </row>
    <row r="614" ht="15.75" customHeight="1">
      <c r="A614" s="82"/>
      <c r="B614" s="82"/>
      <c r="C614" s="82"/>
      <c r="D614" s="82"/>
      <c r="F614" s="82"/>
      <c r="G614" s="82"/>
      <c r="H614" s="82"/>
      <c r="I614" s="82"/>
      <c r="J614" s="82"/>
      <c r="K614" s="82"/>
      <c r="L614" s="82"/>
      <c r="M614" s="82"/>
      <c r="N614" s="82"/>
    </row>
    <row r="615" ht="15.75" customHeight="1">
      <c r="A615" s="82"/>
      <c r="B615" s="82"/>
      <c r="C615" s="82"/>
      <c r="D615" s="82"/>
      <c r="F615" s="82"/>
      <c r="G615" s="82"/>
      <c r="H615" s="82"/>
      <c r="I615" s="82"/>
      <c r="J615" s="82"/>
      <c r="K615" s="82"/>
      <c r="L615" s="82"/>
      <c r="M615" s="82"/>
      <c r="N615" s="82"/>
    </row>
    <row r="616" ht="15.75" customHeight="1">
      <c r="A616" s="82"/>
      <c r="B616" s="82"/>
      <c r="C616" s="82"/>
      <c r="D616" s="82"/>
      <c r="F616" s="82"/>
      <c r="G616" s="82"/>
      <c r="H616" s="82"/>
      <c r="I616" s="82"/>
      <c r="J616" s="82"/>
      <c r="K616" s="82"/>
      <c r="L616" s="82"/>
      <c r="M616" s="82"/>
      <c r="N616" s="82"/>
    </row>
    <row r="617" ht="15.75" customHeight="1">
      <c r="A617" s="82"/>
      <c r="B617" s="82"/>
      <c r="C617" s="82"/>
      <c r="D617" s="82"/>
      <c r="F617" s="82"/>
      <c r="G617" s="82"/>
      <c r="H617" s="82"/>
      <c r="I617" s="82"/>
      <c r="J617" s="82"/>
      <c r="K617" s="82"/>
      <c r="L617" s="82"/>
      <c r="M617" s="82"/>
      <c r="N617" s="82"/>
    </row>
    <row r="618" ht="15.75" customHeight="1">
      <c r="A618" s="82"/>
      <c r="B618" s="82"/>
      <c r="C618" s="82"/>
      <c r="D618" s="82"/>
      <c r="F618" s="82"/>
      <c r="G618" s="82"/>
      <c r="H618" s="82"/>
      <c r="I618" s="82"/>
      <c r="J618" s="82"/>
      <c r="K618" s="82"/>
      <c r="L618" s="82"/>
      <c r="M618" s="82"/>
      <c r="N618" s="82"/>
    </row>
    <row r="619" ht="15.75" customHeight="1">
      <c r="A619" s="82"/>
      <c r="B619" s="82"/>
      <c r="C619" s="82"/>
      <c r="D619" s="82"/>
      <c r="F619" s="82"/>
      <c r="G619" s="82"/>
      <c r="H619" s="82"/>
      <c r="I619" s="82"/>
      <c r="J619" s="82"/>
      <c r="K619" s="82"/>
      <c r="L619" s="82"/>
      <c r="M619" s="82"/>
      <c r="N619" s="82"/>
    </row>
    <row r="620" ht="15.75" customHeight="1">
      <c r="A620" s="82"/>
      <c r="B620" s="82"/>
      <c r="C620" s="82"/>
      <c r="D620" s="82"/>
      <c r="F620" s="82"/>
      <c r="G620" s="82"/>
      <c r="H620" s="82"/>
      <c r="I620" s="82"/>
      <c r="J620" s="82"/>
      <c r="K620" s="82"/>
      <c r="L620" s="82"/>
      <c r="M620" s="82"/>
      <c r="N620" s="82"/>
    </row>
    <row r="621" ht="15.75" customHeight="1">
      <c r="A621" s="82"/>
      <c r="B621" s="82"/>
      <c r="C621" s="82"/>
      <c r="D621" s="82"/>
      <c r="F621" s="82"/>
      <c r="G621" s="82"/>
      <c r="H621" s="82"/>
      <c r="I621" s="82"/>
      <c r="J621" s="82"/>
      <c r="K621" s="82"/>
      <c r="L621" s="82"/>
      <c r="M621" s="82"/>
      <c r="N621" s="82"/>
    </row>
    <row r="622" ht="15.75" customHeight="1">
      <c r="A622" s="82"/>
      <c r="B622" s="82"/>
      <c r="C622" s="82"/>
      <c r="D622" s="82"/>
      <c r="F622" s="82"/>
      <c r="G622" s="82"/>
      <c r="H622" s="82"/>
      <c r="I622" s="82"/>
      <c r="J622" s="82"/>
      <c r="K622" s="82"/>
      <c r="L622" s="82"/>
      <c r="M622" s="82"/>
      <c r="N622" s="82"/>
    </row>
    <row r="623" ht="15.75" customHeight="1">
      <c r="A623" s="82"/>
      <c r="B623" s="82"/>
      <c r="C623" s="82"/>
      <c r="D623" s="82"/>
      <c r="F623" s="82"/>
      <c r="G623" s="82"/>
      <c r="H623" s="82"/>
      <c r="I623" s="82"/>
      <c r="J623" s="82"/>
      <c r="K623" s="82"/>
      <c r="L623" s="82"/>
      <c r="M623" s="82"/>
      <c r="N623" s="82"/>
    </row>
    <row r="624" ht="15.75" customHeight="1">
      <c r="A624" s="82"/>
      <c r="B624" s="82"/>
      <c r="C624" s="82"/>
      <c r="D624" s="82"/>
      <c r="F624" s="82"/>
      <c r="G624" s="82"/>
      <c r="H624" s="82"/>
      <c r="I624" s="82"/>
      <c r="J624" s="82"/>
      <c r="K624" s="82"/>
      <c r="L624" s="82"/>
      <c r="M624" s="82"/>
      <c r="N624" s="82"/>
    </row>
    <row r="625" ht="15.75" customHeight="1">
      <c r="A625" s="82"/>
      <c r="B625" s="82"/>
      <c r="C625" s="82"/>
      <c r="D625" s="82"/>
      <c r="F625" s="82"/>
      <c r="G625" s="82"/>
      <c r="H625" s="82"/>
      <c r="I625" s="82"/>
      <c r="J625" s="82"/>
      <c r="K625" s="82"/>
      <c r="L625" s="82"/>
      <c r="M625" s="82"/>
      <c r="N625" s="82"/>
    </row>
    <row r="626" ht="15.75" customHeight="1">
      <c r="A626" s="82"/>
      <c r="B626" s="82"/>
      <c r="C626" s="82"/>
      <c r="D626" s="82"/>
      <c r="F626" s="82"/>
      <c r="G626" s="82"/>
      <c r="H626" s="82"/>
      <c r="I626" s="82"/>
      <c r="J626" s="82"/>
      <c r="K626" s="82"/>
      <c r="L626" s="82"/>
      <c r="M626" s="82"/>
      <c r="N626" s="82"/>
    </row>
    <row r="627" ht="15.75" customHeight="1">
      <c r="A627" s="82"/>
      <c r="B627" s="82"/>
      <c r="C627" s="82"/>
      <c r="D627" s="82"/>
      <c r="F627" s="82"/>
      <c r="G627" s="82"/>
      <c r="H627" s="82"/>
      <c r="I627" s="82"/>
      <c r="J627" s="82"/>
      <c r="K627" s="82"/>
      <c r="L627" s="82"/>
      <c r="M627" s="82"/>
      <c r="N627" s="82"/>
    </row>
    <row r="628" ht="15.75" customHeight="1">
      <c r="A628" s="82"/>
      <c r="B628" s="82"/>
      <c r="C628" s="82"/>
      <c r="D628" s="82"/>
      <c r="F628" s="82"/>
      <c r="G628" s="82"/>
      <c r="H628" s="82"/>
      <c r="I628" s="82"/>
      <c r="J628" s="82"/>
      <c r="K628" s="82"/>
      <c r="L628" s="82"/>
      <c r="M628" s="82"/>
      <c r="N628" s="82"/>
    </row>
    <row r="629" ht="15.75" customHeight="1">
      <c r="A629" s="82"/>
      <c r="B629" s="82"/>
      <c r="C629" s="82"/>
      <c r="D629" s="82"/>
      <c r="F629" s="82"/>
      <c r="G629" s="82"/>
      <c r="H629" s="82"/>
      <c r="I629" s="82"/>
      <c r="J629" s="82"/>
      <c r="K629" s="82"/>
      <c r="L629" s="82"/>
      <c r="M629" s="82"/>
      <c r="N629" s="82"/>
    </row>
    <row r="630" ht="15.75" customHeight="1">
      <c r="A630" s="82"/>
      <c r="B630" s="82"/>
      <c r="C630" s="82"/>
      <c r="D630" s="82"/>
      <c r="F630" s="82"/>
      <c r="G630" s="82"/>
      <c r="H630" s="82"/>
      <c r="I630" s="82"/>
      <c r="J630" s="82"/>
      <c r="K630" s="82"/>
      <c r="L630" s="82"/>
      <c r="M630" s="82"/>
      <c r="N630" s="82"/>
    </row>
    <row r="631" ht="15.75" customHeight="1">
      <c r="A631" s="82"/>
      <c r="B631" s="82"/>
      <c r="C631" s="82"/>
      <c r="D631" s="82"/>
      <c r="F631" s="82"/>
      <c r="G631" s="82"/>
      <c r="H631" s="82"/>
      <c r="I631" s="82"/>
      <c r="J631" s="82"/>
      <c r="K631" s="82"/>
      <c r="L631" s="82"/>
      <c r="M631" s="82"/>
      <c r="N631" s="82"/>
    </row>
    <row r="632" ht="15.75" customHeight="1">
      <c r="A632" s="82"/>
      <c r="B632" s="82"/>
      <c r="C632" s="82"/>
      <c r="D632" s="82"/>
      <c r="F632" s="82"/>
      <c r="G632" s="82"/>
      <c r="H632" s="82"/>
      <c r="I632" s="82"/>
      <c r="J632" s="82"/>
      <c r="K632" s="82"/>
      <c r="L632" s="82"/>
      <c r="M632" s="82"/>
      <c r="N632" s="82"/>
    </row>
    <row r="633" ht="15.75" customHeight="1">
      <c r="A633" s="82"/>
      <c r="B633" s="82"/>
      <c r="C633" s="82"/>
      <c r="D633" s="82"/>
      <c r="F633" s="82"/>
      <c r="G633" s="82"/>
      <c r="H633" s="82"/>
      <c r="I633" s="82"/>
      <c r="J633" s="82"/>
      <c r="K633" s="82"/>
      <c r="L633" s="82"/>
      <c r="M633" s="82"/>
      <c r="N633" s="82"/>
    </row>
    <row r="634" ht="15.75" customHeight="1">
      <c r="A634" s="82"/>
      <c r="B634" s="82"/>
      <c r="C634" s="82"/>
      <c r="D634" s="82"/>
      <c r="F634" s="82"/>
      <c r="G634" s="82"/>
      <c r="H634" s="82"/>
      <c r="I634" s="82"/>
      <c r="J634" s="82"/>
      <c r="K634" s="82"/>
      <c r="L634" s="82"/>
      <c r="M634" s="82"/>
      <c r="N634" s="82"/>
    </row>
    <row r="635" ht="15.75" customHeight="1">
      <c r="A635" s="82"/>
      <c r="B635" s="82"/>
      <c r="C635" s="82"/>
      <c r="D635" s="82"/>
      <c r="F635" s="82"/>
      <c r="G635" s="82"/>
      <c r="H635" s="82"/>
      <c r="I635" s="82"/>
      <c r="J635" s="82"/>
      <c r="K635" s="82"/>
      <c r="L635" s="82"/>
      <c r="M635" s="82"/>
      <c r="N635" s="82"/>
    </row>
    <row r="636" ht="15.75" customHeight="1">
      <c r="A636" s="82"/>
      <c r="B636" s="82"/>
      <c r="C636" s="82"/>
      <c r="D636" s="82"/>
      <c r="F636" s="82"/>
      <c r="G636" s="82"/>
      <c r="H636" s="82"/>
      <c r="I636" s="82"/>
      <c r="J636" s="82"/>
      <c r="K636" s="82"/>
      <c r="L636" s="82"/>
      <c r="M636" s="82"/>
      <c r="N636" s="82"/>
    </row>
    <row r="637" ht="15.75" customHeight="1">
      <c r="A637" s="82"/>
      <c r="B637" s="82"/>
      <c r="C637" s="82"/>
      <c r="D637" s="82"/>
      <c r="F637" s="82"/>
      <c r="G637" s="82"/>
      <c r="H637" s="82"/>
      <c r="I637" s="82"/>
      <c r="J637" s="82"/>
      <c r="K637" s="82"/>
      <c r="L637" s="82"/>
      <c r="M637" s="82"/>
      <c r="N637" s="82"/>
    </row>
    <row r="638" ht="15.75" customHeight="1">
      <c r="A638" s="82"/>
      <c r="B638" s="82"/>
      <c r="C638" s="82"/>
      <c r="D638" s="82"/>
      <c r="F638" s="82"/>
      <c r="G638" s="82"/>
      <c r="H638" s="82"/>
      <c r="I638" s="82"/>
      <c r="J638" s="82"/>
      <c r="K638" s="82"/>
      <c r="L638" s="82"/>
      <c r="M638" s="82"/>
      <c r="N638" s="82"/>
    </row>
    <row r="639" ht="15.75" customHeight="1">
      <c r="A639" s="82"/>
      <c r="B639" s="82"/>
      <c r="C639" s="82"/>
      <c r="D639" s="82"/>
      <c r="F639" s="82"/>
      <c r="G639" s="82"/>
      <c r="H639" s="82"/>
      <c r="I639" s="82"/>
      <c r="J639" s="82"/>
      <c r="K639" s="82"/>
      <c r="L639" s="82"/>
      <c r="M639" s="82"/>
      <c r="N639" s="82"/>
    </row>
    <row r="640" ht="15.75" customHeight="1">
      <c r="A640" s="82"/>
      <c r="B640" s="82"/>
      <c r="C640" s="82"/>
      <c r="D640" s="82"/>
      <c r="F640" s="82"/>
      <c r="G640" s="82"/>
      <c r="H640" s="82"/>
      <c r="I640" s="82"/>
      <c r="J640" s="82"/>
      <c r="K640" s="82"/>
      <c r="L640" s="82"/>
      <c r="M640" s="82"/>
      <c r="N640" s="82"/>
    </row>
    <row r="641" ht="15.75" customHeight="1">
      <c r="A641" s="82"/>
      <c r="B641" s="82"/>
      <c r="C641" s="82"/>
      <c r="D641" s="82"/>
      <c r="F641" s="82"/>
      <c r="G641" s="82"/>
      <c r="H641" s="82"/>
      <c r="I641" s="82"/>
      <c r="J641" s="82"/>
      <c r="K641" s="82"/>
      <c r="L641" s="82"/>
      <c r="M641" s="82"/>
      <c r="N641" s="82"/>
    </row>
    <row r="642" ht="15.75" customHeight="1">
      <c r="A642" s="82"/>
      <c r="B642" s="82"/>
      <c r="C642" s="82"/>
      <c r="D642" s="82"/>
      <c r="F642" s="82"/>
      <c r="G642" s="82"/>
      <c r="H642" s="82"/>
      <c r="I642" s="82"/>
      <c r="J642" s="82"/>
      <c r="K642" s="82"/>
      <c r="L642" s="82"/>
      <c r="M642" s="82"/>
      <c r="N642" s="82"/>
    </row>
    <row r="643" ht="15.75" customHeight="1">
      <c r="A643" s="82"/>
      <c r="B643" s="82"/>
      <c r="C643" s="82"/>
      <c r="D643" s="82"/>
      <c r="F643" s="82"/>
      <c r="G643" s="82"/>
      <c r="H643" s="82"/>
      <c r="I643" s="82"/>
      <c r="J643" s="82"/>
      <c r="K643" s="82"/>
      <c r="L643" s="82"/>
      <c r="M643" s="82"/>
      <c r="N643" s="82"/>
    </row>
    <row r="644" ht="15.75" customHeight="1">
      <c r="A644" s="82"/>
      <c r="B644" s="82"/>
      <c r="C644" s="82"/>
      <c r="D644" s="82"/>
      <c r="F644" s="82"/>
      <c r="G644" s="82"/>
      <c r="H644" s="82"/>
      <c r="I644" s="82"/>
      <c r="J644" s="82"/>
      <c r="K644" s="82"/>
      <c r="L644" s="82"/>
      <c r="M644" s="82"/>
      <c r="N644" s="82"/>
    </row>
    <row r="645" ht="15.75" customHeight="1">
      <c r="A645" s="82"/>
      <c r="B645" s="82"/>
      <c r="C645" s="82"/>
      <c r="D645" s="82"/>
      <c r="F645" s="82"/>
      <c r="G645" s="82"/>
      <c r="H645" s="82"/>
      <c r="I645" s="82"/>
      <c r="J645" s="82"/>
      <c r="K645" s="82"/>
      <c r="L645" s="82"/>
      <c r="M645" s="82"/>
      <c r="N645" s="82"/>
    </row>
    <row r="646" ht="15.75" customHeight="1">
      <c r="A646" s="82"/>
      <c r="B646" s="82"/>
      <c r="C646" s="82"/>
      <c r="D646" s="82"/>
      <c r="F646" s="82"/>
      <c r="G646" s="82"/>
      <c r="H646" s="82"/>
      <c r="I646" s="82"/>
      <c r="J646" s="82"/>
      <c r="K646" s="82"/>
      <c r="L646" s="82"/>
      <c r="M646" s="82"/>
      <c r="N646" s="82"/>
    </row>
    <row r="647" ht="15.75" customHeight="1">
      <c r="A647" s="82"/>
      <c r="B647" s="82"/>
      <c r="C647" s="82"/>
      <c r="D647" s="82"/>
      <c r="F647" s="82"/>
      <c r="G647" s="82"/>
      <c r="H647" s="82"/>
      <c r="I647" s="82"/>
      <c r="J647" s="82"/>
      <c r="K647" s="82"/>
      <c r="L647" s="82"/>
      <c r="M647" s="82"/>
      <c r="N647" s="82"/>
    </row>
    <row r="648" ht="15.75" customHeight="1">
      <c r="A648" s="82"/>
      <c r="B648" s="82"/>
      <c r="C648" s="82"/>
      <c r="D648" s="82"/>
      <c r="F648" s="82"/>
      <c r="G648" s="82"/>
      <c r="H648" s="82"/>
      <c r="I648" s="82"/>
      <c r="J648" s="82"/>
      <c r="K648" s="82"/>
      <c r="L648" s="82"/>
      <c r="M648" s="82"/>
      <c r="N648" s="82"/>
    </row>
    <row r="649" ht="15.75" customHeight="1">
      <c r="A649" s="82"/>
      <c r="B649" s="82"/>
      <c r="C649" s="82"/>
      <c r="D649" s="82"/>
      <c r="F649" s="82"/>
      <c r="G649" s="82"/>
      <c r="H649" s="82"/>
      <c r="I649" s="82"/>
      <c r="J649" s="82"/>
      <c r="K649" s="82"/>
      <c r="L649" s="82"/>
      <c r="M649" s="82"/>
      <c r="N649" s="82"/>
    </row>
    <row r="650" ht="15.75" customHeight="1">
      <c r="A650" s="82"/>
      <c r="B650" s="82"/>
      <c r="C650" s="82"/>
      <c r="D650" s="82"/>
      <c r="F650" s="82"/>
      <c r="G650" s="82"/>
      <c r="H650" s="82"/>
      <c r="I650" s="82"/>
      <c r="J650" s="82"/>
      <c r="K650" s="82"/>
      <c r="L650" s="82"/>
      <c r="M650" s="82"/>
      <c r="N650" s="82"/>
    </row>
    <row r="651" ht="15.75" customHeight="1">
      <c r="A651" s="82"/>
      <c r="B651" s="82"/>
      <c r="C651" s="82"/>
      <c r="D651" s="82"/>
      <c r="F651" s="82"/>
      <c r="G651" s="82"/>
      <c r="H651" s="82"/>
      <c r="I651" s="82"/>
      <c r="J651" s="82"/>
      <c r="K651" s="82"/>
      <c r="L651" s="82"/>
      <c r="M651" s="82"/>
      <c r="N651" s="82"/>
    </row>
    <row r="652" ht="15.75" customHeight="1">
      <c r="A652" s="82"/>
      <c r="B652" s="82"/>
      <c r="C652" s="82"/>
      <c r="D652" s="82"/>
      <c r="F652" s="82"/>
      <c r="G652" s="82"/>
      <c r="H652" s="82"/>
      <c r="I652" s="82"/>
      <c r="J652" s="82"/>
      <c r="K652" s="82"/>
      <c r="L652" s="82"/>
      <c r="M652" s="82"/>
      <c r="N652" s="82"/>
    </row>
    <row r="653" ht="15.75" customHeight="1">
      <c r="A653" s="82"/>
      <c r="B653" s="82"/>
      <c r="C653" s="82"/>
      <c r="D653" s="82"/>
      <c r="F653" s="82"/>
      <c r="G653" s="82"/>
      <c r="H653" s="82"/>
      <c r="I653" s="82"/>
      <c r="J653" s="82"/>
      <c r="K653" s="82"/>
      <c r="L653" s="82"/>
      <c r="M653" s="82"/>
      <c r="N653" s="82"/>
    </row>
    <row r="654" ht="15.75" customHeight="1">
      <c r="A654" s="82"/>
      <c r="B654" s="82"/>
      <c r="C654" s="82"/>
      <c r="D654" s="82"/>
      <c r="F654" s="82"/>
      <c r="G654" s="82"/>
      <c r="H654" s="82"/>
      <c r="I654" s="82"/>
      <c r="J654" s="82"/>
      <c r="K654" s="82"/>
      <c r="L654" s="82"/>
      <c r="M654" s="82"/>
      <c r="N654" s="82"/>
    </row>
    <row r="655" ht="15.75" customHeight="1">
      <c r="A655" s="82"/>
      <c r="B655" s="82"/>
      <c r="C655" s="82"/>
      <c r="D655" s="82"/>
      <c r="F655" s="82"/>
      <c r="G655" s="82"/>
      <c r="H655" s="82"/>
      <c r="I655" s="82"/>
      <c r="J655" s="82"/>
      <c r="K655" s="82"/>
      <c r="L655" s="82"/>
      <c r="M655" s="82"/>
      <c r="N655" s="82"/>
    </row>
    <row r="656" ht="15.75" customHeight="1">
      <c r="A656" s="82"/>
      <c r="B656" s="82"/>
      <c r="C656" s="82"/>
      <c r="D656" s="82"/>
      <c r="F656" s="82"/>
      <c r="G656" s="82"/>
      <c r="H656" s="82"/>
      <c r="I656" s="82"/>
      <c r="J656" s="82"/>
      <c r="K656" s="82"/>
      <c r="L656" s="82"/>
      <c r="M656" s="82"/>
      <c r="N656" s="82"/>
    </row>
    <row r="657" ht="15.75" customHeight="1">
      <c r="A657" s="82"/>
      <c r="B657" s="82"/>
      <c r="C657" s="82"/>
      <c r="D657" s="82"/>
      <c r="F657" s="82"/>
      <c r="G657" s="82"/>
      <c r="H657" s="82"/>
      <c r="I657" s="82"/>
      <c r="J657" s="82"/>
      <c r="K657" s="82"/>
      <c r="L657" s="82"/>
      <c r="M657" s="82"/>
      <c r="N657" s="82"/>
    </row>
    <row r="658" ht="15.75" customHeight="1">
      <c r="A658" s="82"/>
      <c r="B658" s="82"/>
      <c r="C658" s="82"/>
      <c r="D658" s="82"/>
      <c r="F658" s="82"/>
      <c r="G658" s="82"/>
      <c r="H658" s="82"/>
      <c r="I658" s="82"/>
      <c r="J658" s="82"/>
      <c r="K658" s="82"/>
      <c r="L658" s="82"/>
      <c r="M658" s="82"/>
      <c r="N658" s="82"/>
    </row>
    <row r="659" ht="15.75" customHeight="1">
      <c r="A659" s="82"/>
      <c r="B659" s="82"/>
      <c r="C659" s="82"/>
      <c r="D659" s="82"/>
      <c r="F659" s="82"/>
      <c r="G659" s="82"/>
      <c r="H659" s="82"/>
      <c r="I659" s="82"/>
      <c r="J659" s="82"/>
      <c r="K659" s="82"/>
      <c r="L659" s="82"/>
      <c r="M659" s="82"/>
      <c r="N659" s="82"/>
    </row>
    <row r="660" ht="15.75" customHeight="1">
      <c r="A660" s="82"/>
      <c r="B660" s="82"/>
      <c r="C660" s="82"/>
      <c r="D660" s="82"/>
      <c r="F660" s="82"/>
      <c r="G660" s="82"/>
      <c r="H660" s="82"/>
      <c r="I660" s="82"/>
      <c r="J660" s="82"/>
      <c r="K660" s="82"/>
      <c r="L660" s="82"/>
      <c r="M660" s="82"/>
      <c r="N660" s="82"/>
    </row>
    <row r="661" ht="15.75" customHeight="1">
      <c r="A661" s="82"/>
      <c r="B661" s="82"/>
      <c r="C661" s="82"/>
      <c r="D661" s="82"/>
      <c r="F661" s="82"/>
      <c r="G661" s="82"/>
      <c r="H661" s="82"/>
      <c r="I661" s="82"/>
      <c r="J661" s="82"/>
      <c r="K661" s="82"/>
      <c r="L661" s="82"/>
      <c r="M661" s="82"/>
      <c r="N661" s="82"/>
    </row>
    <row r="662" ht="15.75" customHeight="1">
      <c r="A662" s="82"/>
      <c r="B662" s="82"/>
      <c r="C662" s="82"/>
      <c r="D662" s="82"/>
      <c r="F662" s="82"/>
      <c r="G662" s="82"/>
      <c r="H662" s="82"/>
      <c r="I662" s="82"/>
      <c r="J662" s="82"/>
      <c r="K662" s="82"/>
      <c r="L662" s="82"/>
      <c r="M662" s="82"/>
      <c r="N662" s="82"/>
    </row>
    <row r="663" ht="15.75" customHeight="1">
      <c r="A663" s="82"/>
      <c r="B663" s="82"/>
      <c r="C663" s="82"/>
      <c r="D663" s="82"/>
      <c r="F663" s="82"/>
      <c r="G663" s="82"/>
      <c r="H663" s="82"/>
      <c r="I663" s="82"/>
      <c r="J663" s="82"/>
      <c r="K663" s="82"/>
      <c r="L663" s="82"/>
      <c r="M663" s="82"/>
      <c r="N663" s="82"/>
    </row>
    <row r="664" ht="15.75" customHeight="1">
      <c r="A664" s="82"/>
      <c r="B664" s="82"/>
      <c r="C664" s="82"/>
      <c r="D664" s="82"/>
      <c r="F664" s="82"/>
      <c r="G664" s="82"/>
      <c r="H664" s="82"/>
      <c r="I664" s="82"/>
      <c r="J664" s="82"/>
      <c r="K664" s="82"/>
      <c r="L664" s="82"/>
      <c r="M664" s="82"/>
      <c r="N664" s="82"/>
    </row>
    <row r="665" ht="15.75" customHeight="1">
      <c r="A665" s="82"/>
      <c r="B665" s="82"/>
      <c r="C665" s="82"/>
      <c r="D665" s="82"/>
      <c r="F665" s="82"/>
      <c r="G665" s="82"/>
      <c r="H665" s="82"/>
      <c r="I665" s="82"/>
      <c r="J665" s="82"/>
      <c r="K665" s="82"/>
      <c r="L665" s="82"/>
      <c r="M665" s="82"/>
      <c r="N665" s="82"/>
    </row>
    <row r="666" ht="15.75" customHeight="1">
      <c r="A666" s="82"/>
      <c r="B666" s="82"/>
      <c r="C666" s="82"/>
      <c r="D666" s="82"/>
      <c r="F666" s="82"/>
      <c r="G666" s="82"/>
      <c r="H666" s="82"/>
      <c r="I666" s="82"/>
      <c r="J666" s="82"/>
      <c r="K666" s="82"/>
      <c r="L666" s="82"/>
      <c r="M666" s="82"/>
      <c r="N666" s="82"/>
    </row>
    <row r="667" ht="15.75" customHeight="1">
      <c r="A667" s="82"/>
      <c r="B667" s="82"/>
      <c r="C667" s="82"/>
      <c r="D667" s="82"/>
      <c r="F667" s="82"/>
      <c r="G667" s="82"/>
      <c r="H667" s="82"/>
      <c r="I667" s="82"/>
      <c r="J667" s="82"/>
      <c r="K667" s="82"/>
      <c r="L667" s="82"/>
      <c r="M667" s="82"/>
      <c r="N667" s="82"/>
    </row>
    <row r="668" ht="15.75" customHeight="1">
      <c r="A668" s="82"/>
      <c r="B668" s="82"/>
      <c r="C668" s="82"/>
      <c r="D668" s="82"/>
      <c r="F668" s="82"/>
      <c r="G668" s="82"/>
      <c r="H668" s="82"/>
      <c r="I668" s="82"/>
      <c r="J668" s="82"/>
      <c r="K668" s="82"/>
      <c r="L668" s="82"/>
      <c r="M668" s="82"/>
      <c r="N668" s="82"/>
    </row>
    <row r="669" ht="15.75" customHeight="1">
      <c r="A669" s="82"/>
      <c r="B669" s="82"/>
      <c r="C669" s="82"/>
      <c r="D669" s="82"/>
      <c r="F669" s="82"/>
      <c r="G669" s="82"/>
      <c r="H669" s="82"/>
      <c r="I669" s="82"/>
      <c r="J669" s="82"/>
      <c r="K669" s="82"/>
      <c r="L669" s="82"/>
      <c r="M669" s="82"/>
      <c r="N669" s="82"/>
    </row>
    <row r="670" ht="15.75" customHeight="1">
      <c r="A670" s="82"/>
      <c r="B670" s="82"/>
      <c r="C670" s="82"/>
      <c r="D670" s="82"/>
      <c r="F670" s="82"/>
      <c r="G670" s="82"/>
      <c r="H670" s="82"/>
      <c r="I670" s="82"/>
      <c r="J670" s="82"/>
      <c r="K670" s="82"/>
      <c r="L670" s="82"/>
      <c r="M670" s="82"/>
      <c r="N670" s="82"/>
    </row>
    <row r="671" ht="15.75" customHeight="1">
      <c r="A671" s="82"/>
      <c r="B671" s="82"/>
      <c r="C671" s="82"/>
      <c r="D671" s="82"/>
      <c r="F671" s="82"/>
      <c r="G671" s="82"/>
      <c r="H671" s="82"/>
      <c r="I671" s="82"/>
      <c r="J671" s="82"/>
      <c r="K671" s="82"/>
      <c r="L671" s="82"/>
      <c r="M671" s="82"/>
      <c r="N671" s="82"/>
    </row>
    <row r="672" ht="15.75" customHeight="1">
      <c r="A672" s="82"/>
      <c r="B672" s="82"/>
      <c r="C672" s="82"/>
      <c r="D672" s="82"/>
      <c r="F672" s="82"/>
      <c r="G672" s="82"/>
      <c r="H672" s="82"/>
      <c r="I672" s="82"/>
      <c r="J672" s="82"/>
      <c r="K672" s="82"/>
      <c r="L672" s="82"/>
      <c r="M672" s="82"/>
      <c r="N672" s="82"/>
    </row>
    <row r="673" ht="15.75" customHeight="1">
      <c r="A673" s="82"/>
      <c r="B673" s="82"/>
      <c r="C673" s="82"/>
      <c r="D673" s="82"/>
      <c r="F673" s="82"/>
      <c r="G673" s="82"/>
      <c r="H673" s="82"/>
      <c r="I673" s="82"/>
      <c r="J673" s="82"/>
      <c r="K673" s="82"/>
      <c r="L673" s="82"/>
      <c r="M673" s="82"/>
      <c r="N673" s="82"/>
    </row>
    <row r="674" ht="15.75" customHeight="1">
      <c r="A674" s="82"/>
      <c r="B674" s="82"/>
      <c r="C674" s="82"/>
      <c r="D674" s="82"/>
      <c r="F674" s="82"/>
      <c r="G674" s="82"/>
      <c r="H674" s="82"/>
      <c r="I674" s="82"/>
      <c r="J674" s="82"/>
      <c r="K674" s="82"/>
      <c r="L674" s="82"/>
      <c r="M674" s="82"/>
      <c r="N674" s="82"/>
    </row>
    <row r="675" ht="15.75" customHeight="1">
      <c r="A675" s="82"/>
      <c r="B675" s="82"/>
      <c r="C675" s="82"/>
      <c r="D675" s="82"/>
      <c r="F675" s="82"/>
      <c r="G675" s="82"/>
      <c r="H675" s="82"/>
      <c r="I675" s="82"/>
      <c r="J675" s="82"/>
      <c r="K675" s="82"/>
      <c r="L675" s="82"/>
      <c r="M675" s="82"/>
      <c r="N675" s="82"/>
    </row>
    <row r="676" ht="15.75" customHeight="1">
      <c r="A676" s="82"/>
      <c r="B676" s="82"/>
      <c r="C676" s="82"/>
      <c r="D676" s="82"/>
      <c r="F676" s="82"/>
      <c r="G676" s="82"/>
      <c r="H676" s="82"/>
      <c r="I676" s="82"/>
      <c r="J676" s="82"/>
      <c r="K676" s="82"/>
      <c r="L676" s="82"/>
      <c r="M676" s="82"/>
      <c r="N676" s="82"/>
    </row>
    <row r="677" ht="15.75" customHeight="1">
      <c r="A677" s="82"/>
      <c r="B677" s="82"/>
      <c r="C677" s="82"/>
      <c r="D677" s="82"/>
      <c r="F677" s="82"/>
      <c r="G677" s="82"/>
      <c r="H677" s="82"/>
      <c r="I677" s="82"/>
      <c r="J677" s="82"/>
      <c r="K677" s="82"/>
      <c r="L677" s="82"/>
      <c r="M677" s="82"/>
      <c r="N677" s="82"/>
    </row>
    <row r="678" ht="15.75" customHeight="1">
      <c r="A678" s="82"/>
      <c r="B678" s="82"/>
      <c r="C678" s="82"/>
      <c r="D678" s="82"/>
      <c r="F678" s="82"/>
      <c r="G678" s="82"/>
      <c r="H678" s="82"/>
      <c r="I678" s="82"/>
      <c r="J678" s="82"/>
      <c r="K678" s="82"/>
      <c r="L678" s="82"/>
      <c r="M678" s="82"/>
      <c r="N678" s="82"/>
    </row>
    <row r="679" ht="15.75" customHeight="1">
      <c r="A679" s="82"/>
      <c r="B679" s="82"/>
      <c r="C679" s="82"/>
      <c r="D679" s="82"/>
      <c r="F679" s="82"/>
      <c r="G679" s="82"/>
      <c r="H679" s="82"/>
      <c r="I679" s="82"/>
      <c r="J679" s="82"/>
      <c r="K679" s="82"/>
      <c r="L679" s="82"/>
      <c r="M679" s="82"/>
      <c r="N679" s="82"/>
    </row>
    <row r="680" ht="15.75" customHeight="1">
      <c r="A680" s="82"/>
      <c r="B680" s="82"/>
      <c r="C680" s="82"/>
      <c r="D680" s="82"/>
      <c r="F680" s="82"/>
      <c r="G680" s="82"/>
      <c r="H680" s="82"/>
      <c r="I680" s="82"/>
      <c r="J680" s="82"/>
      <c r="K680" s="82"/>
      <c r="L680" s="82"/>
      <c r="M680" s="82"/>
      <c r="N680" s="82"/>
    </row>
    <row r="681" ht="15.75" customHeight="1">
      <c r="A681" s="82"/>
      <c r="B681" s="82"/>
      <c r="C681" s="82"/>
      <c r="D681" s="82"/>
      <c r="F681" s="82"/>
      <c r="G681" s="82"/>
      <c r="H681" s="82"/>
      <c r="I681" s="82"/>
      <c r="J681" s="82"/>
      <c r="K681" s="82"/>
      <c r="L681" s="82"/>
      <c r="M681" s="82"/>
      <c r="N681" s="82"/>
    </row>
    <row r="682" ht="15.75" customHeight="1">
      <c r="A682" s="82"/>
      <c r="B682" s="82"/>
      <c r="C682" s="82"/>
      <c r="D682" s="82"/>
      <c r="F682" s="82"/>
      <c r="G682" s="82"/>
      <c r="H682" s="82"/>
      <c r="I682" s="82"/>
      <c r="J682" s="82"/>
      <c r="K682" s="82"/>
      <c r="L682" s="82"/>
      <c r="M682" s="82"/>
      <c r="N682" s="82"/>
    </row>
    <row r="683" ht="15.75" customHeight="1">
      <c r="A683" s="82"/>
      <c r="B683" s="82"/>
      <c r="C683" s="82"/>
      <c r="D683" s="82"/>
      <c r="F683" s="82"/>
      <c r="G683" s="82"/>
      <c r="H683" s="82"/>
      <c r="I683" s="82"/>
      <c r="J683" s="82"/>
      <c r="K683" s="82"/>
      <c r="L683" s="82"/>
      <c r="M683" s="82"/>
      <c r="N683" s="82"/>
    </row>
    <row r="684" ht="15.75" customHeight="1">
      <c r="A684" s="82"/>
      <c r="B684" s="82"/>
      <c r="C684" s="82"/>
      <c r="D684" s="82"/>
      <c r="F684" s="82"/>
      <c r="G684" s="82"/>
      <c r="H684" s="82"/>
      <c r="I684" s="82"/>
      <c r="J684" s="82"/>
      <c r="K684" s="82"/>
      <c r="L684" s="82"/>
      <c r="M684" s="82"/>
      <c r="N684" s="82"/>
    </row>
    <row r="685" ht="15.75" customHeight="1">
      <c r="A685" s="82"/>
      <c r="B685" s="82"/>
      <c r="C685" s="82"/>
      <c r="D685" s="82"/>
      <c r="F685" s="82"/>
      <c r="G685" s="82"/>
      <c r="H685" s="82"/>
      <c r="I685" s="82"/>
      <c r="J685" s="82"/>
      <c r="K685" s="82"/>
      <c r="L685" s="82"/>
      <c r="M685" s="82"/>
      <c r="N685" s="82"/>
    </row>
    <row r="686" ht="15.75" customHeight="1">
      <c r="A686" s="82"/>
      <c r="B686" s="82"/>
      <c r="C686" s="82"/>
      <c r="D686" s="82"/>
      <c r="F686" s="82"/>
      <c r="G686" s="82"/>
      <c r="H686" s="82"/>
      <c r="I686" s="82"/>
      <c r="J686" s="82"/>
      <c r="K686" s="82"/>
      <c r="L686" s="82"/>
      <c r="M686" s="82"/>
      <c r="N686" s="82"/>
    </row>
    <row r="687" ht="15.75" customHeight="1">
      <c r="A687" s="82"/>
      <c r="B687" s="82"/>
      <c r="C687" s="82"/>
      <c r="D687" s="82"/>
      <c r="F687" s="82"/>
      <c r="G687" s="82"/>
      <c r="H687" s="82"/>
      <c r="I687" s="82"/>
      <c r="J687" s="82"/>
      <c r="K687" s="82"/>
      <c r="L687" s="82"/>
      <c r="M687" s="82"/>
      <c r="N687" s="82"/>
    </row>
    <row r="688" ht="15.75" customHeight="1">
      <c r="A688" s="82"/>
      <c r="B688" s="82"/>
      <c r="C688" s="82"/>
      <c r="D688" s="82"/>
      <c r="F688" s="82"/>
      <c r="G688" s="82"/>
      <c r="H688" s="82"/>
      <c r="I688" s="82"/>
      <c r="J688" s="82"/>
      <c r="K688" s="82"/>
      <c r="L688" s="82"/>
      <c r="M688" s="82"/>
      <c r="N688" s="82"/>
    </row>
    <row r="689" ht="15.75" customHeight="1">
      <c r="A689" s="82"/>
      <c r="B689" s="82"/>
      <c r="C689" s="82"/>
      <c r="D689" s="82"/>
      <c r="F689" s="82"/>
      <c r="G689" s="82"/>
      <c r="H689" s="82"/>
      <c r="I689" s="82"/>
      <c r="J689" s="82"/>
      <c r="K689" s="82"/>
      <c r="L689" s="82"/>
      <c r="M689" s="82"/>
      <c r="N689" s="82"/>
    </row>
    <row r="690" ht="15.75" customHeight="1">
      <c r="A690" s="82"/>
      <c r="B690" s="82"/>
      <c r="C690" s="82"/>
      <c r="D690" s="82"/>
      <c r="F690" s="82"/>
      <c r="G690" s="82"/>
      <c r="H690" s="82"/>
      <c r="I690" s="82"/>
      <c r="J690" s="82"/>
      <c r="K690" s="82"/>
      <c r="L690" s="82"/>
      <c r="M690" s="82"/>
      <c r="N690" s="82"/>
    </row>
    <row r="691" ht="15.75" customHeight="1">
      <c r="A691" s="82"/>
      <c r="B691" s="82"/>
      <c r="C691" s="82"/>
      <c r="D691" s="82"/>
      <c r="F691" s="82"/>
      <c r="G691" s="82"/>
      <c r="H691" s="82"/>
      <c r="I691" s="82"/>
      <c r="J691" s="82"/>
      <c r="K691" s="82"/>
      <c r="L691" s="82"/>
      <c r="M691" s="82"/>
      <c r="N691" s="82"/>
    </row>
    <row r="692" ht="15.75" customHeight="1">
      <c r="A692" s="82"/>
      <c r="B692" s="82"/>
      <c r="C692" s="82"/>
      <c r="D692" s="82"/>
      <c r="F692" s="82"/>
      <c r="G692" s="82"/>
      <c r="H692" s="82"/>
      <c r="I692" s="82"/>
      <c r="J692" s="82"/>
      <c r="K692" s="82"/>
      <c r="L692" s="82"/>
      <c r="M692" s="82"/>
      <c r="N692" s="82"/>
    </row>
    <row r="693" ht="15.75" customHeight="1">
      <c r="A693" s="82"/>
      <c r="B693" s="82"/>
      <c r="C693" s="82"/>
      <c r="D693" s="82"/>
      <c r="F693" s="82"/>
      <c r="G693" s="82"/>
      <c r="H693" s="82"/>
      <c r="I693" s="82"/>
      <c r="J693" s="82"/>
      <c r="K693" s="82"/>
      <c r="L693" s="82"/>
      <c r="M693" s="82"/>
      <c r="N693" s="82"/>
    </row>
    <row r="694" ht="15.75" customHeight="1">
      <c r="A694" s="82"/>
      <c r="B694" s="82"/>
      <c r="C694" s="82"/>
      <c r="D694" s="82"/>
      <c r="F694" s="82"/>
      <c r="G694" s="82"/>
      <c r="H694" s="82"/>
      <c r="I694" s="82"/>
      <c r="J694" s="82"/>
      <c r="K694" s="82"/>
      <c r="L694" s="82"/>
      <c r="M694" s="82"/>
      <c r="N694" s="82"/>
    </row>
    <row r="695" ht="15.75" customHeight="1">
      <c r="A695" s="82"/>
      <c r="B695" s="82"/>
      <c r="C695" s="82"/>
      <c r="D695" s="82"/>
      <c r="F695" s="82"/>
      <c r="G695" s="82"/>
      <c r="H695" s="82"/>
      <c r="I695" s="82"/>
      <c r="J695" s="82"/>
      <c r="K695" s="82"/>
      <c r="L695" s="82"/>
      <c r="M695" s="82"/>
      <c r="N695" s="82"/>
    </row>
    <row r="696" ht="15.75" customHeight="1">
      <c r="A696" s="82"/>
      <c r="B696" s="82"/>
      <c r="C696" s="82"/>
      <c r="D696" s="82"/>
      <c r="F696" s="82"/>
      <c r="G696" s="82"/>
      <c r="H696" s="82"/>
      <c r="I696" s="82"/>
      <c r="J696" s="82"/>
      <c r="K696" s="82"/>
      <c r="L696" s="82"/>
      <c r="M696" s="82"/>
      <c r="N696" s="82"/>
    </row>
    <row r="697" ht="15.75" customHeight="1">
      <c r="A697" s="82"/>
      <c r="B697" s="82"/>
      <c r="C697" s="82"/>
      <c r="D697" s="82"/>
      <c r="F697" s="82"/>
      <c r="G697" s="82"/>
      <c r="H697" s="82"/>
      <c r="I697" s="82"/>
      <c r="J697" s="82"/>
      <c r="K697" s="82"/>
      <c r="L697" s="82"/>
      <c r="M697" s="82"/>
      <c r="N697" s="82"/>
    </row>
    <row r="698" ht="15.75" customHeight="1">
      <c r="A698" s="82"/>
      <c r="B698" s="82"/>
      <c r="C698" s="82"/>
      <c r="D698" s="82"/>
      <c r="F698" s="82"/>
      <c r="G698" s="82"/>
      <c r="H698" s="82"/>
      <c r="I698" s="82"/>
      <c r="J698" s="82"/>
      <c r="K698" s="82"/>
      <c r="L698" s="82"/>
      <c r="M698" s="82"/>
      <c r="N698" s="82"/>
    </row>
    <row r="699" ht="15.75" customHeight="1">
      <c r="A699" s="82"/>
      <c r="B699" s="82"/>
      <c r="C699" s="82"/>
      <c r="D699" s="82"/>
      <c r="F699" s="82"/>
      <c r="G699" s="82"/>
      <c r="H699" s="82"/>
      <c r="I699" s="82"/>
      <c r="J699" s="82"/>
      <c r="K699" s="82"/>
      <c r="L699" s="82"/>
      <c r="M699" s="82"/>
      <c r="N699" s="82"/>
    </row>
    <row r="700" ht="15.75" customHeight="1">
      <c r="A700" s="82"/>
      <c r="B700" s="82"/>
      <c r="C700" s="82"/>
      <c r="D700" s="82"/>
      <c r="F700" s="82"/>
      <c r="G700" s="82"/>
      <c r="H700" s="82"/>
      <c r="I700" s="82"/>
      <c r="J700" s="82"/>
      <c r="K700" s="82"/>
      <c r="L700" s="82"/>
      <c r="M700" s="82"/>
      <c r="N700" s="82"/>
    </row>
    <row r="701" ht="15.75" customHeight="1">
      <c r="A701" s="82"/>
      <c r="B701" s="82"/>
      <c r="C701" s="82"/>
      <c r="D701" s="82"/>
      <c r="F701" s="82"/>
      <c r="G701" s="82"/>
      <c r="H701" s="82"/>
      <c r="I701" s="82"/>
      <c r="J701" s="82"/>
      <c r="K701" s="82"/>
      <c r="L701" s="82"/>
      <c r="M701" s="82"/>
      <c r="N701" s="82"/>
    </row>
    <row r="702" ht="15.75" customHeight="1">
      <c r="A702" s="82"/>
      <c r="B702" s="82"/>
      <c r="C702" s="82"/>
      <c r="D702" s="82"/>
      <c r="F702" s="82"/>
      <c r="G702" s="82"/>
      <c r="H702" s="82"/>
      <c r="I702" s="82"/>
      <c r="J702" s="82"/>
      <c r="K702" s="82"/>
      <c r="L702" s="82"/>
      <c r="M702" s="82"/>
      <c r="N702" s="82"/>
    </row>
    <row r="703" ht="15.75" customHeight="1">
      <c r="A703" s="82"/>
      <c r="B703" s="82"/>
      <c r="C703" s="82"/>
      <c r="D703" s="82"/>
      <c r="F703" s="82"/>
      <c r="G703" s="82"/>
      <c r="H703" s="82"/>
      <c r="I703" s="82"/>
      <c r="J703" s="82"/>
      <c r="K703" s="82"/>
      <c r="L703" s="82"/>
      <c r="M703" s="82"/>
      <c r="N703" s="82"/>
    </row>
    <row r="704" ht="15.75" customHeight="1">
      <c r="A704" s="82"/>
      <c r="B704" s="82"/>
      <c r="C704" s="82"/>
      <c r="D704" s="82"/>
      <c r="F704" s="82"/>
      <c r="G704" s="82"/>
      <c r="H704" s="82"/>
      <c r="I704" s="82"/>
      <c r="J704" s="82"/>
      <c r="K704" s="82"/>
      <c r="L704" s="82"/>
      <c r="M704" s="82"/>
      <c r="N704" s="82"/>
    </row>
    <row r="705" ht="15.75" customHeight="1">
      <c r="A705" s="82"/>
      <c r="B705" s="82"/>
      <c r="C705" s="82"/>
      <c r="D705" s="82"/>
      <c r="F705" s="82"/>
      <c r="G705" s="82"/>
      <c r="H705" s="82"/>
      <c r="I705" s="82"/>
      <c r="J705" s="82"/>
      <c r="K705" s="82"/>
      <c r="L705" s="82"/>
      <c r="M705" s="82"/>
      <c r="N705" s="82"/>
    </row>
    <row r="706" ht="15.75" customHeight="1">
      <c r="A706" s="82"/>
      <c r="B706" s="82"/>
      <c r="C706" s="82"/>
      <c r="D706" s="82"/>
      <c r="F706" s="82"/>
      <c r="G706" s="82"/>
      <c r="H706" s="82"/>
      <c r="I706" s="82"/>
      <c r="J706" s="82"/>
      <c r="K706" s="82"/>
      <c r="L706" s="82"/>
      <c r="M706" s="82"/>
      <c r="N706" s="82"/>
    </row>
    <row r="707" ht="15.75" customHeight="1">
      <c r="A707" s="82"/>
      <c r="B707" s="82"/>
      <c r="C707" s="82"/>
      <c r="D707" s="82"/>
      <c r="F707" s="82"/>
      <c r="G707" s="82"/>
      <c r="H707" s="82"/>
      <c r="I707" s="82"/>
      <c r="J707" s="82"/>
      <c r="K707" s="82"/>
      <c r="L707" s="82"/>
      <c r="M707" s="82"/>
      <c r="N707" s="82"/>
    </row>
    <row r="708" ht="15.75" customHeight="1">
      <c r="A708" s="82"/>
      <c r="B708" s="82"/>
      <c r="C708" s="82"/>
      <c r="D708" s="82"/>
      <c r="F708" s="82"/>
      <c r="G708" s="82"/>
      <c r="H708" s="82"/>
      <c r="I708" s="82"/>
      <c r="J708" s="82"/>
      <c r="K708" s="82"/>
      <c r="L708" s="82"/>
      <c r="M708" s="82"/>
      <c r="N708" s="82"/>
    </row>
    <row r="709" ht="15.75" customHeight="1">
      <c r="A709" s="82"/>
      <c r="B709" s="82"/>
      <c r="C709" s="82"/>
      <c r="D709" s="82"/>
      <c r="F709" s="82"/>
      <c r="G709" s="82"/>
      <c r="H709" s="82"/>
      <c r="I709" s="82"/>
      <c r="J709" s="82"/>
      <c r="K709" s="82"/>
      <c r="L709" s="82"/>
      <c r="M709" s="82"/>
      <c r="N709" s="82"/>
    </row>
    <row r="710" ht="15.75" customHeight="1">
      <c r="A710" s="82"/>
      <c r="B710" s="82"/>
      <c r="C710" s="82"/>
      <c r="D710" s="82"/>
      <c r="F710" s="82"/>
      <c r="G710" s="82"/>
      <c r="H710" s="82"/>
      <c r="I710" s="82"/>
      <c r="J710" s="82"/>
      <c r="K710" s="82"/>
      <c r="L710" s="82"/>
      <c r="M710" s="82"/>
      <c r="N710" s="82"/>
    </row>
    <row r="711" ht="15.75" customHeight="1">
      <c r="A711" s="82"/>
      <c r="B711" s="82"/>
      <c r="C711" s="82"/>
      <c r="D711" s="82"/>
      <c r="F711" s="82"/>
      <c r="G711" s="82"/>
      <c r="H711" s="82"/>
      <c r="I711" s="82"/>
      <c r="J711" s="82"/>
      <c r="K711" s="82"/>
      <c r="L711" s="82"/>
      <c r="M711" s="82"/>
      <c r="N711" s="82"/>
    </row>
    <row r="712" ht="15.75" customHeight="1">
      <c r="A712" s="82"/>
      <c r="B712" s="82"/>
      <c r="C712" s="82"/>
      <c r="D712" s="82"/>
      <c r="F712" s="82"/>
      <c r="G712" s="82"/>
      <c r="H712" s="82"/>
      <c r="I712" s="82"/>
      <c r="J712" s="82"/>
      <c r="K712" s="82"/>
      <c r="L712" s="82"/>
      <c r="M712" s="82"/>
      <c r="N712" s="82"/>
    </row>
    <row r="713" ht="15.75" customHeight="1">
      <c r="A713" s="82"/>
      <c r="B713" s="82"/>
      <c r="C713" s="82"/>
      <c r="D713" s="82"/>
      <c r="F713" s="82"/>
      <c r="G713" s="82"/>
      <c r="H713" s="82"/>
      <c r="I713" s="82"/>
      <c r="J713" s="82"/>
      <c r="K713" s="82"/>
      <c r="L713" s="82"/>
      <c r="M713" s="82"/>
      <c r="N713" s="82"/>
    </row>
    <row r="714" ht="15.75" customHeight="1">
      <c r="A714" s="82"/>
      <c r="B714" s="82"/>
      <c r="C714" s="82"/>
      <c r="D714" s="82"/>
      <c r="F714" s="82"/>
      <c r="G714" s="82"/>
      <c r="H714" s="82"/>
      <c r="I714" s="82"/>
      <c r="J714" s="82"/>
      <c r="K714" s="82"/>
      <c r="L714" s="82"/>
      <c r="M714" s="82"/>
      <c r="N714" s="82"/>
    </row>
    <row r="715" ht="15.75" customHeight="1">
      <c r="A715" s="82"/>
      <c r="B715" s="82"/>
      <c r="C715" s="82"/>
      <c r="D715" s="82"/>
      <c r="F715" s="82"/>
      <c r="G715" s="82"/>
      <c r="H715" s="82"/>
      <c r="I715" s="82"/>
      <c r="J715" s="82"/>
      <c r="K715" s="82"/>
      <c r="L715" s="82"/>
      <c r="M715" s="82"/>
      <c r="N715" s="82"/>
    </row>
    <row r="716" ht="15.75" customHeight="1">
      <c r="A716" s="82"/>
      <c r="B716" s="82"/>
      <c r="C716" s="82"/>
      <c r="D716" s="82"/>
      <c r="F716" s="82"/>
      <c r="G716" s="82"/>
      <c r="H716" s="82"/>
      <c r="I716" s="82"/>
      <c r="J716" s="82"/>
      <c r="K716" s="82"/>
      <c r="L716" s="82"/>
      <c r="M716" s="82"/>
      <c r="N716" s="82"/>
    </row>
    <row r="717" ht="15.75" customHeight="1">
      <c r="A717" s="82"/>
      <c r="B717" s="82"/>
      <c r="C717" s="82"/>
      <c r="D717" s="82"/>
      <c r="F717" s="82"/>
      <c r="G717" s="82"/>
      <c r="H717" s="82"/>
      <c r="I717" s="82"/>
      <c r="J717" s="82"/>
      <c r="K717" s="82"/>
      <c r="L717" s="82"/>
      <c r="M717" s="82"/>
      <c r="N717" s="82"/>
    </row>
    <row r="718" ht="15.75" customHeight="1">
      <c r="A718" s="82"/>
      <c r="B718" s="82"/>
      <c r="C718" s="82"/>
      <c r="D718" s="82"/>
      <c r="F718" s="82"/>
      <c r="G718" s="82"/>
      <c r="H718" s="82"/>
      <c r="I718" s="82"/>
      <c r="J718" s="82"/>
      <c r="K718" s="82"/>
      <c r="L718" s="82"/>
      <c r="M718" s="82"/>
      <c r="N718" s="82"/>
    </row>
    <row r="719" ht="15.75" customHeight="1">
      <c r="A719" s="82"/>
      <c r="B719" s="82"/>
      <c r="C719" s="82"/>
      <c r="D719" s="82"/>
      <c r="F719" s="82"/>
      <c r="G719" s="82"/>
      <c r="H719" s="82"/>
      <c r="I719" s="82"/>
      <c r="J719" s="82"/>
      <c r="K719" s="82"/>
      <c r="L719" s="82"/>
      <c r="M719" s="82"/>
      <c r="N719" s="82"/>
    </row>
    <row r="720" ht="15.75" customHeight="1">
      <c r="A720" s="82"/>
      <c r="B720" s="82"/>
      <c r="C720" s="82"/>
      <c r="D720" s="82"/>
      <c r="F720" s="82"/>
      <c r="G720" s="82"/>
      <c r="H720" s="82"/>
      <c r="I720" s="82"/>
      <c r="J720" s="82"/>
      <c r="K720" s="82"/>
      <c r="L720" s="82"/>
      <c r="M720" s="82"/>
      <c r="N720" s="82"/>
    </row>
    <row r="721" ht="15.75" customHeight="1">
      <c r="A721" s="82"/>
      <c r="B721" s="82"/>
      <c r="C721" s="82"/>
      <c r="D721" s="82"/>
      <c r="F721" s="82"/>
      <c r="G721" s="82"/>
      <c r="H721" s="82"/>
      <c r="I721" s="82"/>
      <c r="J721" s="82"/>
      <c r="K721" s="82"/>
      <c r="L721" s="82"/>
      <c r="M721" s="82"/>
      <c r="N721" s="82"/>
    </row>
    <row r="722" ht="15.75" customHeight="1">
      <c r="A722" s="82"/>
      <c r="B722" s="82"/>
      <c r="C722" s="82"/>
      <c r="D722" s="82"/>
      <c r="F722" s="82"/>
      <c r="G722" s="82"/>
      <c r="H722" s="82"/>
      <c r="I722" s="82"/>
      <c r="J722" s="82"/>
      <c r="K722" s="82"/>
      <c r="L722" s="82"/>
      <c r="M722" s="82"/>
      <c r="N722" s="82"/>
    </row>
    <row r="723" ht="15.75" customHeight="1">
      <c r="A723" s="82"/>
      <c r="B723" s="82"/>
      <c r="C723" s="82"/>
      <c r="D723" s="82"/>
      <c r="F723" s="82"/>
      <c r="G723" s="82"/>
      <c r="H723" s="82"/>
      <c r="I723" s="82"/>
      <c r="J723" s="82"/>
      <c r="K723" s="82"/>
      <c r="L723" s="82"/>
      <c r="M723" s="82"/>
      <c r="N723" s="82"/>
    </row>
    <row r="724" ht="15.75" customHeight="1">
      <c r="A724" s="82"/>
      <c r="B724" s="82"/>
      <c r="C724" s="82"/>
      <c r="D724" s="82"/>
      <c r="F724" s="82"/>
      <c r="G724" s="82"/>
      <c r="H724" s="82"/>
      <c r="I724" s="82"/>
      <c r="J724" s="82"/>
      <c r="K724" s="82"/>
      <c r="L724" s="82"/>
      <c r="M724" s="82"/>
      <c r="N724" s="82"/>
    </row>
    <row r="725" ht="15.75" customHeight="1">
      <c r="A725" s="82"/>
      <c r="B725" s="82"/>
      <c r="C725" s="82"/>
      <c r="D725" s="82"/>
      <c r="F725" s="82"/>
      <c r="G725" s="82"/>
      <c r="H725" s="82"/>
      <c r="I725" s="82"/>
      <c r="J725" s="82"/>
      <c r="K725" s="82"/>
      <c r="L725" s="82"/>
      <c r="M725" s="82"/>
      <c r="N725" s="82"/>
    </row>
    <row r="726" ht="15.75" customHeight="1">
      <c r="A726" s="82"/>
      <c r="B726" s="82"/>
      <c r="C726" s="82"/>
      <c r="D726" s="82"/>
      <c r="F726" s="82"/>
      <c r="G726" s="82"/>
      <c r="H726" s="82"/>
      <c r="I726" s="82"/>
      <c r="J726" s="82"/>
      <c r="K726" s="82"/>
      <c r="L726" s="82"/>
      <c r="M726" s="82"/>
      <c r="N726" s="82"/>
    </row>
    <row r="727" ht="15.75" customHeight="1">
      <c r="A727" s="82"/>
      <c r="B727" s="82"/>
      <c r="C727" s="82"/>
      <c r="D727" s="82"/>
      <c r="F727" s="82"/>
      <c r="G727" s="82"/>
      <c r="H727" s="82"/>
      <c r="I727" s="82"/>
      <c r="J727" s="82"/>
      <c r="K727" s="82"/>
      <c r="L727" s="82"/>
      <c r="M727" s="82"/>
      <c r="N727" s="82"/>
    </row>
    <row r="728" ht="15.75" customHeight="1">
      <c r="A728" s="82"/>
      <c r="B728" s="82"/>
      <c r="C728" s="82"/>
      <c r="D728" s="82"/>
      <c r="F728" s="82"/>
      <c r="G728" s="82"/>
      <c r="H728" s="82"/>
      <c r="I728" s="82"/>
      <c r="J728" s="82"/>
      <c r="K728" s="82"/>
      <c r="L728" s="82"/>
      <c r="M728" s="82"/>
      <c r="N728" s="82"/>
    </row>
    <row r="729" ht="15.75" customHeight="1">
      <c r="A729" s="82"/>
      <c r="B729" s="82"/>
      <c r="C729" s="82"/>
      <c r="D729" s="82"/>
      <c r="F729" s="82"/>
      <c r="G729" s="82"/>
      <c r="H729" s="82"/>
      <c r="I729" s="82"/>
      <c r="J729" s="82"/>
      <c r="K729" s="82"/>
      <c r="L729" s="82"/>
      <c r="M729" s="82"/>
      <c r="N729" s="82"/>
    </row>
    <row r="730" ht="15.75" customHeight="1">
      <c r="A730" s="82"/>
      <c r="B730" s="82"/>
      <c r="C730" s="82"/>
      <c r="D730" s="82"/>
      <c r="F730" s="82"/>
      <c r="G730" s="82"/>
      <c r="H730" s="82"/>
      <c r="I730" s="82"/>
      <c r="J730" s="82"/>
      <c r="K730" s="82"/>
      <c r="L730" s="82"/>
      <c r="M730" s="82"/>
      <c r="N730" s="82"/>
    </row>
    <row r="731" ht="15.75" customHeight="1">
      <c r="A731" s="82"/>
      <c r="B731" s="82"/>
      <c r="C731" s="82"/>
      <c r="D731" s="82"/>
      <c r="F731" s="82"/>
      <c r="G731" s="82"/>
      <c r="H731" s="82"/>
      <c r="I731" s="82"/>
      <c r="J731" s="82"/>
      <c r="K731" s="82"/>
      <c r="L731" s="82"/>
      <c r="M731" s="82"/>
      <c r="N731" s="82"/>
    </row>
    <row r="732" ht="15.75" customHeight="1">
      <c r="A732" s="82"/>
      <c r="B732" s="82"/>
      <c r="C732" s="82"/>
      <c r="D732" s="82"/>
      <c r="F732" s="82"/>
      <c r="G732" s="82"/>
      <c r="H732" s="82"/>
      <c r="I732" s="82"/>
      <c r="J732" s="82"/>
      <c r="K732" s="82"/>
      <c r="L732" s="82"/>
      <c r="M732" s="82"/>
      <c r="N732" s="82"/>
    </row>
    <row r="733" ht="15.75" customHeight="1">
      <c r="A733" s="82"/>
      <c r="B733" s="82"/>
      <c r="C733" s="82"/>
      <c r="D733" s="82"/>
      <c r="F733" s="82"/>
      <c r="G733" s="82"/>
      <c r="H733" s="82"/>
      <c r="I733" s="82"/>
      <c r="J733" s="82"/>
      <c r="K733" s="82"/>
      <c r="L733" s="82"/>
      <c r="M733" s="82"/>
      <c r="N733" s="82"/>
    </row>
    <row r="734" ht="15.75" customHeight="1">
      <c r="A734" s="82"/>
      <c r="B734" s="82"/>
      <c r="C734" s="82"/>
      <c r="D734" s="82"/>
      <c r="F734" s="82"/>
      <c r="G734" s="82"/>
      <c r="H734" s="82"/>
      <c r="I734" s="82"/>
      <c r="J734" s="82"/>
      <c r="K734" s="82"/>
      <c r="L734" s="82"/>
      <c r="M734" s="82"/>
      <c r="N734" s="82"/>
    </row>
    <row r="735" ht="15.75" customHeight="1">
      <c r="A735" s="82"/>
      <c r="B735" s="82"/>
      <c r="C735" s="82"/>
      <c r="D735" s="82"/>
      <c r="F735" s="82"/>
      <c r="G735" s="82"/>
      <c r="H735" s="82"/>
      <c r="I735" s="82"/>
      <c r="J735" s="82"/>
      <c r="K735" s="82"/>
      <c r="L735" s="82"/>
      <c r="M735" s="82"/>
      <c r="N735" s="82"/>
    </row>
    <row r="736" ht="15.75" customHeight="1">
      <c r="A736" s="82"/>
      <c r="B736" s="82"/>
      <c r="C736" s="82"/>
      <c r="D736" s="82"/>
      <c r="F736" s="82"/>
      <c r="G736" s="82"/>
      <c r="H736" s="82"/>
      <c r="I736" s="82"/>
      <c r="J736" s="82"/>
      <c r="K736" s="82"/>
      <c r="L736" s="82"/>
      <c r="M736" s="82"/>
      <c r="N736" s="82"/>
    </row>
    <row r="737" ht="15.75" customHeight="1">
      <c r="A737" s="82"/>
      <c r="B737" s="82"/>
      <c r="C737" s="82"/>
      <c r="D737" s="82"/>
      <c r="F737" s="82"/>
      <c r="G737" s="82"/>
      <c r="H737" s="82"/>
      <c r="I737" s="82"/>
      <c r="J737" s="82"/>
      <c r="K737" s="82"/>
      <c r="L737" s="82"/>
      <c r="M737" s="82"/>
      <c r="N737" s="82"/>
    </row>
    <row r="738" ht="15.75" customHeight="1">
      <c r="A738" s="82"/>
      <c r="B738" s="82"/>
      <c r="C738" s="82"/>
      <c r="D738" s="82"/>
      <c r="F738" s="82"/>
      <c r="G738" s="82"/>
      <c r="H738" s="82"/>
      <c r="I738" s="82"/>
      <c r="J738" s="82"/>
      <c r="K738" s="82"/>
      <c r="L738" s="82"/>
      <c r="M738" s="82"/>
      <c r="N738" s="82"/>
    </row>
    <row r="739" ht="15.75" customHeight="1">
      <c r="A739" s="82"/>
      <c r="B739" s="82"/>
      <c r="C739" s="82"/>
      <c r="D739" s="82"/>
      <c r="F739" s="82"/>
      <c r="G739" s="82"/>
      <c r="H739" s="82"/>
      <c r="I739" s="82"/>
      <c r="J739" s="82"/>
      <c r="K739" s="82"/>
      <c r="L739" s="82"/>
      <c r="M739" s="82"/>
      <c r="N739" s="82"/>
    </row>
    <row r="740" ht="15.75" customHeight="1">
      <c r="A740" s="82"/>
      <c r="B740" s="82"/>
      <c r="C740" s="82"/>
      <c r="D740" s="82"/>
      <c r="F740" s="82"/>
      <c r="G740" s="82"/>
      <c r="H740" s="82"/>
      <c r="I740" s="82"/>
      <c r="J740" s="82"/>
      <c r="K740" s="82"/>
      <c r="L740" s="82"/>
      <c r="M740" s="82"/>
      <c r="N740" s="82"/>
    </row>
    <row r="741" ht="15.75" customHeight="1">
      <c r="A741" s="82"/>
      <c r="B741" s="82"/>
      <c r="C741" s="82"/>
      <c r="D741" s="82"/>
      <c r="F741" s="82"/>
      <c r="G741" s="82"/>
      <c r="H741" s="82"/>
      <c r="I741" s="82"/>
      <c r="J741" s="82"/>
      <c r="K741" s="82"/>
      <c r="L741" s="82"/>
      <c r="M741" s="82"/>
      <c r="N741" s="82"/>
    </row>
    <row r="742" ht="15.75" customHeight="1">
      <c r="A742" s="82"/>
      <c r="B742" s="82"/>
      <c r="C742" s="82"/>
      <c r="D742" s="82"/>
      <c r="F742" s="82"/>
      <c r="G742" s="82"/>
      <c r="H742" s="82"/>
      <c r="I742" s="82"/>
      <c r="J742" s="82"/>
      <c r="K742" s="82"/>
      <c r="L742" s="82"/>
      <c r="M742" s="82"/>
      <c r="N742" s="82"/>
    </row>
    <row r="743" ht="15.75" customHeight="1">
      <c r="A743" s="82"/>
      <c r="B743" s="82"/>
      <c r="C743" s="82"/>
      <c r="D743" s="82"/>
      <c r="F743" s="82"/>
      <c r="G743" s="82"/>
      <c r="H743" s="82"/>
      <c r="I743" s="82"/>
      <c r="J743" s="82"/>
      <c r="K743" s="82"/>
      <c r="L743" s="82"/>
      <c r="M743" s="82"/>
      <c r="N743" s="82"/>
    </row>
    <row r="744" ht="15.75" customHeight="1">
      <c r="A744" s="82"/>
      <c r="B744" s="82"/>
      <c r="C744" s="82"/>
      <c r="D744" s="82"/>
      <c r="F744" s="82"/>
      <c r="G744" s="82"/>
      <c r="H744" s="82"/>
      <c r="I744" s="82"/>
      <c r="J744" s="82"/>
      <c r="K744" s="82"/>
      <c r="L744" s="82"/>
      <c r="M744" s="82"/>
      <c r="N744" s="82"/>
    </row>
    <row r="745" ht="15.75" customHeight="1">
      <c r="A745" s="82"/>
      <c r="B745" s="82"/>
      <c r="C745" s="82"/>
      <c r="D745" s="82"/>
      <c r="F745" s="82"/>
      <c r="G745" s="82"/>
      <c r="H745" s="82"/>
      <c r="I745" s="82"/>
      <c r="J745" s="82"/>
      <c r="K745" s="82"/>
      <c r="L745" s="82"/>
      <c r="M745" s="82"/>
      <c r="N745" s="82"/>
    </row>
    <row r="746" ht="15.75" customHeight="1">
      <c r="A746" s="82"/>
      <c r="B746" s="82"/>
      <c r="C746" s="82"/>
      <c r="D746" s="82"/>
      <c r="F746" s="82"/>
      <c r="G746" s="82"/>
      <c r="H746" s="82"/>
      <c r="I746" s="82"/>
      <c r="J746" s="82"/>
      <c r="K746" s="82"/>
      <c r="L746" s="82"/>
      <c r="M746" s="82"/>
      <c r="N746" s="82"/>
    </row>
    <row r="747" ht="15.75" customHeight="1">
      <c r="A747" s="82"/>
      <c r="B747" s="82"/>
      <c r="C747" s="82"/>
      <c r="D747" s="82"/>
      <c r="F747" s="82"/>
      <c r="G747" s="82"/>
      <c r="H747" s="82"/>
      <c r="I747" s="82"/>
      <c r="J747" s="82"/>
      <c r="K747" s="82"/>
      <c r="L747" s="82"/>
      <c r="M747" s="82"/>
      <c r="N747" s="82"/>
    </row>
    <row r="748" ht="15.75" customHeight="1">
      <c r="A748" s="82"/>
      <c r="B748" s="82"/>
      <c r="C748" s="82"/>
      <c r="D748" s="82"/>
      <c r="F748" s="82"/>
      <c r="G748" s="82"/>
      <c r="H748" s="82"/>
      <c r="I748" s="82"/>
      <c r="J748" s="82"/>
      <c r="K748" s="82"/>
      <c r="L748" s="82"/>
      <c r="M748" s="82"/>
      <c r="N748" s="82"/>
    </row>
    <row r="749" ht="15.75" customHeight="1">
      <c r="A749" s="82"/>
      <c r="B749" s="82"/>
      <c r="C749" s="82"/>
      <c r="D749" s="82"/>
      <c r="F749" s="82"/>
      <c r="G749" s="82"/>
      <c r="H749" s="82"/>
      <c r="I749" s="82"/>
      <c r="J749" s="82"/>
      <c r="K749" s="82"/>
      <c r="L749" s="82"/>
      <c r="M749" s="82"/>
      <c r="N749" s="82"/>
    </row>
    <row r="750" ht="15.75" customHeight="1">
      <c r="A750" s="82"/>
      <c r="B750" s="82"/>
      <c r="C750" s="82"/>
      <c r="D750" s="82"/>
      <c r="F750" s="82"/>
      <c r="G750" s="82"/>
      <c r="H750" s="82"/>
      <c r="I750" s="82"/>
      <c r="J750" s="82"/>
      <c r="K750" s="82"/>
      <c r="L750" s="82"/>
      <c r="M750" s="82"/>
      <c r="N750" s="82"/>
    </row>
    <row r="751" ht="15.75" customHeight="1">
      <c r="A751" s="82"/>
      <c r="B751" s="82"/>
      <c r="C751" s="82"/>
      <c r="D751" s="82"/>
      <c r="F751" s="82"/>
      <c r="G751" s="82"/>
      <c r="H751" s="82"/>
      <c r="I751" s="82"/>
      <c r="J751" s="82"/>
      <c r="K751" s="82"/>
      <c r="L751" s="82"/>
      <c r="M751" s="82"/>
      <c r="N751" s="82"/>
    </row>
    <row r="752" ht="15.75" customHeight="1">
      <c r="A752" s="82"/>
      <c r="B752" s="82"/>
      <c r="C752" s="82"/>
      <c r="D752" s="82"/>
      <c r="F752" s="82"/>
      <c r="G752" s="82"/>
      <c r="H752" s="82"/>
      <c r="I752" s="82"/>
      <c r="J752" s="82"/>
      <c r="K752" s="82"/>
      <c r="L752" s="82"/>
      <c r="M752" s="82"/>
      <c r="N752" s="82"/>
    </row>
    <row r="753" ht="15.75" customHeight="1">
      <c r="A753" s="82"/>
      <c r="B753" s="82"/>
      <c r="C753" s="82"/>
      <c r="D753" s="82"/>
      <c r="F753" s="82"/>
      <c r="G753" s="82"/>
      <c r="H753" s="82"/>
      <c r="I753" s="82"/>
      <c r="J753" s="82"/>
      <c r="K753" s="82"/>
      <c r="L753" s="82"/>
      <c r="M753" s="82"/>
      <c r="N753" s="82"/>
    </row>
    <row r="754" ht="15.75" customHeight="1">
      <c r="A754" s="82"/>
      <c r="B754" s="82"/>
      <c r="C754" s="82"/>
      <c r="D754" s="82"/>
      <c r="F754" s="82"/>
      <c r="G754" s="82"/>
      <c r="H754" s="82"/>
      <c r="I754" s="82"/>
      <c r="J754" s="82"/>
      <c r="K754" s="82"/>
      <c r="L754" s="82"/>
      <c r="M754" s="82"/>
      <c r="N754" s="82"/>
    </row>
    <row r="755" ht="15.75" customHeight="1">
      <c r="A755" s="82"/>
      <c r="B755" s="82"/>
      <c r="C755" s="82"/>
      <c r="D755" s="82"/>
      <c r="F755" s="82"/>
      <c r="G755" s="82"/>
      <c r="H755" s="82"/>
      <c r="I755" s="82"/>
      <c r="J755" s="82"/>
      <c r="K755" s="82"/>
      <c r="L755" s="82"/>
      <c r="M755" s="82"/>
      <c r="N755" s="82"/>
    </row>
    <row r="756" ht="15.75" customHeight="1">
      <c r="A756" s="82"/>
      <c r="B756" s="82"/>
      <c r="C756" s="82"/>
      <c r="D756" s="82"/>
      <c r="F756" s="82"/>
      <c r="G756" s="82"/>
      <c r="H756" s="82"/>
      <c r="I756" s="82"/>
      <c r="J756" s="82"/>
      <c r="K756" s="82"/>
      <c r="L756" s="82"/>
      <c r="M756" s="82"/>
      <c r="N756" s="82"/>
    </row>
    <row r="757" ht="15.75" customHeight="1">
      <c r="A757" s="82"/>
      <c r="B757" s="82"/>
      <c r="C757" s="82"/>
      <c r="D757" s="82"/>
      <c r="F757" s="82"/>
      <c r="G757" s="82"/>
      <c r="H757" s="82"/>
      <c r="I757" s="82"/>
      <c r="J757" s="82"/>
      <c r="K757" s="82"/>
      <c r="L757" s="82"/>
      <c r="M757" s="82"/>
      <c r="N757" s="82"/>
    </row>
    <row r="758" ht="15.75" customHeight="1">
      <c r="A758" s="82"/>
      <c r="B758" s="82"/>
      <c r="C758" s="82"/>
      <c r="D758" s="82"/>
      <c r="F758" s="82"/>
      <c r="G758" s="82"/>
      <c r="H758" s="82"/>
      <c r="I758" s="82"/>
      <c r="J758" s="82"/>
      <c r="K758" s="82"/>
      <c r="L758" s="82"/>
      <c r="M758" s="82"/>
      <c r="N758" s="82"/>
    </row>
    <row r="759" ht="15.75" customHeight="1">
      <c r="A759" s="82"/>
      <c r="B759" s="82"/>
      <c r="C759" s="82"/>
      <c r="D759" s="82"/>
      <c r="F759" s="82"/>
      <c r="G759" s="82"/>
      <c r="H759" s="82"/>
      <c r="I759" s="82"/>
      <c r="J759" s="82"/>
      <c r="K759" s="82"/>
      <c r="L759" s="82"/>
      <c r="M759" s="82"/>
      <c r="N759" s="82"/>
    </row>
    <row r="760" ht="15.75" customHeight="1">
      <c r="A760" s="82"/>
      <c r="B760" s="82"/>
      <c r="C760" s="82"/>
      <c r="D760" s="82"/>
      <c r="F760" s="82"/>
      <c r="G760" s="82"/>
      <c r="H760" s="82"/>
      <c r="I760" s="82"/>
      <c r="J760" s="82"/>
      <c r="K760" s="82"/>
      <c r="L760" s="82"/>
      <c r="M760" s="82"/>
      <c r="N760" s="82"/>
    </row>
    <row r="761" ht="15.75" customHeight="1">
      <c r="A761" s="82"/>
      <c r="B761" s="82"/>
      <c r="C761" s="82"/>
      <c r="D761" s="82"/>
      <c r="F761" s="82"/>
      <c r="G761" s="82"/>
      <c r="H761" s="82"/>
      <c r="I761" s="82"/>
      <c r="J761" s="82"/>
      <c r="K761" s="82"/>
      <c r="L761" s="82"/>
      <c r="M761" s="82"/>
      <c r="N761" s="82"/>
    </row>
    <row r="762" ht="15.75" customHeight="1">
      <c r="A762" s="82"/>
      <c r="B762" s="82"/>
      <c r="C762" s="82"/>
      <c r="D762" s="82"/>
      <c r="F762" s="82"/>
      <c r="G762" s="82"/>
      <c r="H762" s="82"/>
      <c r="I762" s="82"/>
      <c r="J762" s="82"/>
      <c r="K762" s="82"/>
      <c r="L762" s="82"/>
      <c r="M762" s="82"/>
      <c r="N762" s="82"/>
    </row>
    <row r="763" ht="15.75" customHeight="1">
      <c r="A763" s="82"/>
      <c r="B763" s="82"/>
      <c r="C763" s="82"/>
      <c r="D763" s="82"/>
      <c r="F763" s="82"/>
      <c r="G763" s="82"/>
      <c r="H763" s="82"/>
      <c r="I763" s="82"/>
      <c r="J763" s="82"/>
      <c r="K763" s="82"/>
      <c r="L763" s="82"/>
      <c r="M763" s="82"/>
      <c r="N763" s="82"/>
    </row>
    <row r="764" ht="15.75" customHeight="1">
      <c r="A764" s="82"/>
      <c r="B764" s="82"/>
      <c r="C764" s="82"/>
      <c r="D764" s="82"/>
      <c r="F764" s="82"/>
      <c r="G764" s="82"/>
      <c r="H764" s="82"/>
      <c r="I764" s="82"/>
      <c r="J764" s="82"/>
      <c r="K764" s="82"/>
      <c r="L764" s="82"/>
      <c r="M764" s="82"/>
      <c r="N764" s="82"/>
    </row>
    <row r="765" ht="15.75" customHeight="1">
      <c r="A765" s="82"/>
      <c r="B765" s="82"/>
      <c r="C765" s="82"/>
      <c r="D765" s="82"/>
      <c r="F765" s="82"/>
      <c r="G765" s="82"/>
      <c r="H765" s="82"/>
      <c r="I765" s="82"/>
      <c r="J765" s="82"/>
      <c r="K765" s="82"/>
      <c r="L765" s="82"/>
      <c r="M765" s="82"/>
      <c r="N765" s="82"/>
    </row>
    <row r="766" ht="15.75" customHeight="1">
      <c r="A766" s="82"/>
      <c r="B766" s="82"/>
      <c r="C766" s="82"/>
      <c r="D766" s="82"/>
      <c r="F766" s="82"/>
      <c r="G766" s="82"/>
      <c r="H766" s="82"/>
      <c r="I766" s="82"/>
      <c r="J766" s="82"/>
      <c r="K766" s="82"/>
      <c r="L766" s="82"/>
      <c r="M766" s="82"/>
      <c r="N766" s="82"/>
    </row>
    <row r="767" ht="15.75" customHeight="1">
      <c r="A767" s="82"/>
      <c r="B767" s="82"/>
      <c r="C767" s="82"/>
      <c r="D767" s="82"/>
      <c r="F767" s="82"/>
      <c r="G767" s="82"/>
      <c r="H767" s="82"/>
      <c r="I767" s="82"/>
      <c r="J767" s="82"/>
      <c r="K767" s="82"/>
      <c r="L767" s="82"/>
      <c r="M767" s="82"/>
      <c r="N767" s="82"/>
    </row>
    <row r="768" ht="15.75" customHeight="1">
      <c r="A768" s="82"/>
      <c r="B768" s="82"/>
      <c r="C768" s="82"/>
      <c r="D768" s="82"/>
      <c r="F768" s="82"/>
      <c r="G768" s="82"/>
      <c r="H768" s="82"/>
      <c r="I768" s="82"/>
      <c r="J768" s="82"/>
      <c r="K768" s="82"/>
      <c r="L768" s="82"/>
      <c r="M768" s="82"/>
      <c r="N768" s="82"/>
    </row>
    <row r="769" ht="15.75" customHeight="1">
      <c r="A769" s="82"/>
      <c r="B769" s="82"/>
      <c r="C769" s="82"/>
      <c r="D769" s="82"/>
      <c r="F769" s="82"/>
      <c r="G769" s="82"/>
      <c r="H769" s="82"/>
      <c r="I769" s="82"/>
      <c r="J769" s="82"/>
      <c r="K769" s="82"/>
      <c r="L769" s="82"/>
      <c r="M769" s="82"/>
      <c r="N769" s="82"/>
    </row>
    <row r="770" ht="15.75" customHeight="1">
      <c r="A770" s="82"/>
      <c r="B770" s="82"/>
      <c r="C770" s="82"/>
      <c r="D770" s="82"/>
      <c r="F770" s="82"/>
      <c r="G770" s="82"/>
      <c r="H770" s="82"/>
      <c r="I770" s="82"/>
      <c r="J770" s="82"/>
      <c r="K770" s="82"/>
      <c r="L770" s="82"/>
      <c r="M770" s="82"/>
      <c r="N770" s="82"/>
    </row>
    <row r="771" ht="15.75" customHeight="1">
      <c r="A771" s="82"/>
      <c r="B771" s="82"/>
      <c r="C771" s="82"/>
      <c r="D771" s="82"/>
      <c r="F771" s="82"/>
      <c r="G771" s="82"/>
      <c r="H771" s="82"/>
      <c r="I771" s="82"/>
      <c r="J771" s="82"/>
      <c r="K771" s="82"/>
      <c r="L771" s="82"/>
      <c r="M771" s="82"/>
      <c r="N771" s="82"/>
    </row>
    <row r="772" ht="15.75" customHeight="1">
      <c r="A772" s="82"/>
      <c r="B772" s="82"/>
      <c r="C772" s="82"/>
      <c r="D772" s="82"/>
      <c r="F772" s="82"/>
      <c r="G772" s="82"/>
      <c r="H772" s="82"/>
      <c r="I772" s="82"/>
      <c r="J772" s="82"/>
      <c r="K772" s="82"/>
      <c r="L772" s="82"/>
      <c r="M772" s="82"/>
      <c r="N772" s="82"/>
    </row>
    <row r="773" ht="15.75" customHeight="1">
      <c r="A773" s="82"/>
      <c r="B773" s="82"/>
      <c r="C773" s="82"/>
      <c r="D773" s="82"/>
      <c r="F773" s="82"/>
      <c r="G773" s="82"/>
      <c r="H773" s="82"/>
      <c r="I773" s="82"/>
      <c r="J773" s="82"/>
      <c r="K773" s="82"/>
      <c r="L773" s="82"/>
      <c r="M773" s="82"/>
      <c r="N773" s="82"/>
    </row>
    <row r="774" ht="15.75" customHeight="1">
      <c r="A774" s="82"/>
      <c r="B774" s="82"/>
      <c r="C774" s="82"/>
      <c r="D774" s="82"/>
      <c r="F774" s="82"/>
      <c r="G774" s="82"/>
      <c r="H774" s="82"/>
      <c r="I774" s="82"/>
      <c r="J774" s="82"/>
      <c r="K774" s="82"/>
      <c r="L774" s="82"/>
      <c r="M774" s="82"/>
      <c r="N774" s="82"/>
    </row>
    <row r="775" ht="15.75" customHeight="1">
      <c r="A775" s="82"/>
      <c r="B775" s="82"/>
      <c r="C775" s="82"/>
      <c r="D775" s="82"/>
      <c r="F775" s="82"/>
      <c r="G775" s="82"/>
      <c r="H775" s="82"/>
      <c r="I775" s="82"/>
      <c r="J775" s="82"/>
      <c r="K775" s="82"/>
      <c r="L775" s="82"/>
      <c r="M775" s="82"/>
      <c r="N775" s="82"/>
    </row>
    <row r="776" ht="15.75" customHeight="1">
      <c r="A776" s="82"/>
      <c r="B776" s="82"/>
      <c r="C776" s="82"/>
      <c r="D776" s="82"/>
      <c r="F776" s="82"/>
      <c r="G776" s="82"/>
      <c r="H776" s="82"/>
      <c r="I776" s="82"/>
      <c r="J776" s="82"/>
      <c r="K776" s="82"/>
      <c r="L776" s="82"/>
      <c r="M776" s="82"/>
      <c r="N776" s="82"/>
    </row>
    <row r="777" ht="15.75" customHeight="1">
      <c r="A777" s="82"/>
      <c r="B777" s="82"/>
      <c r="C777" s="82"/>
      <c r="D777" s="82"/>
      <c r="F777" s="82"/>
      <c r="G777" s="82"/>
      <c r="H777" s="82"/>
      <c r="I777" s="82"/>
      <c r="J777" s="82"/>
      <c r="K777" s="82"/>
      <c r="L777" s="82"/>
      <c r="M777" s="82"/>
      <c r="N777" s="82"/>
    </row>
    <row r="778" ht="15.75" customHeight="1">
      <c r="A778" s="82"/>
      <c r="B778" s="82"/>
      <c r="C778" s="82"/>
      <c r="D778" s="82"/>
      <c r="F778" s="82"/>
      <c r="G778" s="82"/>
      <c r="H778" s="82"/>
      <c r="I778" s="82"/>
      <c r="J778" s="82"/>
      <c r="K778" s="82"/>
      <c r="L778" s="82"/>
      <c r="M778" s="82"/>
      <c r="N778" s="82"/>
    </row>
    <row r="779" ht="15.75" customHeight="1">
      <c r="A779" s="82"/>
      <c r="B779" s="82"/>
      <c r="C779" s="82"/>
      <c r="D779" s="82"/>
      <c r="F779" s="82"/>
      <c r="G779" s="82"/>
      <c r="H779" s="82"/>
      <c r="I779" s="82"/>
      <c r="J779" s="82"/>
      <c r="K779" s="82"/>
      <c r="L779" s="82"/>
      <c r="M779" s="82"/>
      <c r="N779" s="82"/>
    </row>
    <row r="780" ht="15.75" customHeight="1">
      <c r="A780" s="82"/>
      <c r="B780" s="82"/>
      <c r="C780" s="82"/>
      <c r="D780" s="82"/>
      <c r="F780" s="82"/>
      <c r="G780" s="82"/>
      <c r="H780" s="82"/>
      <c r="I780" s="82"/>
      <c r="J780" s="82"/>
      <c r="K780" s="82"/>
      <c r="L780" s="82"/>
      <c r="M780" s="82"/>
      <c r="N780" s="82"/>
    </row>
    <row r="781" ht="15.75" customHeight="1">
      <c r="A781" s="82"/>
      <c r="B781" s="82"/>
      <c r="C781" s="82"/>
      <c r="D781" s="82"/>
      <c r="F781" s="82"/>
      <c r="G781" s="82"/>
      <c r="H781" s="82"/>
      <c r="I781" s="82"/>
      <c r="J781" s="82"/>
      <c r="K781" s="82"/>
      <c r="L781" s="82"/>
      <c r="M781" s="82"/>
      <c r="N781" s="82"/>
    </row>
    <row r="782" ht="15.75" customHeight="1">
      <c r="A782" s="82"/>
      <c r="B782" s="82"/>
      <c r="C782" s="82"/>
      <c r="D782" s="82"/>
      <c r="F782" s="82"/>
      <c r="G782" s="82"/>
      <c r="H782" s="82"/>
      <c r="I782" s="82"/>
      <c r="J782" s="82"/>
      <c r="K782" s="82"/>
      <c r="L782" s="82"/>
      <c r="M782" s="82"/>
      <c r="N782" s="82"/>
    </row>
    <row r="783" ht="15.75" customHeight="1">
      <c r="A783" s="82"/>
      <c r="B783" s="82"/>
      <c r="C783" s="82"/>
      <c r="D783" s="82"/>
      <c r="F783" s="82"/>
      <c r="G783" s="82"/>
      <c r="H783" s="82"/>
      <c r="I783" s="82"/>
      <c r="J783" s="82"/>
      <c r="K783" s="82"/>
      <c r="L783" s="82"/>
      <c r="M783" s="82"/>
      <c r="N783" s="82"/>
    </row>
    <row r="784" ht="15.75" customHeight="1">
      <c r="A784" s="82"/>
      <c r="B784" s="82"/>
      <c r="C784" s="82"/>
      <c r="D784" s="82"/>
      <c r="F784" s="82"/>
      <c r="G784" s="82"/>
      <c r="H784" s="82"/>
      <c r="I784" s="82"/>
      <c r="J784" s="82"/>
      <c r="K784" s="82"/>
      <c r="L784" s="82"/>
      <c r="M784" s="82"/>
      <c r="N784" s="82"/>
    </row>
    <row r="785" ht="15.75" customHeight="1">
      <c r="A785" s="82"/>
      <c r="B785" s="82"/>
      <c r="C785" s="82"/>
      <c r="D785" s="82"/>
      <c r="F785" s="82"/>
      <c r="G785" s="82"/>
      <c r="H785" s="82"/>
      <c r="I785" s="82"/>
      <c r="J785" s="82"/>
      <c r="K785" s="82"/>
      <c r="L785" s="82"/>
      <c r="M785" s="82"/>
      <c r="N785" s="82"/>
    </row>
    <row r="786" ht="15.75" customHeight="1">
      <c r="A786" s="82"/>
      <c r="B786" s="82"/>
      <c r="C786" s="82"/>
      <c r="D786" s="82"/>
      <c r="F786" s="82"/>
      <c r="G786" s="82"/>
      <c r="H786" s="82"/>
      <c r="I786" s="82"/>
      <c r="J786" s="82"/>
      <c r="K786" s="82"/>
      <c r="L786" s="82"/>
      <c r="M786" s="82"/>
      <c r="N786" s="82"/>
    </row>
    <row r="787" ht="15.75" customHeight="1">
      <c r="A787" s="82"/>
      <c r="B787" s="82"/>
      <c r="C787" s="82"/>
      <c r="D787" s="82"/>
      <c r="F787" s="82"/>
      <c r="G787" s="82"/>
      <c r="H787" s="82"/>
      <c r="I787" s="82"/>
      <c r="J787" s="82"/>
      <c r="K787" s="82"/>
      <c r="L787" s="82"/>
      <c r="M787" s="82"/>
      <c r="N787" s="82"/>
    </row>
    <row r="788" ht="15.75" customHeight="1">
      <c r="A788" s="82"/>
      <c r="B788" s="82"/>
      <c r="C788" s="82"/>
      <c r="D788" s="82"/>
      <c r="F788" s="82"/>
      <c r="G788" s="82"/>
      <c r="H788" s="82"/>
      <c r="I788" s="82"/>
      <c r="J788" s="82"/>
      <c r="K788" s="82"/>
      <c r="L788" s="82"/>
      <c r="M788" s="82"/>
      <c r="N788" s="82"/>
    </row>
    <row r="789" ht="15.75" customHeight="1">
      <c r="A789" s="82"/>
      <c r="B789" s="82"/>
      <c r="C789" s="82"/>
      <c r="D789" s="82"/>
      <c r="F789" s="82"/>
      <c r="G789" s="82"/>
      <c r="H789" s="82"/>
      <c r="I789" s="82"/>
      <c r="J789" s="82"/>
      <c r="K789" s="82"/>
      <c r="L789" s="82"/>
      <c r="M789" s="82"/>
      <c r="N789" s="82"/>
    </row>
    <row r="790" ht="15.75" customHeight="1">
      <c r="A790" s="82"/>
      <c r="B790" s="82"/>
      <c r="C790" s="82"/>
      <c r="D790" s="82"/>
      <c r="F790" s="82"/>
      <c r="G790" s="82"/>
      <c r="H790" s="82"/>
      <c r="I790" s="82"/>
      <c r="J790" s="82"/>
      <c r="K790" s="82"/>
      <c r="L790" s="82"/>
      <c r="M790" s="82"/>
      <c r="N790" s="82"/>
    </row>
    <row r="791" ht="15.75" customHeight="1">
      <c r="A791" s="82"/>
      <c r="B791" s="82"/>
      <c r="C791" s="82"/>
      <c r="D791" s="82"/>
      <c r="F791" s="82"/>
      <c r="G791" s="82"/>
      <c r="H791" s="82"/>
      <c r="I791" s="82"/>
      <c r="J791" s="82"/>
      <c r="K791" s="82"/>
      <c r="L791" s="82"/>
      <c r="M791" s="82"/>
      <c r="N791" s="82"/>
    </row>
    <row r="792" ht="15.75" customHeight="1">
      <c r="A792" s="82"/>
      <c r="B792" s="82"/>
      <c r="C792" s="82"/>
      <c r="D792" s="82"/>
      <c r="F792" s="82"/>
      <c r="G792" s="82"/>
      <c r="H792" s="82"/>
      <c r="I792" s="82"/>
      <c r="J792" s="82"/>
      <c r="K792" s="82"/>
      <c r="L792" s="82"/>
      <c r="M792" s="82"/>
      <c r="N792" s="82"/>
    </row>
    <row r="793" ht="15.75" customHeight="1">
      <c r="A793" s="82"/>
      <c r="B793" s="82"/>
      <c r="C793" s="82"/>
      <c r="D793" s="82"/>
      <c r="F793" s="82"/>
      <c r="G793" s="82"/>
      <c r="H793" s="82"/>
      <c r="I793" s="82"/>
      <c r="J793" s="82"/>
      <c r="K793" s="82"/>
      <c r="L793" s="82"/>
      <c r="M793" s="82"/>
      <c r="N793" s="82"/>
    </row>
    <row r="794" ht="15.75" customHeight="1">
      <c r="A794" s="82"/>
      <c r="B794" s="82"/>
      <c r="C794" s="82"/>
      <c r="D794" s="82"/>
      <c r="F794" s="82"/>
      <c r="G794" s="82"/>
      <c r="H794" s="82"/>
      <c r="I794" s="82"/>
      <c r="J794" s="82"/>
      <c r="K794" s="82"/>
      <c r="L794" s="82"/>
      <c r="M794" s="82"/>
      <c r="N794" s="82"/>
    </row>
    <row r="795" ht="15.75" customHeight="1">
      <c r="A795" s="82"/>
      <c r="B795" s="82"/>
      <c r="C795" s="82"/>
      <c r="D795" s="82"/>
      <c r="F795" s="82"/>
      <c r="G795" s="82"/>
      <c r="H795" s="82"/>
      <c r="I795" s="82"/>
      <c r="J795" s="82"/>
      <c r="K795" s="82"/>
      <c r="L795" s="82"/>
      <c r="M795" s="82"/>
      <c r="N795" s="82"/>
    </row>
    <row r="796" ht="15.75" customHeight="1">
      <c r="A796" s="82"/>
      <c r="B796" s="82"/>
      <c r="C796" s="82"/>
      <c r="D796" s="82"/>
      <c r="F796" s="82"/>
      <c r="G796" s="82"/>
      <c r="H796" s="82"/>
      <c r="I796" s="82"/>
      <c r="J796" s="82"/>
      <c r="K796" s="82"/>
      <c r="L796" s="82"/>
      <c r="M796" s="82"/>
      <c r="N796" s="82"/>
    </row>
    <row r="797" ht="15.75" customHeight="1">
      <c r="A797" s="82"/>
      <c r="B797" s="82"/>
      <c r="C797" s="82"/>
      <c r="D797" s="82"/>
      <c r="F797" s="82"/>
      <c r="G797" s="82"/>
      <c r="H797" s="82"/>
      <c r="I797" s="82"/>
      <c r="J797" s="82"/>
      <c r="K797" s="82"/>
      <c r="L797" s="82"/>
      <c r="M797" s="82"/>
      <c r="N797" s="82"/>
    </row>
    <row r="798" ht="15.75" customHeight="1">
      <c r="A798" s="82"/>
      <c r="B798" s="82"/>
      <c r="C798" s="82"/>
      <c r="D798" s="82"/>
      <c r="F798" s="82"/>
      <c r="G798" s="82"/>
      <c r="H798" s="82"/>
      <c r="I798" s="82"/>
      <c r="J798" s="82"/>
      <c r="K798" s="82"/>
      <c r="L798" s="82"/>
      <c r="M798" s="82"/>
      <c r="N798" s="82"/>
    </row>
    <row r="799" ht="15.75" customHeight="1">
      <c r="A799" s="82"/>
      <c r="B799" s="82"/>
      <c r="C799" s="82"/>
      <c r="D799" s="82"/>
      <c r="F799" s="82"/>
      <c r="G799" s="82"/>
      <c r="H799" s="82"/>
      <c r="I799" s="82"/>
      <c r="J799" s="82"/>
      <c r="K799" s="82"/>
      <c r="L799" s="82"/>
      <c r="M799" s="82"/>
      <c r="N799" s="82"/>
    </row>
    <row r="800" ht="15.75" customHeight="1">
      <c r="A800" s="82"/>
      <c r="B800" s="82"/>
      <c r="C800" s="82"/>
      <c r="D800" s="82"/>
      <c r="F800" s="82"/>
      <c r="G800" s="82"/>
      <c r="H800" s="82"/>
      <c r="I800" s="82"/>
      <c r="J800" s="82"/>
      <c r="K800" s="82"/>
      <c r="L800" s="82"/>
      <c r="M800" s="82"/>
      <c r="N800" s="82"/>
    </row>
    <row r="801" ht="15.75" customHeight="1">
      <c r="A801" s="82"/>
      <c r="B801" s="82"/>
      <c r="C801" s="82"/>
      <c r="D801" s="82"/>
      <c r="F801" s="82"/>
      <c r="G801" s="82"/>
      <c r="H801" s="82"/>
      <c r="I801" s="82"/>
      <c r="J801" s="82"/>
      <c r="K801" s="82"/>
      <c r="L801" s="82"/>
      <c r="M801" s="82"/>
      <c r="N801" s="82"/>
    </row>
    <row r="802" ht="15.75" customHeight="1">
      <c r="A802" s="82"/>
      <c r="B802" s="82"/>
      <c r="C802" s="82"/>
      <c r="D802" s="82"/>
      <c r="F802" s="82"/>
      <c r="G802" s="82"/>
      <c r="H802" s="82"/>
      <c r="I802" s="82"/>
      <c r="J802" s="82"/>
      <c r="K802" s="82"/>
      <c r="L802" s="82"/>
      <c r="M802" s="82"/>
      <c r="N802" s="82"/>
    </row>
    <row r="803" ht="15.75" customHeight="1">
      <c r="A803" s="82"/>
      <c r="B803" s="82"/>
      <c r="C803" s="82"/>
      <c r="D803" s="82"/>
      <c r="F803" s="82"/>
      <c r="G803" s="82"/>
      <c r="H803" s="82"/>
      <c r="I803" s="82"/>
      <c r="J803" s="82"/>
      <c r="K803" s="82"/>
      <c r="L803" s="82"/>
      <c r="M803" s="82"/>
      <c r="N803" s="82"/>
    </row>
    <row r="804" ht="15.75" customHeight="1">
      <c r="A804" s="82"/>
      <c r="B804" s="82"/>
      <c r="C804" s="82"/>
      <c r="D804" s="82"/>
      <c r="F804" s="82"/>
      <c r="G804" s="82"/>
      <c r="H804" s="82"/>
      <c r="I804" s="82"/>
      <c r="J804" s="82"/>
      <c r="K804" s="82"/>
      <c r="L804" s="82"/>
      <c r="M804" s="82"/>
      <c r="N804" s="82"/>
    </row>
    <row r="805" ht="15.75" customHeight="1">
      <c r="A805" s="82"/>
      <c r="B805" s="82"/>
      <c r="C805" s="82"/>
      <c r="D805" s="82"/>
      <c r="F805" s="82"/>
      <c r="G805" s="82"/>
      <c r="H805" s="82"/>
      <c r="I805" s="82"/>
      <c r="J805" s="82"/>
      <c r="K805" s="82"/>
      <c r="L805" s="82"/>
      <c r="M805" s="82"/>
      <c r="N805" s="82"/>
    </row>
    <row r="806" ht="15.75" customHeight="1">
      <c r="A806" s="82"/>
      <c r="B806" s="82"/>
      <c r="C806" s="82"/>
      <c r="D806" s="82"/>
      <c r="F806" s="82"/>
      <c r="G806" s="82"/>
      <c r="H806" s="82"/>
      <c r="I806" s="82"/>
      <c r="J806" s="82"/>
      <c r="K806" s="82"/>
      <c r="L806" s="82"/>
      <c r="M806" s="82"/>
      <c r="N806" s="82"/>
    </row>
    <row r="807" ht="15.75" customHeight="1">
      <c r="A807" s="82"/>
      <c r="B807" s="82"/>
      <c r="C807" s="82"/>
      <c r="D807" s="82"/>
      <c r="F807" s="82"/>
      <c r="G807" s="82"/>
      <c r="H807" s="82"/>
      <c r="I807" s="82"/>
      <c r="J807" s="82"/>
      <c r="K807" s="82"/>
      <c r="L807" s="82"/>
      <c r="M807" s="82"/>
      <c r="N807" s="82"/>
    </row>
    <row r="808" ht="15.75" customHeight="1">
      <c r="A808" s="82"/>
      <c r="B808" s="82"/>
      <c r="C808" s="82"/>
      <c r="D808" s="82"/>
      <c r="F808" s="82"/>
      <c r="G808" s="82"/>
      <c r="H808" s="82"/>
      <c r="I808" s="82"/>
      <c r="J808" s="82"/>
      <c r="K808" s="82"/>
      <c r="L808" s="82"/>
      <c r="M808" s="82"/>
      <c r="N808" s="82"/>
    </row>
    <row r="809" ht="15.75" customHeight="1">
      <c r="A809" s="82"/>
      <c r="B809" s="82"/>
      <c r="C809" s="82"/>
      <c r="D809" s="82"/>
      <c r="F809" s="82"/>
      <c r="G809" s="82"/>
      <c r="H809" s="82"/>
      <c r="I809" s="82"/>
      <c r="J809" s="82"/>
      <c r="K809" s="82"/>
      <c r="L809" s="82"/>
      <c r="M809" s="82"/>
      <c r="N809" s="82"/>
    </row>
    <row r="810" ht="15.75" customHeight="1">
      <c r="A810" s="82"/>
      <c r="B810" s="82"/>
      <c r="C810" s="82"/>
      <c r="D810" s="82"/>
      <c r="F810" s="82"/>
      <c r="G810" s="82"/>
      <c r="H810" s="82"/>
      <c r="I810" s="82"/>
      <c r="J810" s="82"/>
      <c r="K810" s="82"/>
      <c r="L810" s="82"/>
      <c r="M810" s="82"/>
      <c r="N810" s="82"/>
    </row>
    <row r="811" ht="15.75" customHeight="1">
      <c r="A811" s="82"/>
      <c r="B811" s="82"/>
      <c r="C811" s="82"/>
      <c r="D811" s="82"/>
      <c r="F811" s="82"/>
      <c r="G811" s="82"/>
      <c r="H811" s="82"/>
      <c r="I811" s="82"/>
      <c r="J811" s="82"/>
      <c r="K811" s="82"/>
      <c r="L811" s="82"/>
      <c r="M811" s="82"/>
      <c r="N811" s="82"/>
    </row>
    <row r="812" ht="15.75" customHeight="1">
      <c r="A812" s="82"/>
      <c r="B812" s="82"/>
      <c r="C812" s="82"/>
      <c r="D812" s="82"/>
      <c r="F812" s="82"/>
      <c r="G812" s="82"/>
      <c r="H812" s="82"/>
      <c r="I812" s="82"/>
      <c r="J812" s="82"/>
      <c r="K812" s="82"/>
      <c r="L812" s="82"/>
      <c r="M812" s="82"/>
      <c r="N812" s="82"/>
    </row>
    <row r="813" ht="15.75" customHeight="1">
      <c r="A813" s="82"/>
      <c r="B813" s="82"/>
      <c r="C813" s="82"/>
      <c r="D813" s="82"/>
      <c r="F813" s="82"/>
      <c r="G813" s="82"/>
      <c r="H813" s="82"/>
      <c r="I813" s="82"/>
      <c r="J813" s="82"/>
      <c r="K813" s="82"/>
      <c r="L813" s="82"/>
      <c r="M813" s="82"/>
      <c r="N813" s="82"/>
    </row>
    <row r="814" ht="15.75" customHeight="1">
      <c r="A814" s="82"/>
      <c r="B814" s="82"/>
      <c r="C814" s="82"/>
      <c r="D814" s="82"/>
      <c r="F814" s="82"/>
      <c r="G814" s="82"/>
      <c r="H814" s="82"/>
      <c r="I814" s="82"/>
      <c r="J814" s="82"/>
      <c r="K814" s="82"/>
      <c r="L814" s="82"/>
      <c r="M814" s="82"/>
      <c r="N814" s="82"/>
    </row>
    <row r="815" ht="15.75" customHeight="1">
      <c r="A815" s="82"/>
      <c r="B815" s="82"/>
      <c r="C815" s="82"/>
      <c r="D815" s="82"/>
      <c r="F815" s="82"/>
      <c r="G815" s="82"/>
      <c r="H815" s="82"/>
      <c r="I815" s="82"/>
      <c r="J815" s="82"/>
      <c r="K815" s="82"/>
      <c r="L815" s="82"/>
      <c r="M815" s="82"/>
      <c r="N815" s="82"/>
    </row>
    <row r="816" ht="15.75" customHeight="1">
      <c r="A816" s="82"/>
      <c r="B816" s="82"/>
      <c r="C816" s="82"/>
      <c r="D816" s="82"/>
      <c r="F816" s="82"/>
      <c r="G816" s="82"/>
      <c r="H816" s="82"/>
      <c r="I816" s="82"/>
      <c r="J816" s="82"/>
      <c r="K816" s="82"/>
      <c r="L816" s="82"/>
      <c r="M816" s="82"/>
      <c r="N816" s="82"/>
    </row>
    <row r="817" ht="15.75" customHeight="1">
      <c r="A817" s="82"/>
      <c r="B817" s="82"/>
      <c r="C817" s="82"/>
      <c r="D817" s="82"/>
      <c r="F817" s="82"/>
      <c r="G817" s="82"/>
      <c r="H817" s="82"/>
      <c r="I817" s="82"/>
      <c r="J817" s="82"/>
      <c r="K817" s="82"/>
      <c r="L817" s="82"/>
      <c r="M817" s="82"/>
      <c r="N817" s="82"/>
    </row>
    <row r="818" ht="15.75" customHeight="1">
      <c r="A818" s="82"/>
      <c r="B818" s="82"/>
      <c r="C818" s="82"/>
      <c r="D818" s="82"/>
      <c r="F818" s="82"/>
      <c r="G818" s="82"/>
      <c r="H818" s="82"/>
      <c r="I818" s="82"/>
      <c r="J818" s="82"/>
      <c r="K818" s="82"/>
      <c r="L818" s="82"/>
      <c r="M818" s="82"/>
      <c r="N818" s="82"/>
    </row>
    <row r="819" ht="15.75" customHeight="1">
      <c r="A819" s="82"/>
      <c r="B819" s="82"/>
      <c r="C819" s="82"/>
      <c r="D819" s="82"/>
      <c r="F819" s="82"/>
      <c r="G819" s="82"/>
      <c r="H819" s="82"/>
      <c r="I819" s="82"/>
      <c r="J819" s="82"/>
      <c r="K819" s="82"/>
      <c r="L819" s="82"/>
      <c r="M819" s="82"/>
      <c r="N819" s="82"/>
    </row>
    <row r="820" ht="15.75" customHeight="1">
      <c r="A820" s="82"/>
      <c r="B820" s="82"/>
      <c r="C820" s="82"/>
      <c r="D820" s="82"/>
      <c r="F820" s="82"/>
      <c r="G820" s="82"/>
      <c r="H820" s="82"/>
      <c r="I820" s="82"/>
      <c r="J820" s="82"/>
      <c r="K820" s="82"/>
      <c r="L820" s="82"/>
      <c r="M820" s="82"/>
      <c r="N820" s="82"/>
    </row>
    <row r="821" ht="15.75" customHeight="1">
      <c r="A821" s="82"/>
      <c r="B821" s="82"/>
      <c r="C821" s="82"/>
      <c r="D821" s="82"/>
      <c r="F821" s="82"/>
      <c r="G821" s="82"/>
      <c r="H821" s="82"/>
      <c r="I821" s="82"/>
      <c r="J821" s="82"/>
      <c r="K821" s="82"/>
      <c r="L821" s="82"/>
      <c r="M821" s="82"/>
      <c r="N821" s="82"/>
    </row>
    <row r="822" ht="15.75" customHeight="1">
      <c r="A822" s="82"/>
      <c r="B822" s="82"/>
      <c r="C822" s="82"/>
      <c r="D822" s="82"/>
      <c r="F822" s="82"/>
      <c r="G822" s="82"/>
      <c r="H822" s="82"/>
      <c r="I822" s="82"/>
      <c r="J822" s="82"/>
      <c r="K822" s="82"/>
      <c r="L822" s="82"/>
      <c r="M822" s="82"/>
      <c r="N822" s="82"/>
    </row>
    <row r="823" ht="15.75" customHeight="1">
      <c r="A823" s="82"/>
      <c r="B823" s="82"/>
      <c r="C823" s="82"/>
      <c r="D823" s="82"/>
      <c r="F823" s="82"/>
      <c r="G823" s="82"/>
      <c r="H823" s="82"/>
      <c r="I823" s="82"/>
      <c r="J823" s="82"/>
      <c r="K823" s="82"/>
      <c r="L823" s="82"/>
      <c r="M823" s="82"/>
      <c r="N823" s="82"/>
    </row>
    <row r="824" ht="15.75" customHeight="1">
      <c r="A824" s="82"/>
      <c r="B824" s="82"/>
      <c r="C824" s="82"/>
      <c r="D824" s="82"/>
      <c r="F824" s="82"/>
      <c r="G824" s="82"/>
      <c r="H824" s="82"/>
      <c r="I824" s="82"/>
      <c r="J824" s="82"/>
      <c r="K824" s="82"/>
      <c r="L824" s="82"/>
      <c r="M824" s="82"/>
      <c r="N824" s="82"/>
    </row>
    <row r="825" ht="15.75" customHeight="1">
      <c r="A825" s="82"/>
      <c r="B825" s="82"/>
      <c r="C825" s="82"/>
      <c r="D825" s="82"/>
      <c r="F825" s="82"/>
      <c r="G825" s="82"/>
      <c r="H825" s="82"/>
      <c r="I825" s="82"/>
      <c r="J825" s="82"/>
      <c r="K825" s="82"/>
      <c r="L825" s="82"/>
      <c r="M825" s="82"/>
      <c r="N825" s="82"/>
    </row>
    <row r="826" ht="15.75" customHeight="1">
      <c r="A826" s="82"/>
      <c r="B826" s="82"/>
      <c r="C826" s="82"/>
      <c r="D826" s="82"/>
      <c r="F826" s="82"/>
      <c r="G826" s="82"/>
      <c r="H826" s="82"/>
      <c r="I826" s="82"/>
      <c r="J826" s="82"/>
      <c r="K826" s="82"/>
      <c r="L826" s="82"/>
      <c r="M826" s="82"/>
      <c r="N826" s="82"/>
    </row>
    <row r="827" ht="15.75" customHeight="1">
      <c r="A827" s="82"/>
      <c r="B827" s="82"/>
      <c r="C827" s="82"/>
      <c r="D827" s="82"/>
      <c r="F827" s="82"/>
      <c r="G827" s="82"/>
      <c r="H827" s="82"/>
      <c r="I827" s="82"/>
      <c r="J827" s="82"/>
      <c r="K827" s="82"/>
      <c r="L827" s="82"/>
      <c r="M827" s="82"/>
      <c r="N827" s="82"/>
    </row>
    <row r="828" ht="15.75" customHeight="1">
      <c r="A828" s="82"/>
      <c r="B828" s="82"/>
      <c r="C828" s="82"/>
      <c r="D828" s="82"/>
      <c r="F828" s="82"/>
      <c r="G828" s="82"/>
      <c r="H828" s="82"/>
      <c r="I828" s="82"/>
      <c r="J828" s="82"/>
      <c r="K828" s="82"/>
      <c r="L828" s="82"/>
      <c r="M828" s="82"/>
      <c r="N828" s="82"/>
    </row>
    <row r="829" ht="15.75" customHeight="1">
      <c r="A829" s="82"/>
      <c r="B829" s="82"/>
      <c r="C829" s="82"/>
      <c r="D829" s="82"/>
      <c r="F829" s="82"/>
      <c r="G829" s="82"/>
      <c r="H829" s="82"/>
      <c r="I829" s="82"/>
      <c r="J829" s="82"/>
      <c r="K829" s="82"/>
      <c r="L829" s="82"/>
      <c r="M829" s="82"/>
      <c r="N829" s="82"/>
    </row>
    <row r="830" ht="15.75" customHeight="1">
      <c r="A830" s="82"/>
      <c r="B830" s="82"/>
      <c r="C830" s="82"/>
      <c r="D830" s="82"/>
      <c r="F830" s="82"/>
      <c r="G830" s="82"/>
      <c r="H830" s="82"/>
      <c r="I830" s="82"/>
      <c r="J830" s="82"/>
      <c r="K830" s="82"/>
      <c r="L830" s="82"/>
      <c r="M830" s="82"/>
      <c r="N830" s="82"/>
    </row>
    <row r="831" ht="15.75" customHeight="1">
      <c r="A831" s="82"/>
      <c r="B831" s="82"/>
      <c r="C831" s="82"/>
      <c r="D831" s="82"/>
      <c r="F831" s="82"/>
      <c r="G831" s="82"/>
      <c r="H831" s="82"/>
      <c r="I831" s="82"/>
      <c r="J831" s="82"/>
      <c r="K831" s="82"/>
      <c r="L831" s="82"/>
      <c r="M831" s="82"/>
      <c r="N831" s="82"/>
    </row>
    <row r="832" ht="15.75" customHeight="1">
      <c r="A832" s="82"/>
      <c r="B832" s="82"/>
      <c r="C832" s="82"/>
      <c r="D832" s="82"/>
      <c r="F832" s="82"/>
      <c r="G832" s="82"/>
      <c r="H832" s="82"/>
      <c r="I832" s="82"/>
      <c r="J832" s="82"/>
      <c r="K832" s="82"/>
      <c r="L832" s="82"/>
      <c r="M832" s="82"/>
      <c r="N832" s="82"/>
    </row>
    <row r="833" ht="15.75" customHeight="1">
      <c r="A833" s="82"/>
      <c r="B833" s="82"/>
      <c r="C833" s="82"/>
      <c r="D833" s="82"/>
      <c r="F833" s="82"/>
      <c r="G833" s="82"/>
      <c r="H833" s="82"/>
      <c r="I833" s="82"/>
      <c r="J833" s="82"/>
      <c r="K833" s="82"/>
      <c r="L833" s="82"/>
      <c r="M833" s="82"/>
      <c r="N833" s="82"/>
    </row>
    <row r="834" ht="15.75" customHeight="1">
      <c r="A834" s="82"/>
      <c r="B834" s="82"/>
      <c r="C834" s="82"/>
      <c r="D834" s="82"/>
      <c r="F834" s="82"/>
      <c r="G834" s="82"/>
      <c r="H834" s="82"/>
      <c r="I834" s="82"/>
      <c r="J834" s="82"/>
      <c r="K834" s="82"/>
      <c r="L834" s="82"/>
      <c r="M834" s="82"/>
      <c r="N834" s="82"/>
    </row>
    <row r="835" ht="15.75" customHeight="1">
      <c r="A835" s="82"/>
      <c r="B835" s="82"/>
      <c r="C835" s="82"/>
      <c r="D835" s="82"/>
      <c r="F835" s="82"/>
      <c r="G835" s="82"/>
      <c r="H835" s="82"/>
      <c r="I835" s="82"/>
      <c r="J835" s="82"/>
      <c r="K835" s="82"/>
      <c r="L835" s="82"/>
      <c r="M835" s="82"/>
      <c r="N835" s="82"/>
    </row>
    <row r="836" ht="15.75" customHeight="1">
      <c r="A836" s="82"/>
      <c r="B836" s="82"/>
      <c r="C836" s="82"/>
      <c r="D836" s="82"/>
      <c r="F836" s="82"/>
      <c r="G836" s="82"/>
      <c r="H836" s="82"/>
      <c r="I836" s="82"/>
      <c r="J836" s="82"/>
      <c r="K836" s="82"/>
      <c r="L836" s="82"/>
      <c r="M836" s="82"/>
      <c r="N836" s="82"/>
    </row>
    <row r="837" ht="15.75" customHeight="1">
      <c r="A837" s="82"/>
      <c r="B837" s="82"/>
      <c r="C837" s="82"/>
      <c r="D837" s="82"/>
      <c r="F837" s="82"/>
      <c r="G837" s="82"/>
      <c r="H837" s="82"/>
      <c r="I837" s="82"/>
      <c r="J837" s="82"/>
      <c r="K837" s="82"/>
      <c r="L837" s="82"/>
      <c r="M837" s="82"/>
      <c r="N837" s="82"/>
    </row>
    <row r="838" ht="15.75" customHeight="1">
      <c r="A838" s="82"/>
      <c r="B838" s="82"/>
      <c r="C838" s="82"/>
      <c r="D838" s="82"/>
      <c r="F838" s="82"/>
      <c r="G838" s="82"/>
      <c r="H838" s="82"/>
      <c r="I838" s="82"/>
      <c r="J838" s="82"/>
      <c r="K838" s="82"/>
      <c r="L838" s="82"/>
      <c r="M838" s="82"/>
      <c r="N838" s="82"/>
    </row>
    <row r="839" ht="15.75" customHeight="1">
      <c r="A839" s="82"/>
      <c r="B839" s="82"/>
      <c r="C839" s="82"/>
      <c r="D839" s="82"/>
      <c r="F839" s="82"/>
      <c r="G839" s="82"/>
      <c r="H839" s="82"/>
      <c r="I839" s="82"/>
      <c r="J839" s="82"/>
      <c r="K839" s="82"/>
      <c r="L839" s="82"/>
      <c r="M839" s="82"/>
      <c r="N839" s="82"/>
    </row>
    <row r="840" ht="15.75" customHeight="1">
      <c r="A840" s="82"/>
      <c r="B840" s="82"/>
      <c r="C840" s="82"/>
      <c r="D840" s="82"/>
      <c r="F840" s="82"/>
      <c r="G840" s="82"/>
      <c r="H840" s="82"/>
      <c r="I840" s="82"/>
      <c r="J840" s="82"/>
      <c r="K840" s="82"/>
      <c r="L840" s="82"/>
      <c r="M840" s="82"/>
      <c r="N840" s="82"/>
    </row>
    <row r="841" ht="15.75" customHeight="1">
      <c r="A841" s="82"/>
      <c r="B841" s="82"/>
      <c r="C841" s="82"/>
      <c r="D841" s="82"/>
      <c r="F841" s="82"/>
      <c r="G841" s="82"/>
      <c r="H841" s="82"/>
      <c r="I841" s="82"/>
      <c r="J841" s="82"/>
      <c r="K841" s="82"/>
      <c r="L841" s="82"/>
      <c r="M841" s="82"/>
      <c r="N841" s="82"/>
    </row>
    <row r="842" ht="15.75" customHeight="1">
      <c r="A842" s="82"/>
      <c r="B842" s="82"/>
      <c r="C842" s="82"/>
      <c r="D842" s="82"/>
      <c r="F842" s="82"/>
      <c r="G842" s="82"/>
      <c r="H842" s="82"/>
      <c r="I842" s="82"/>
      <c r="J842" s="82"/>
      <c r="K842" s="82"/>
      <c r="L842" s="82"/>
      <c r="M842" s="82"/>
      <c r="N842" s="82"/>
    </row>
    <row r="843" ht="15.75" customHeight="1">
      <c r="A843" s="82"/>
      <c r="B843" s="82"/>
      <c r="C843" s="82"/>
      <c r="D843" s="82"/>
      <c r="F843" s="82"/>
      <c r="G843" s="82"/>
      <c r="H843" s="82"/>
      <c r="I843" s="82"/>
      <c r="J843" s="82"/>
      <c r="K843" s="82"/>
      <c r="L843" s="82"/>
      <c r="M843" s="82"/>
      <c r="N843" s="82"/>
    </row>
    <row r="844" ht="15.75" customHeight="1">
      <c r="A844" s="82"/>
      <c r="B844" s="82"/>
      <c r="C844" s="82"/>
      <c r="D844" s="82"/>
      <c r="F844" s="82"/>
      <c r="G844" s="82"/>
      <c r="H844" s="82"/>
      <c r="I844" s="82"/>
      <c r="J844" s="82"/>
      <c r="K844" s="82"/>
      <c r="L844" s="82"/>
      <c r="M844" s="82"/>
      <c r="N844" s="82"/>
    </row>
    <row r="845" ht="15.75" customHeight="1">
      <c r="A845" s="82"/>
      <c r="B845" s="82"/>
      <c r="C845" s="82"/>
      <c r="D845" s="82"/>
      <c r="F845" s="82"/>
      <c r="G845" s="82"/>
      <c r="H845" s="82"/>
      <c r="I845" s="82"/>
      <c r="J845" s="82"/>
      <c r="K845" s="82"/>
      <c r="L845" s="82"/>
      <c r="M845" s="82"/>
      <c r="N845" s="82"/>
    </row>
    <row r="846" ht="15.75" customHeight="1">
      <c r="A846" s="82"/>
      <c r="B846" s="82"/>
      <c r="C846" s="82"/>
      <c r="D846" s="82"/>
      <c r="F846" s="82"/>
      <c r="G846" s="82"/>
      <c r="H846" s="82"/>
      <c r="I846" s="82"/>
      <c r="J846" s="82"/>
      <c r="K846" s="82"/>
      <c r="L846" s="82"/>
      <c r="M846" s="82"/>
      <c r="N846" s="82"/>
    </row>
    <row r="847" ht="15.75" customHeight="1">
      <c r="A847" s="82"/>
      <c r="B847" s="82"/>
      <c r="C847" s="82"/>
      <c r="D847" s="82"/>
      <c r="F847" s="82"/>
      <c r="G847" s="82"/>
      <c r="H847" s="82"/>
      <c r="I847" s="82"/>
      <c r="J847" s="82"/>
      <c r="K847" s="82"/>
      <c r="L847" s="82"/>
      <c r="M847" s="82"/>
      <c r="N847" s="82"/>
    </row>
    <row r="848" ht="15.75" customHeight="1">
      <c r="A848" s="82"/>
      <c r="B848" s="82"/>
      <c r="C848" s="82"/>
      <c r="D848" s="82"/>
      <c r="F848" s="82"/>
      <c r="G848" s="82"/>
      <c r="H848" s="82"/>
      <c r="I848" s="82"/>
      <c r="J848" s="82"/>
      <c r="K848" s="82"/>
      <c r="L848" s="82"/>
      <c r="M848" s="82"/>
      <c r="N848" s="82"/>
    </row>
    <row r="849" ht="15.75" customHeight="1">
      <c r="A849" s="82"/>
      <c r="B849" s="82"/>
      <c r="C849" s="82"/>
      <c r="D849" s="82"/>
      <c r="F849" s="82"/>
      <c r="G849" s="82"/>
      <c r="H849" s="82"/>
      <c r="I849" s="82"/>
      <c r="J849" s="82"/>
      <c r="K849" s="82"/>
      <c r="L849" s="82"/>
      <c r="M849" s="82"/>
      <c r="N849" s="82"/>
    </row>
    <row r="850" ht="15.75" customHeight="1">
      <c r="A850" s="82"/>
      <c r="B850" s="82"/>
      <c r="C850" s="82"/>
      <c r="D850" s="82"/>
      <c r="F850" s="82"/>
      <c r="G850" s="82"/>
      <c r="H850" s="82"/>
      <c r="I850" s="82"/>
      <c r="J850" s="82"/>
      <c r="K850" s="82"/>
      <c r="L850" s="82"/>
      <c r="M850" s="82"/>
      <c r="N850" s="82"/>
    </row>
    <row r="851" ht="15.75" customHeight="1">
      <c r="A851" s="82"/>
      <c r="B851" s="82"/>
      <c r="C851" s="82"/>
      <c r="D851" s="82"/>
      <c r="F851" s="82"/>
      <c r="G851" s="82"/>
      <c r="H851" s="82"/>
      <c r="I851" s="82"/>
      <c r="J851" s="82"/>
      <c r="K851" s="82"/>
      <c r="L851" s="82"/>
      <c r="M851" s="82"/>
      <c r="N851" s="82"/>
    </row>
    <row r="852" ht="15.75" customHeight="1">
      <c r="A852" s="82"/>
      <c r="B852" s="82"/>
      <c r="C852" s="82"/>
      <c r="D852" s="82"/>
      <c r="F852" s="82"/>
      <c r="G852" s="82"/>
      <c r="H852" s="82"/>
      <c r="I852" s="82"/>
      <c r="J852" s="82"/>
      <c r="K852" s="82"/>
      <c r="L852" s="82"/>
      <c r="M852" s="82"/>
      <c r="N852" s="82"/>
    </row>
    <row r="853" ht="15.75" customHeight="1">
      <c r="A853" s="82"/>
      <c r="B853" s="82"/>
      <c r="C853" s="82"/>
      <c r="D853" s="82"/>
      <c r="F853" s="82"/>
      <c r="G853" s="82"/>
      <c r="H853" s="82"/>
      <c r="I853" s="82"/>
      <c r="J853" s="82"/>
      <c r="K853" s="82"/>
      <c r="L853" s="82"/>
      <c r="M853" s="82"/>
      <c r="N853" s="82"/>
    </row>
    <row r="854" ht="15.75" customHeight="1">
      <c r="A854" s="82"/>
      <c r="B854" s="82"/>
      <c r="C854" s="82"/>
      <c r="D854" s="82"/>
      <c r="F854" s="82"/>
      <c r="G854" s="82"/>
      <c r="H854" s="82"/>
      <c r="I854" s="82"/>
      <c r="J854" s="82"/>
      <c r="K854" s="82"/>
      <c r="L854" s="82"/>
      <c r="M854" s="82"/>
      <c r="N854" s="82"/>
    </row>
    <row r="855" ht="15.75" customHeight="1">
      <c r="A855" s="82"/>
      <c r="B855" s="82"/>
      <c r="C855" s="82"/>
      <c r="D855" s="82"/>
      <c r="F855" s="82"/>
      <c r="G855" s="82"/>
      <c r="H855" s="82"/>
      <c r="I855" s="82"/>
      <c r="J855" s="82"/>
      <c r="K855" s="82"/>
      <c r="L855" s="82"/>
      <c r="M855" s="82"/>
      <c r="N855" s="82"/>
    </row>
    <row r="856" ht="15.75" customHeight="1">
      <c r="A856" s="82"/>
      <c r="B856" s="82"/>
      <c r="C856" s="82"/>
      <c r="D856" s="82"/>
      <c r="F856" s="82"/>
      <c r="G856" s="82"/>
      <c r="H856" s="82"/>
      <c r="I856" s="82"/>
      <c r="J856" s="82"/>
      <c r="K856" s="82"/>
      <c r="L856" s="82"/>
      <c r="M856" s="82"/>
      <c r="N856" s="82"/>
    </row>
    <row r="857" ht="15.75" customHeight="1">
      <c r="A857" s="82"/>
      <c r="B857" s="82"/>
      <c r="C857" s="82"/>
      <c r="D857" s="82"/>
      <c r="F857" s="82"/>
      <c r="G857" s="82"/>
      <c r="H857" s="82"/>
      <c r="I857" s="82"/>
      <c r="J857" s="82"/>
      <c r="K857" s="82"/>
      <c r="L857" s="82"/>
      <c r="M857" s="82"/>
      <c r="N857" s="82"/>
    </row>
    <row r="858" ht="15.75" customHeight="1">
      <c r="A858" s="82"/>
      <c r="B858" s="82"/>
      <c r="C858" s="82"/>
      <c r="D858" s="82"/>
      <c r="F858" s="82"/>
      <c r="G858" s="82"/>
      <c r="H858" s="82"/>
      <c r="I858" s="82"/>
      <c r="J858" s="82"/>
      <c r="K858" s="82"/>
      <c r="L858" s="82"/>
      <c r="M858" s="82"/>
      <c r="N858" s="82"/>
    </row>
    <row r="859" ht="15.75" customHeight="1">
      <c r="A859" s="82"/>
      <c r="B859" s="82"/>
      <c r="C859" s="82"/>
      <c r="D859" s="82"/>
      <c r="F859" s="82"/>
      <c r="G859" s="82"/>
      <c r="H859" s="82"/>
      <c r="I859" s="82"/>
      <c r="J859" s="82"/>
      <c r="K859" s="82"/>
      <c r="L859" s="82"/>
      <c r="M859" s="82"/>
      <c r="N859" s="82"/>
    </row>
    <row r="860" ht="15.75" customHeight="1">
      <c r="A860" s="82"/>
      <c r="B860" s="82"/>
      <c r="C860" s="82"/>
      <c r="D860" s="82"/>
      <c r="F860" s="82"/>
      <c r="G860" s="82"/>
      <c r="H860" s="82"/>
      <c r="I860" s="82"/>
      <c r="J860" s="82"/>
      <c r="K860" s="82"/>
      <c r="L860" s="82"/>
      <c r="M860" s="82"/>
      <c r="N860" s="82"/>
    </row>
    <row r="861" ht="15.75" customHeight="1">
      <c r="A861" s="82"/>
      <c r="B861" s="82"/>
      <c r="C861" s="82"/>
      <c r="D861" s="82"/>
      <c r="F861" s="82"/>
      <c r="G861" s="82"/>
      <c r="H861" s="82"/>
      <c r="I861" s="82"/>
      <c r="J861" s="82"/>
      <c r="K861" s="82"/>
      <c r="L861" s="82"/>
      <c r="M861" s="82"/>
      <c r="N861" s="82"/>
    </row>
    <row r="862" ht="15.75" customHeight="1">
      <c r="A862" s="82"/>
      <c r="B862" s="82"/>
      <c r="C862" s="82"/>
      <c r="D862" s="82"/>
      <c r="F862" s="82"/>
      <c r="G862" s="82"/>
      <c r="H862" s="82"/>
      <c r="I862" s="82"/>
      <c r="J862" s="82"/>
      <c r="K862" s="82"/>
      <c r="L862" s="82"/>
      <c r="M862" s="82"/>
      <c r="N862" s="82"/>
    </row>
    <row r="863" ht="15.75" customHeight="1">
      <c r="A863" s="82"/>
      <c r="B863" s="82"/>
      <c r="C863" s="82"/>
      <c r="D863" s="82"/>
      <c r="F863" s="82"/>
      <c r="G863" s="82"/>
      <c r="H863" s="82"/>
      <c r="I863" s="82"/>
      <c r="J863" s="82"/>
      <c r="K863" s="82"/>
      <c r="L863" s="82"/>
      <c r="M863" s="82"/>
      <c r="N863" s="82"/>
    </row>
    <row r="864" ht="15.75" customHeight="1">
      <c r="A864" s="82"/>
      <c r="B864" s="82"/>
      <c r="C864" s="82"/>
      <c r="D864" s="82"/>
      <c r="F864" s="82"/>
      <c r="G864" s="82"/>
      <c r="H864" s="82"/>
      <c r="I864" s="82"/>
      <c r="J864" s="82"/>
      <c r="K864" s="82"/>
      <c r="L864" s="82"/>
      <c r="M864" s="82"/>
      <c r="N864" s="82"/>
    </row>
    <row r="865" ht="15.75" customHeight="1">
      <c r="A865" s="82"/>
      <c r="B865" s="82"/>
      <c r="C865" s="82"/>
      <c r="D865" s="82"/>
      <c r="F865" s="82"/>
      <c r="G865" s="82"/>
      <c r="H865" s="82"/>
      <c r="I865" s="82"/>
      <c r="J865" s="82"/>
      <c r="K865" s="82"/>
      <c r="L865" s="82"/>
      <c r="M865" s="82"/>
      <c r="N865" s="82"/>
    </row>
    <row r="866" ht="15.75" customHeight="1">
      <c r="A866" s="82"/>
      <c r="B866" s="82"/>
      <c r="C866" s="82"/>
      <c r="D866" s="82"/>
      <c r="F866" s="82"/>
      <c r="G866" s="82"/>
      <c r="H866" s="82"/>
      <c r="I866" s="82"/>
      <c r="J866" s="82"/>
      <c r="K866" s="82"/>
      <c r="L866" s="82"/>
      <c r="M866" s="82"/>
      <c r="N866" s="82"/>
    </row>
    <row r="867" ht="15.75" customHeight="1">
      <c r="A867" s="82"/>
      <c r="B867" s="82"/>
      <c r="C867" s="82"/>
      <c r="D867" s="82"/>
      <c r="F867" s="82"/>
      <c r="G867" s="82"/>
      <c r="H867" s="82"/>
      <c r="I867" s="82"/>
      <c r="J867" s="82"/>
      <c r="K867" s="82"/>
      <c r="L867" s="82"/>
      <c r="M867" s="82"/>
      <c r="N867" s="82"/>
    </row>
    <row r="868" ht="15.75" customHeight="1">
      <c r="A868" s="82"/>
      <c r="B868" s="82"/>
      <c r="C868" s="82"/>
      <c r="D868" s="82"/>
      <c r="F868" s="82"/>
      <c r="G868" s="82"/>
      <c r="H868" s="82"/>
      <c r="I868" s="82"/>
      <c r="J868" s="82"/>
      <c r="K868" s="82"/>
      <c r="L868" s="82"/>
      <c r="M868" s="82"/>
      <c r="N868" s="82"/>
    </row>
    <row r="869" ht="15.75" customHeight="1">
      <c r="A869" s="82"/>
      <c r="B869" s="82"/>
      <c r="C869" s="82"/>
      <c r="D869" s="82"/>
      <c r="F869" s="82"/>
      <c r="G869" s="82"/>
      <c r="H869" s="82"/>
      <c r="I869" s="82"/>
      <c r="J869" s="82"/>
      <c r="K869" s="82"/>
      <c r="L869" s="82"/>
      <c r="M869" s="82"/>
      <c r="N869" s="82"/>
    </row>
    <row r="870" ht="15.75" customHeight="1">
      <c r="A870" s="82"/>
      <c r="B870" s="82"/>
      <c r="C870" s="82"/>
      <c r="D870" s="82"/>
      <c r="F870" s="82"/>
      <c r="G870" s="82"/>
      <c r="H870" s="82"/>
      <c r="I870" s="82"/>
      <c r="J870" s="82"/>
      <c r="K870" s="82"/>
      <c r="L870" s="82"/>
      <c r="M870" s="82"/>
      <c r="N870" s="82"/>
    </row>
    <row r="871" ht="15.75" customHeight="1">
      <c r="A871" s="82"/>
      <c r="B871" s="82"/>
      <c r="C871" s="82"/>
      <c r="D871" s="82"/>
      <c r="F871" s="82"/>
      <c r="G871" s="82"/>
      <c r="H871" s="82"/>
      <c r="I871" s="82"/>
      <c r="J871" s="82"/>
      <c r="K871" s="82"/>
      <c r="L871" s="82"/>
      <c r="M871" s="82"/>
      <c r="N871" s="82"/>
    </row>
    <row r="872" ht="15.75" customHeight="1">
      <c r="A872" s="82"/>
      <c r="B872" s="82"/>
      <c r="C872" s="82"/>
      <c r="D872" s="82"/>
      <c r="F872" s="82"/>
      <c r="G872" s="82"/>
      <c r="H872" s="82"/>
      <c r="I872" s="82"/>
      <c r="J872" s="82"/>
      <c r="K872" s="82"/>
      <c r="L872" s="82"/>
      <c r="M872" s="82"/>
      <c r="N872" s="82"/>
    </row>
    <row r="873" ht="15.75" customHeight="1">
      <c r="A873" s="82"/>
      <c r="B873" s="82"/>
      <c r="C873" s="82"/>
      <c r="D873" s="82"/>
      <c r="F873" s="82"/>
      <c r="G873" s="82"/>
      <c r="H873" s="82"/>
      <c r="I873" s="82"/>
      <c r="J873" s="82"/>
      <c r="K873" s="82"/>
      <c r="L873" s="82"/>
      <c r="M873" s="82"/>
      <c r="N873" s="82"/>
    </row>
    <row r="874" ht="15.75" customHeight="1">
      <c r="A874" s="82"/>
      <c r="B874" s="82"/>
      <c r="C874" s="82"/>
      <c r="D874" s="82"/>
      <c r="F874" s="82"/>
      <c r="G874" s="82"/>
      <c r="H874" s="82"/>
      <c r="I874" s="82"/>
      <c r="J874" s="82"/>
      <c r="K874" s="82"/>
      <c r="L874" s="82"/>
      <c r="M874" s="82"/>
      <c r="N874" s="82"/>
    </row>
    <row r="875" ht="15.75" customHeight="1">
      <c r="A875" s="82"/>
      <c r="B875" s="82"/>
      <c r="C875" s="82"/>
      <c r="D875" s="82"/>
      <c r="F875" s="82"/>
      <c r="G875" s="82"/>
      <c r="H875" s="82"/>
      <c r="I875" s="82"/>
      <c r="J875" s="82"/>
      <c r="K875" s="82"/>
      <c r="L875" s="82"/>
      <c r="M875" s="82"/>
      <c r="N875" s="82"/>
    </row>
    <row r="876" ht="15.75" customHeight="1">
      <c r="A876" s="82"/>
      <c r="B876" s="82"/>
      <c r="C876" s="82"/>
      <c r="D876" s="82"/>
      <c r="F876" s="82"/>
      <c r="G876" s="82"/>
      <c r="H876" s="82"/>
      <c r="I876" s="82"/>
      <c r="J876" s="82"/>
      <c r="K876" s="82"/>
      <c r="L876" s="82"/>
      <c r="M876" s="82"/>
      <c r="N876" s="82"/>
    </row>
    <row r="877" ht="15.75" customHeight="1">
      <c r="A877" s="82"/>
      <c r="B877" s="82"/>
      <c r="C877" s="82"/>
      <c r="D877" s="82"/>
      <c r="F877" s="82"/>
      <c r="G877" s="82"/>
      <c r="H877" s="82"/>
      <c r="I877" s="82"/>
      <c r="J877" s="82"/>
      <c r="K877" s="82"/>
      <c r="L877" s="82"/>
      <c r="M877" s="82"/>
      <c r="N877" s="82"/>
    </row>
    <row r="878" ht="15.75" customHeight="1">
      <c r="A878" s="82"/>
      <c r="B878" s="82"/>
      <c r="C878" s="82"/>
      <c r="D878" s="82"/>
      <c r="F878" s="82"/>
      <c r="G878" s="82"/>
      <c r="H878" s="82"/>
      <c r="I878" s="82"/>
      <c r="J878" s="82"/>
      <c r="K878" s="82"/>
      <c r="L878" s="82"/>
      <c r="M878" s="82"/>
      <c r="N878" s="82"/>
    </row>
    <row r="879" ht="15.75" customHeight="1">
      <c r="A879" s="82"/>
      <c r="B879" s="82"/>
      <c r="C879" s="82"/>
      <c r="D879" s="82"/>
      <c r="F879" s="82"/>
      <c r="G879" s="82"/>
      <c r="H879" s="82"/>
      <c r="I879" s="82"/>
      <c r="J879" s="82"/>
      <c r="K879" s="82"/>
      <c r="L879" s="82"/>
      <c r="M879" s="82"/>
      <c r="N879" s="82"/>
    </row>
    <row r="880" ht="15.75" customHeight="1">
      <c r="A880" s="82"/>
      <c r="B880" s="82"/>
      <c r="C880" s="82"/>
      <c r="D880" s="82"/>
      <c r="F880" s="82"/>
      <c r="G880" s="82"/>
      <c r="H880" s="82"/>
      <c r="I880" s="82"/>
      <c r="J880" s="82"/>
      <c r="K880" s="82"/>
      <c r="L880" s="82"/>
      <c r="M880" s="82"/>
      <c r="N880" s="82"/>
    </row>
    <row r="881" ht="15.75" customHeight="1">
      <c r="A881" s="82"/>
      <c r="B881" s="82"/>
      <c r="C881" s="82"/>
      <c r="D881" s="82"/>
      <c r="F881" s="82"/>
      <c r="G881" s="82"/>
      <c r="H881" s="82"/>
      <c r="I881" s="82"/>
      <c r="J881" s="82"/>
      <c r="K881" s="82"/>
      <c r="L881" s="82"/>
      <c r="M881" s="82"/>
      <c r="N881" s="82"/>
    </row>
    <row r="882" ht="15.75" customHeight="1">
      <c r="A882" s="82"/>
      <c r="B882" s="82"/>
      <c r="C882" s="82"/>
      <c r="D882" s="82"/>
      <c r="F882" s="82"/>
      <c r="G882" s="82"/>
      <c r="H882" s="82"/>
      <c r="I882" s="82"/>
      <c r="J882" s="82"/>
      <c r="K882" s="82"/>
      <c r="L882" s="82"/>
      <c r="M882" s="82"/>
      <c r="N882" s="82"/>
    </row>
    <row r="883" ht="15.75" customHeight="1">
      <c r="A883" s="82"/>
      <c r="B883" s="82"/>
      <c r="C883" s="82"/>
      <c r="D883" s="82"/>
      <c r="F883" s="82"/>
      <c r="G883" s="82"/>
      <c r="H883" s="82"/>
      <c r="I883" s="82"/>
      <c r="J883" s="82"/>
      <c r="K883" s="82"/>
      <c r="L883" s="82"/>
      <c r="M883" s="82"/>
      <c r="N883" s="82"/>
    </row>
    <row r="884" ht="15.75" customHeight="1">
      <c r="A884" s="82"/>
      <c r="B884" s="82"/>
      <c r="C884" s="82"/>
      <c r="D884" s="82"/>
      <c r="F884" s="82"/>
      <c r="G884" s="82"/>
      <c r="H884" s="82"/>
      <c r="I884" s="82"/>
      <c r="J884" s="82"/>
      <c r="K884" s="82"/>
      <c r="L884" s="82"/>
      <c r="M884" s="82"/>
      <c r="N884" s="82"/>
    </row>
    <row r="885" ht="15.75" customHeight="1">
      <c r="A885" s="82"/>
      <c r="B885" s="82"/>
      <c r="C885" s="82"/>
      <c r="D885" s="82"/>
      <c r="F885" s="82"/>
      <c r="G885" s="82"/>
      <c r="H885" s="82"/>
      <c r="I885" s="82"/>
      <c r="J885" s="82"/>
      <c r="K885" s="82"/>
      <c r="L885" s="82"/>
      <c r="M885" s="82"/>
      <c r="N885" s="82"/>
    </row>
    <row r="886" ht="15.75" customHeight="1">
      <c r="A886" s="82"/>
      <c r="B886" s="82"/>
      <c r="C886" s="82"/>
      <c r="D886" s="82"/>
      <c r="F886" s="82"/>
      <c r="G886" s="82"/>
      <c r="H886" s="82"/>
      <c r="I886" s="82"/>
      <c r="J886" s="82"/>
      <c r="K886" s="82"/>
      <c r="L886" s="82"/>
      <c r="M886" s="82"/>
      <c r="N886" s="82"/>
    </row>
    <row r="887" ht="15.75" customHeight="1">
      <c r="A887" s="82"/>
      <c r="B887" s="82"/>
      <c r="C887" s="82"/>
      <c r="D887" s="82"/>
      <c r="F887" s="82"/>
      <c r="G887" s="82"/>
      <c r="H887" s="82"/>
      <c r="I887" s="82"/>
      <c r="J887" s="82"/>
      <c r="K887" s="82"/>
      <c r="L887" s="82"/>
      <c r="M887" s="82"/>
      <c r="N887" s="82"/>
    </row>
    <row r="888" ht="15.75" customHeight="1">
      <c r="A888" s="82"/>
      <c r="B888" s="82"/>
      <c r="C888" s="82"/>
      <c r="D888" s="82"/>
      <c r="F888" s="82"/>
      <c r="G888" s="82"/>
      <c r="H888" s="82"/>
      <c r="I888" s="82"/>
      <c r="J888" s="82"/>
      <c r="K888" s="82"/>
      <c r="L888" s="82"/>
      <c r="M888" s="82"/>
      <c r="N888" s="82"/>
    </row>
    <row r="889" ht="15.75" customHeight="1">
      <c r="A889" s="82"/>
      <c r="B889" s="82"/>
      <c r="C889" s="82"/>
      <c r="D889" s="82"/>
      <c r="F889" s="82"/>
      <c r="G889" s="82"/>
      <c r="H889" s="82"/>
      <c r="I889" s="82"/>
      <c r="J889" s="82"/>
      <c r="K889" s="82"/>
      <c r="L889" s="82"/>
      <c r="M889" s="82"/>
      <c r="N889" s="82"/>
    </row>
    <row r="890" ht="15.75" customHeight="1">
      <c r="A890" s="82"/>
      <c r="B890" s="82"/>
      <c r="C890" s="82"/>
      <c r="D890" s="82"/>
      <c r="F890" s="82"/>
      <c r="G890" s="82"/>
      <c r="H890" s="82"/>
      <c r="I890" s="82"/>
      <c r="J890" s="82"/>
      <c r="K890" s="82"/>
      <c r="L890" s="82"/>
      <c r="M890" s="82"/>
      <c r="N890" s="82"/>
    </row>
    <row r="891" ht="15.75" customHeight="1">
      <c r="A891" s="82"/>
      <c r="B891" s="82"/>
      <c r="C891" s="82"/>
      <c r="D891" s="82"/>
      <c r="F891" s="82"/>
      <c r="G891" s="82"/>
      <c r="H891" s="82"/>
      <c r="I891" s="82"/>
      <c r="J891" s="82"/>
      <c r="K891" s="82"/>
      <c r="L891" s="82"/>
      <c r="M891" s="82"/>
      <c r="N891" s="82"/>
    </row>
    <row r="892" ht="15.75" customHeight="1">
      <c r="A892" s="82"/>
      <c r="B892" s="82"/>
      <c r="C892" s="82"/>
      <c r="D892" s="82"/>
      <c r="F892" s="82"/>
      <c r="G892" s="82"/>
      <c r="H892" s="82"/>
      <c r="I892" s="82"/>
      <c r="J892" s="82"/>
      <c r="K892" s="82"/>
      <c r="L892" s="82"/>
      <c r="M892" s="82"/>
      <c r="N892" s="82"/>
    </row>
    <row r="893" ht="15.75" customHeight="1">
      <c r="A893" s="82"/>
      <c r="B893" s="82"/>
      <c r="C893" s="82"/>
      <c r="D893" s="82"/>
      <c r="F893" s="82"/>
      <c r="G893" s="82"/>
      <c r="H893" s="82"/>
      <c r="I893" s="82"/>
      <c r="J893" s="82"/>
      <c r="K893" s="82"/>
      <c r="L893" s="82"/>
      <c r="M893" s="82"/>
      <c r="N893" s="82"/>
    </row>
    <row r="894" ht="15.75" customHeight="1">
      <c r="A894" s="82"/>
      <c r="B894" s="82"/>
      <c r="C894" s="82"/>
      <c r="D894" s="82"/>
      <c r="F894" s="82"/>
      <c r="G894" s="82"/>
      <c r="H894" s="82"/>
      <c r="I894" s="82"/>
      <c r="J894" s="82"/>
      <c r="K894" s="82"/>
      <c r="L894" s="82"/>
      <c r="M894" s="82"/>
      <c r="N894" s="82"/>
    </row>
    <row r="895" ht="15.75" customHeight="1">
      <c r="A895" s="82"/>
      <c r="B895" s="82"/>
      <c r="C895" s="82"/>
      <c r="D895" s="82"/>
      <c r="F895" s="82"/>
      <c r="G895" s="82"/>
      <c r="H895" s="82"/>
      <c r="I895" s="82"/>
      <c r="J895" s="82"/>
      <c r="K895" s="82"/>
      <c r="L895" s="82"/>
      <c r="M895" s="82"/>
      <c r="N895" s="82"/>
    </row>
    <row r="896" ht="15.75" customHeight="1">
      <c r="A896" s="82"/>
      <c r="B896" s="82"/>
      <c r="C896" s="82"/>
      <c r="D896" s="82"/>
      <c r="F896" s="82"/>
      <c r="G896" s="82"/>
      <c r="H896" s="82"/>
      <c r="I896" s="82"/>
      <c r="J896" s="82"/>
      <c r="K896" s="82"/>
      <c r="L896" s="82"/>
      <c r="M896" s="82"/>
      <c r="N896" s="82"/>
    </row>
    <row r="897" ht="15.75" customHeight="1">
      <c r="A897" s="82"/>
      <c r="B897" s="82"/>
      <c r="C897" s="82"/>
      <c r="D897" s="82"/>
      <c r="F897" s="82"/>
      <c r="G897" s="82"/>
      <c r="H897" s="82"/>
      <c r="I897" s="82"/>
      <c r="J897" s="82"/>
      <c r="K897" s="82"/>
      <c r="L897" s="82"/>
      <c r="M897" s="82"/>
      <c r="N897" s="82"/>
    </row>
    <row r="898" ht="15.75" customHeight="1">
      <c r="A898" s="82"/>
      <c r="B898" s="82"/>
      <c r="C898" s="82"/>
      <c r="D898" s="82"/>
      <c r="F898" s="82"/>
      <c r="G898" s="82"/>
      <c r="H898" s="82"/>
      <c r="I898" s="82"/>
      <c r="J898" s="82"/>
      <c r="K898" s="82"/>
      <c r="L898" s="82"/>
      <c r="M898" s="82"/>
      <c r="N898" s="82"/>
    </row>
    <row r="899" ht="15.75" customHeight="1">
      <c r="A899" s="82"/>
      <c r="B899" s="82"/>
      <c r="C899" s="82"/>
      <c r="D899" s="82"/>
      <c r="F899" s="82"/>
      <c r="G899" s="82"/>
      <c r="H899" s="82"/>
      <c r="I899" s="82"/>
      <c r="J899" s="82"/>
      <c r="K899" s="82"/>
      <c r="L899" s="82"/>
      <c r="M899" s="82"/>
      <c r="N899" s="82"/>
    </row>
    <row r="900" ht="15.75" customHeight="1">
      <c r="A900" s="82"/>
      <c r="B900" s="82"/>
      <c r="C900" s="82"/>
      <c r="D900" s="82"/>
      <c r="F900" s="82"/>
      <c r="G900" s="82"/>
      <c r="H900" s="82"/>
      <c r="I900" s="82"/>
      <c r="J900" s="82"/>
      <c r="K900" s="82"/>
      <c r="L900" s="82"/>
      <c r="M900" s="82"/>
      <c r="N900" s="82"/>
    </row>
    <row r="901" ht="15.75" customHeight="1">
      <c r="A901" s="82"/>
      <c r="B901" s="82"/>
      <c r="C901" s="82"/>
      <c r="D901" s="82"/>
      <c r="F901" s="82"/>
      <c r="G901" s="82"/>
      <c r="H901" s="82"/>
      <c r="I901" s="82"/>
      <c r="J901" s="82"/>
      <c r="K901" s="82"/>
      <c r="L901" s="82"/>
      <c r="M901" s="82"/>
      <c r="N901" s="82"/>
    </row>
    <row r="902" ht="15.75" customHeight="1">
      <c r="A902" s="82"/>
      <c r="B902" s="82"/>
      <c r="C902" s="82"/>
      <c r="D902" s="82"/>
      <c r="F902" s="82"/>
      <c r="G902" s="82"/>
      <c r="H902" s="82"/>
      <c r="I902" s="82"/>
      <c r="J902" s="82"/>
      <c r="K902" s="82"/>
      <c r="L902" s="82"/>
      <c r="M902" s="82"/>
      <c r="N902" s="82"/>
    </row>
    <row r="903" ht="15.75" customHeight="1">
      <c r="A903" s="82"/>
      <c r="B903" s="82"/>
      <c r="C903" s="82"/>
      <c r="D903" s="82"/>
      <c r="F903" s="82"/>
      <c r="G903" s="82"/>
      <c r="H903" s="82"/>
      <c r="I903" s="82"/>
      <c r="J903" s="82"/>
      <c r="K903" s="82"/>
      <c r="L903" s="82"/>
      <c r="M903" s="82"/>
      <c r="N903" s="82"/>
    </row>
    <row r="904" ht="15.75" customHeight="1">
      <c r="A904" s="82"/>
      <c r="B904" s="82"/>
      <c r="C904" s="82"/>
      <c r="D904" s="82"/>
      <c r="F904" s="82"/>
      <c r="G904" s="82"/>
      <c r="H904" s="82"/>
      <c r="I904" s="82"/>
      <c r="J904" s="82"/>
      <c r="K904" s="82"/>
      <c r="L904" s="82"/>
      <c r="M904" s="82"/>
      <c r="N904" s="82"/>
    </row>
    <row r="905" ht="15.75" customHeight="1">
      <c r="A905" s="82"/>
      <c r="B905" s="82"/>
      <c r="C905" s="82"/>
      <c r="D905" s="82"/>
      <c r="F905" s="82"/>
      <c r="G905" s="82"/>
      <c r="H905" s="82"/>
      <c r="I905" s="82"/>
      <c r="J905" s="82"/>
      <c r="K905" s="82"/>
      <c r="L905" s="82"/>
      <c r="M905" s="82"/>
      <c r="N905" s="82"/>
    </row>
    <row r="906" ht="15.75" customHeight="1">
      <c r="A906" s="82"/>
      <c r="B906" s="82"/>
      <c r="C906" s="82"/>
      <c r="D906" s="82"/>
      <c r="F906" s="82"/>
      <c r="G906" s="82"/>
      <c r="H906" s="82"/>
      <c r="I906" s="82"/>
      <c r="J906" s="82"/>
      <c r="K906" s="82"/>
      <c r="L906" s="82"/>
      <c r="M906" s="82"/>
      <c r="N906" s="82"/>
    </row>
    <row r="907" ht="15.75" customHeight="1">
      <c r="A907" s="82"/>
      <c r="B907" s="82"/>
      <c r="C907" s="82"/>
      <c r="D907" s="82"/>
      <c r="F907" s="82"/>
      <c r="G907" s="82"/>
      <c r="H907" s="82"/>
      <c r="I907" s="82"/>
      <c r="J907" s="82"/>
      <c r="K907" s="82"/>
      <c r="L907" s="82"/>
      <c r="M907" s="82"/>
      <c r="N907" s="82"/>
    </row>
    <row r="908" ht="15.75" customHeight="1">
      <c r="A908" s="82"/>
      <c r="B908" s="82"/>
      <c r="C908" s="82"/>
      <c r="D908" s="82"/>
      <c r="F908" s="82"/>
      <c r="G908" s="82"/>
      <c r="H908" s="82"/>
      <c r="I908" s="82"/>
      <c r="J908" s="82"/>
      <c r="K908" s="82"/>
      <c r="L908" s="82"/>
      <c r="M908" s="82"/>
      <c r="N908" s="82"/>
    </row>
    <row r="909" ht="15.75" customHeight="1">
      <c r="A909" s="82"/>
      <c r="B909" s="82"/>
      <c r="C909" s="82"/>
      <c r="D909" s="82"/>
      <c r="F909" s="82"/>
      <c r="G909" s="82"/>
      <c r="H909" s="82"/>
      <c r="I909" s="82"/>
      <c r="J909" s="82"/>
      <c r="K909" s="82"/>
      <c r="L909" s="82"/>
      <c r="M909" s="82"/>
      <c r="N909" s="82"/>
    </row>
    <row r="910" ht="15.75" customHeight="1">
      <c r="A910" s="82"/>
      <c r="B910" s="82"/>
      <c r="C910" s="82"/>
      <c r="D910" s="82"/>
      <c r="F910" s="82"/>
      <c r="G910" s="82"/>
      <c r="H910" s="82"/>
      <c r="I910" s="82"/>
      <c r="J910" s="82"/>
      <c r="K910" s="82"/>
      <c r="L910" s="82"/>
      <c r="M910" s="82"/>
      <c r="N910" s="82"/>
    </row>
    <row r="911" ht="15.75" customHeight="1">
      <c r="A911" s="82"/>
      <c r="B911" s="82"/>
      <c r="C911" s="82"/>
      <c r="D911" s="82"/>
      <c r="F911" s="82"/>
      <c r="G911" s="82"/>
      <c r="H911" s="82"/>
      <c r="I911" s="82"/>
      <c r="J911" s="82"/>
      <c r="K911" s="82"/>
      <c r="L911" s="82"/>
      <c r="M911" s="82"/>
      <c r="N911" s="82"/>
    </row>
    <row r="912" ht="15.75" customHeight="1">
      <c r="A912" s="82"/>
      <c r="B912" s="82"/>
      <c r="C912" s="82"/>
      <c r="D912" s="82"/>
      <c r="F912" s="82"/>
      <c r="G912" s="82"/>
      <c r="H912" s="82"/>
      <c r="I912" s="82"/>
      <c r="J912" s="82"/>
      <c r="K912" s="82"/>
      <c r="L912" s="82"/>
      <c r="M912" s="82"/>
      <c r="N912" s="82"/>
    </row>
    <row r="913" ht="15.75" customHeight="1">
      <c r="A913" s="82"/>
      <c r="B913" s="82"/>
      <c r="C913" s="82"/>
      <c r="D913" s="82"/>
      <c r="F913" s="82"/>
      <c r="G913" s="82"/>
      <c r="H913" s="82"/>
      <c r="I913" s="82"/>
      <c r="J913" s="82"/>
      <c r="K913" s="82"/>
      <c r="L913" s="82"/>
      <c r="M913" s="82"/>
      <c r="N913" s="82"/>
    </row>
    <row r="914" ht="15.75" customHeight="1">
      <c r="A914" s="82"/>
      <c r="B914" s="82"/>
      <c r="C914" s="82"/>
      <c r="D914" s="82"/>
      <c r="F914" s="82"/>
      <c r="G914" s="82"/>
      <c r="H914" s="82"/>
      <c r="I914" s="82"/>
      <c r="J914" s="82"/>
      <c r="K914" s="82"/>
      <c r="L914" s="82"/>
      <c r="M914" s="82"/>
      <c r="N914" s="82"/>
    </row>
    <row r="915" ht="15.75" customHeight="1">
      <c r="A915" s="82"/>
      <c r="B915" s="82"/>
      <c r="C915" s="82"/>
      <c r="D915" s="82"/>
      <c r="F915" s="82"/>
      <c r="G915" s="82"/>
      <c r="H915" s="82"/>
      <c r="I915" s="82"/>
      <c r="J915" s="82"/>
      <c r="K915" s="82"/>
      <c r="L915" s="82"/>
      <c r="M915" s="82"/>
      <c r="N915" s="82"/>
    </row>
    <row r="916" ht="15.75" customHeight="1">
      <c r="A916" s="82"/>
      <c r="B916" s="82"/>
      <c r="C916" s="82"/>
      <c r="D916" s="82"/>
      <c r="F916" s="82"/>
      <c r="G916" s="82"/>
      <c r="H916" s="82"/>
      <c r="I916" s="82"/>
      <c r="J916" s="82"/>
      <c r="K916" s="82"/>
      <c r="L916" s="82"/>
      <c r="M916" s="82"/>
      <c r="N916" s="82"/>
    </row>
    <row r="917" ht="15.75" customHeight="1">
      <c r="A917" s="82"/>
      <c r="B917" s="82"/>
      <c r="C917" s="82"/>
      <c r="D917" s="82"/>
      <c r="F917" s="82"/>
      <c r="G917" s="82"/>
      <c r="H917" s="82"/>
      <c r="I917" s="82"/>
      <c r="J917" s="82"/>
      <c r="K917" s="82"/>
      <c r="L917" s="82"/>
      <c r="M917" s="82"/>
      <c r="N917" s="82"/>
    </row>
    <row r="918" ht="15.75" customHeight="1">
      <c r="A918" s="82"/>
      <c r="B918" s="82"/>
      <c r="C918" s="82"/>
      <c r="D918" s="82"/>
      <c r="F918" s="82"/>
      <c r="G918" s="82"/>
      <c r="H918" s="82"/>
      <c r="I918" s="82"/>
      <c r="J918" s="82"/>
      <c r="K918" s="82"/>
      <c r="L918" s="82"/>
      <c r="M918" s="82"/>
      <c r="N918" s="82"/>
    </row>
    <row r="919" ht="15.75" customHeight="1">
      <c r="A919" s="82"/>
      <c r="B919" s="82"/>
      <c r="C919" s="82"/>
      <c r="D919" s="82"/>
      <c r="F919" s="82"/>
      <c r="G919" s="82"/>
      <c r="H919" s="82"/>
      <c r="I919" s="82"/>
      <c r="J919" s="82"/>
      <c r="K919" s="82"/>
      <c r="L919" s="82"/>
      <c r="M919" s="82"/>
      <c r="N919" s="82"/>
    </row>
    <row r="920" ht="15.75" customHeight="1">
      <c r="A920" s="82"/>
      <c r="B920" s="82"/>
      <c r="C920" s="82"/>
      <c r="D920" s="82"/>
      <c r="F920" s="82"/>
      <c r="G920" s="82"/>
      <c r="H920" s="82"/>
      <c r="I920" s="82"/>
      <c r="J920" s="82"/>
      <c r="K920" s="82"/>
      <c r="L920" s="82"/>
      <c r="M920" s="82"/>
      <c r="N920" s="82"/>
    </row>
    <row r="921" ht="15.75" customHeight="1">
      <c r="A921" s="82"/>
      <c r="B921" s="82"/>
      <c r="C921" s="82"/>
      <c r="D921" s="82"/>
      <c r="F921" s="82"/>
      <c r="G921" s="82"/>
      <c r="H921" s="82"/>
      <c r="I921" s="82"/>
      <c r="J921" s="82"/>
      <c r="K921" s="82"/>
      <c r="L921" s="82"/>
      <c r="M921" s="82"/>
      <c r="N921" s="82"/>
    </row>
    <row r="922" ht="15.75" customHeight="1">
      <c r="A922" s="82"/>
      <c r="B922" s="82"/>
      <c r="C922" s="82"/>
      <c r="D922" s="82"/>
      <c r="F922" s="82"/>
      <c r="G922" s="82"/>
      <c r="H922" s="82"/>
      <c r="I922" s="82"/>
      <c r="J922" s="82"/>
      <c r="K922" s="82"/>
      <c r="L922" s="82"/>
      <c r="M922" s="82"/>
      <c r="N922" s="82"/>
    </row>
    <row r="923" ht="15.75" customHeight="1">
      <c r="A923" s="82"/>
      <c r="B923" s="82"/>
      <c r="C923" s="82"/>
      <c r="D923" s="82"/>
      <c r="F923" s="82"/>
      <c r="G923" s="82"/>
      <c r="H923" s="82"/>
      <c r="I923" s="82"/>
      <c r="J923" s="82"/>
      <c r="K923" s="82"/>
      <c r="L923" s="82"/>
      <c r="M923" s="82"/>
      <c r="N923" s="82"/>
    </row>
    <row r="924" ht="15.75" customHeight="1">
      <c r="A924" s="82"/>
      <c r="B924" s="82"/>
      <c r="C924" s="82"/>
      <c r="D924" s="82"/>
      <c r="F924" s="82"/>
      <c r="G924" s="82"/>
      <c r="H924" s="82"/>
      <c r="I924" s="82"/>
      <c r="J924" s="82"/>
      <c r="K924" s="82"/>
      <c r="L924" s="82"/>
      <c r="M924" s="82"/>
      <c r="N924" s="82"/>
    </row>
    <row r="925" ht="15.75" customHeight="1">
      <c r="A925" s="82"/>
      <c r="B925" s="82"/>
      <c r="C925" s="82"/>
      <c r="D925" s="82"/>
      <c r="F925" s="82"/>
      <c r="G925" s="82"/>
      <c r="H925" s="82"/>
      <c r="I925" s="82"/>
      <c r="J925" s="82"/>
      <c r="K925" s="82"/>
      <c r="L925" s="82"/>
      <c r="M925" s="82"/>
      <c r="N925" s="82"/>
    </row>
    <row r="926" ht="15.75" customHeight="1">
      <c r="A926" s="82"/>
      <c r="B926" s="82"/>
      <c r="C926" s="82"/>
      <c r="D926" s="82"/>
      <c r="F926" s="82"/>
      <c r="G926" s="82"/>
      <c r="H926" s="82"/>
      <c r="I926" s="82"/>
      <c r="J926" s="82"/>
      <c r="K926" s="82"/>
      <c r="L926" s="82"/>
      <c r="M926" s="82"/>
      <c r="N926" s="82"/>
    </row>
    <row r="927" ht="15.75" customHeight="1">
      <c r="A927" s="82"/>
      <c r="B927" s="82"/>
      <c r="C927" s="82"/>
      <c r="D927" s="82"/>
      <c r="F927" s="82"/>
      <c r="G927" s="82"/>
      <c r="H927" s="82"/>
      <c r="I927" s="82"/>
      <c r="J927" s="82"/>
      <c r="K927" s="82"/>
      <c r="L927" s="82"/>
      <c r="M927" s="82"/>
      <c r="N927" s="82"/>
    </row>
    <row r="928" ht="15.75" customHeight="1">
      <c r="A928" s="82"/>
      <c r="B928" s="82"/>
      <c r="C928" s="82"/>
      <c r="D928" s="82"/>
      <c r="F928" s="82"/>
      <c r="G928" s="82"/>
      <c r="H928" s="82"/>
      <c r="I928" s="82"/>
      <c r="J928" s="82"/>
      <c r="K928" s="82"/>
      <c r="L928" s="82"/>
      <c r="M928" s="82"/>
      <c r="N928" s="82"/>
    </row>
    <row r="929" ht="15.75" customHeight="1">
      <c r="A929" s="82"/>
      <c r="B929" s="82"/>
      <c r="C929" s="82"/>
      <c r="D929" s="82"/>
      <c r="F929" s="82"/>
      <c r="G929" s="82"/>
      <c r="H929" s="82"/>
      <c r="I929" s="82"/>
      <c r="J929" s="82"/>
      <c r="K929" s="82"/>
      <c r="L929" s="82"/>
      <c r="M929" s="82"/>
      <c r="N929" s="82"/>
    </row>
    <row r="930" ht="15.75" customHeight="1">
      <c r="A930" s="82"/>
      <c r="B930" s="82"/>
      <c r="C930" s="82"/>
      <c r="D930" s="82"/>
      <c r="F930" s="82"/>
      <c r="G930" s="82"/>
      <c r="H930" s="82"/>
      <c r="I930" s="82"/>
      <c r="J930" s="82"/>
      <c r="K930" s="82"/>
      <c r="L930" s="82"/>
      <c r="M930" s="82"/>
      <c r="N930" s="82"/>
    </row>
    <row r="931" ht="15.75" customHeight="1">
      <c r="A931" s="82"/>
      <c r="B931" s="82"/>
      <c r="C931" s="82"/>
      <c r="D931" s="82"/>
      <c r="F931" s="82"/>
      <c r="G931" s="82"/>
      <c r="H931" s="82"/>
      <c r="I931" s="82"/>
      <c r="J931" s="82"/>
      <c r="K931" s="82"/>
      <c r="L931" s="82"/>
      <c r="M931" s="82"/>
      <c r="N931" s="82"/>
    </row>
    <row r="932" ht="15.75" customHeight="1">
      <c r="A932" s="82"/>
      <c r="B932" s="82"/>
      <c r="C932" s="82"/>
      <c r="D932" s="82"/>
      <c r="F932" s="82"/>
      <c r="G932" s="82"/>
      <c r="H932" s="82"/>
      <c r="I932" s="82"/>
      <c r="J932" s="82"/>
      <c r="K932" s="82"/>
      <c r="L932" s="82"/>
      <c r="M932" s="82"/>
      <c r="N932" s="82"/>
    </row>
    <row r="933" ht="15.75" customHeight="1">
      <c r="A933" s="82"/>
      <c r="B933" s="82"/>
      <c r="C933" s="82"/>
      <c r="D933" s="82"/>
      <c r="F933" s="82"/>
      <c r="G933" s="82"/>
      <c r="H933" s="82"/>
      <c r="I933" s="82"/>
      <c r="J933" s="82"/>
      <c r="K933" s="82"/>
      <c r="L933" s="82"/>
      <c r="M933" s="82"/>
      <c r="N933" s="82"/>
    </row>
    <row r="934" ht="15.75" customHeight="1">
      <c r="A934" s="82"/>
      <c r="B934" s="82"/>
      <c r="C934" s="82"/>
      <c r="D934" s="82"/>
      <c r="F934" s="82"/>
      <c r="G934" s="82"/>
      <c r="H934" s="82"/>
      <c r="I934" s="82"/>
      <c r="J934" s="82"/>
      <c r="K934" s="82"/>
      <c r="L934" s="82"/>
      <c r="M934" s="82"/>
      <c r="N934" s="82"/>
    </row>
    <row r="935" ht="15.75" customHeight="1">
      <c r="A935" s="82"/>
      <c r="B935" s="82"/>
      <c r="C935" s="82"/>
      <c r="D935" s="82"/>
      <c r="F935" s="82"/>
      <c r="G935" s="82"/>
      <c r="H935" s="82"/>
      <c r="I935" s="82"/>
      <c r="J935" s="82"/>
      <c r="K935" s="82"/>
      <c r="L935" s="82"/>
      <c r="M935" s="82"/>
      <c r="N935" s="82"/>
    </row>
    <row r="936" ht="15.75" customHeight="1">
      <c r="A936" s="82"/>
      <c r="B936" s="82"/>
      <c r="C936" s="82"/>
      <c r="D936" s="82"/>
      <c r="F936" s="82"/>
      <c r="G936" s="82"/>
      <c r="H936" s="82"/>
      <c r="I936" s="82"/>
      <c r="J936" s="82"/>
      <c r="K936" s="82"/>
      <c r="L936" s="82"/>
      <c r="M936" s="82"/>
      <c r="N936" s="82"/>
    </row>
    <row r="937" ht="15.75" customHeight="1">
      <c r="A937" s="82"/>
      <c r="B937" s="82"/>
      <c r="C937" s="82"/>
      <c r="D937" s="82"/>
      <c r="F937" s="82"/>
      <c r="G937" s="82"/>
      <c r="H937" s="82"/>
      <c r="I937" s="82"/>
      <c r="J937" s="82"/>
      <c r="K937" s="82"/>
      <c r="L937" s="82"/>
      <c r="M937" s="82"/>
      <c r="N937" s="82"/>
    </row>
    <row r="938" ht="15.75" customHeight="1">
      <c r="A938" s="82"/>
      <c r="B938" s="82"/>
      <c r="C938" s="82"/>
      <c r="D938" s="82"/>
      <c r="F938" s="82"/>
      <c r="G938" s="82"/>
      <c r="H938" s="82"/>
      <c r="I938" s="82"/>
      <c r="J938" s="82"/>
      <c r="K938" s="82"/>
      <c r="L938" s="82"/>
      <c r="M938" s="82"/>
      <c r="N938" s="82"/>
    </row>
    <row r="939" ht="15.75" customHeight="1">
      <c r="A939" s="82"/>
      <c r="B939" s="82"/>
      <c r="C939" s="82"/>
      <c r="D939" s="82"/>
      <c r="F939" s="82"/>
      <c r="G939" s="82"/>
      <c r="H939" s="82"/>
      <c r="I939" s="82"/>
      <c r="J939" s="82"/>
      <c r="K939" s="82"/>
      <c r="L939" s="82"/>
      <c r="M939" s="82"/>
      <c r="N939" s="82"/>
    </row>
    <row r="940" ht="15.75" customHeight="1">
      <c r="A940" s="82"/>
      <c r="B940" s="82"/>
      <c r="C940" s="82"/>
      <c r="D940" s="82"/>
      <c r="F940" s="82"/>
      <c r="G940" s="82"/>
      <c r="H940" s="82"/>
      <c r="I940" s="82"/>
      <c r="J940" s="82"/>
      <c r="K940" s="82"/>
      <c r="L940" s="82"/>
      <c r="M940" s="82"/>
      <c r="N940" s="82"/>
    </row>
    <row r="941" ht="15.75" customHeight="1">
      <c r="A941" s="82"/>
      <c r="B941" s="82"/>
      <c r="C941" s="82"/>
      <c r="D941" s="82"/>
      <c r="F941" s="82"/>
      <c r="G941" s="82"/>
      <c r="H941" s="82"/>
      <c r="I941" s="82"/>
      <c r="J941" s="82"/>
      <c r="K941" s="82"/>
      <c r="L941" s="82"/>
      <c r="M941" s="82"/>
      <c r="N941" s="82"/>
    </row>
    <row r="942" ht="15.75" customHeight="1">
      <c r="A942" s="82"/>
      <c r="B942" s="82"/>
      <c r="C942" s="82"/>
      <c r="D942" s="82"/>
      <c r="F942" s="82"/>
      <c r="G942" s="82"/>
      <c r="H942" s="82"/>
      <c r="I942" s="82"/>
      <c r="J942" s="82"/>
      <c r="K942" s="82"/>
      <c r="L942" s="82"/>
      <c r="M942" s="82"/>
      <c r="N942" s="82"/>
    </row>
    <row r="943" ht="15.75" customHeight="1">
      <c r="A943" s="82"/>
      <c r="B943" s="82"/>
      <c r="C943" s="82"/>
      <c r="D943" s="82"/>
      <c r="F943" s="82"/>
      <c r="G943" s="82"/>
      <c r="H943" s="82"/>
      <c r="I943" s="82"/>
      <c r="J943" s="82"/>
      <c r="K943" s="82"/>
      <c r="L943" s="82"/>
      <c r="M943" s="82"/>
      <c r="N943" s="82"/>
    </row>
    <row r="944" ht="15.75" customHeight="1">
      <c r="A944" s="82"/>
      <c r="B944" s="82"/>
      <c r="C944" s="82"/>
      <c r="D944" s="82"/>
      <c r="F944" s="82"/>
      <c r="G944" s="82"/>
      <c r="H944" s="82"/>
      <c r="I944" s="82"/>
      <c r="J944" s="82"/>
      <c r="K944" s="82"/>
      <c r="L944" s="82"/>
      <c r="M944" s="82"/>
      <c r="N944" s="82"/>
    </row>
    <row r="945" ht="15.75" customHeight="1">
      <c r="A945" s="82"/>
      <c r="B945" s="82"/>
      <c r="C945" s="82"/>
      <c r="D945" s="82"/>
      <c r="F945" s="82"/>
      <c r="G945" s="82"/>
      <c r="H945" s="82"/>
      <c r="I945" s="82"/>
      <c r="J945" s="82"/>
      <c r="K945" s="82"/>
      <c r="L945" s="82"/>
      <c r="M945" s="82"/>
      <c r="N945" s="82"/>
    </row>
    <row r="946" ht="15.75" customHeight="1">
      <c r="A946" s="82"/>
      <c r="B946" s="82"/>
      <c r="C946" s="82"/>
      <c r="D946" s="82"/>
      <c r="F946" s="82"/>
      <c r="G946" s="82"/>
      <c r="H946" s="82"/>
      <c r="I946" s="82"/>
      <c r="J946" s="82"/>
      <c r="K946" s="82"/>
      <c r="L946" s="82"/>
      <c r="M946" s="82"/>
      <c r="N946" s="82"/>
    </row>
    <row r="947" ht="15.75" customHeight="1">
      <c r="A947" s="82"/>
      <c r="B947" s="82"/>
      <c r="C947" s="82"/>
      <c r="D947" s="82"/>
      <c r="F947" s="82"/>
      <c r="G947" s="82"/>
      <c r="H947" s="82"/>
      <c r="I947" s="82"/>
      <c r="J947" s="82"/>
      <c r="K947" s="82"/>
      <c r="L947" s="82"/>
      <c r="M947" s="82"/>
      <c r="N947" s="82"/>
    </row>
    <row r="948" ht="15.75" customHeight="1">
      <c r="A948" s="82"/>
      <c r="B948" s="82"/>
      <c r="C948" s="82"/>
      <c r="D948" s="82"/>
      <c r="F948" s="82"/>
      <c r="G948" s="82"/>
      <c r="H948" s="82"/>
      <c r="I948" s="82"/>
      <c r="J948" s="82"/>
      <c r="K948" s="82"/>
      <c r="L948" s="82"/>
      <c r="M948" s="82"/>
      <c r="N948" s="82"/>
    </row>
    <row r="949" ht="15.75" customHeight="1">
      <c r="A949" s="82"/>
      <c r="B949" s="82"/>
      <c r="C949" s="82"/>
      <c r="D949" s="82"/>
      <c r="F949" s="82"/>
      <c r="G949" s="82"/>
      <c r="H949" s="82"/>
      <c r="I949" s="82"/>
      <c r="J949" s="82"/>
      <c r="K949" s="82"/>
      <c r="L949" s="82"/>
      <c r="M949" s="82"/>
      <c r="N949" s="82"/>
    </row>
    <row r="950" ht="15.75" customHeight="1">
      <c r="A950" s="82"/>
      <c r="B950" s="82"/>
      <c r="C950" s="82"/>
      <c r="D950" s="82"/>
      <c r="F950" s="82"/>
      <c r="G950" s="82"/>
      <c r="H950" s="82"/>
      <c r="I950" s="82"/>
      <c r="J950" s="82"/>
      <c r="K950" s="82"/>
      <c r="L950" s="82"/>
      <c r="M950" s="82"/>
      <c r="N950" s="82"/>
    </row>
    <row r="951" ht="15.75" customHeight="1">
      <c r="A951" s="82"/>
      <c r="B951" s="82"/>
      <c r="C951" s="82"/>
      <c r="D951" s="82"/>
      <c r="F951" s="82"/>
      <c r="G951" s="82"/>
      <c r="H951" s="82"/>
      <c r="I951" s="82"/>
      <c r="J951" s="82"/>
      <c r="K951" s="82"/>
      <c r="L951" s="82"/>
      <c r="M951" s="82"/>
      <c r="N951" s="82"/>
    </row>
    <row r="952" ht="15.75" customHeight="1">
      <c r="A952" s="82"/>
      <c r="B952" s="82"/>
      <c r="C952" s="82"/>
      <c r="D952" s="82"/>
      <c r="F952" s="82"/>
      <c r="G952" s="82"/>
      <c r="H952" s="82"/>
      <c r="I952" s="82"/>
      <c r="J952" s="82"/>
      <c r="K952" s="82"/>
      <c r="L952" s="82"/>
      <c r="M952" s="82"/>
      <c r="N952" s="82"/>
    </row>
    <row r="953" ht="15.75" customHeight="1">
      <c r="A953" s="82"/>
      <c r="B953" s="82"/>
      <c r="C953" s="82"/>
      <c r="D953" s="82"/>
      <c r="F953" s="82"/>
      <c r="G953" s="82"/>
      <c r="H953" s="82"/>
      <c r="I953" s="82"/>
      <c r="J953" s="82"/>
      <c r="K953" s="82"/>
      <c r="L953" s="82"/>
      <c r="M953" s="82"/>
      <c r="N953" s="82"/>
    </row>
    <row r="954" ht="15.75" customHeight="1">
      <c r="A954" s="82"/>
      <c r="B954" s="82"/>
      <c r="C954" s="82"/>
      <c r="D954" s="82"/>
      <c r="F954" s="82"/>
      <c r="G954" s="82"/>
      <c r="H954" s="82"/>
      <c r="I954" s="82"/>
      <c r="J954" s="82"/>
      <c r="K954" s="82"/>
      <c r="L954" s="82"/>
      <c r="M954" s="82"/>
      <c r="N954" s="82"/>
    </row>
    <row r="955" ht="15.75" customHeight="1">
      <c r="A955" s="82"/>
      <c r="B955" s="82"/>
      <c r="C955" s="82"/>
      <c r="D955" s="82"/>
      <c r="F955" s="82"/>
      <c r="G955" s="82"/>
      <c r="H955" s="82"/>
      <c r="I955" s="82"/>
      <c r="J955" s="82"/>
      <c r="K955" s="82"/>
      <c r="L955" s="82"/>
      <c r="M955" s="82"/>
      <c r="N955" s="82"/>
    </row>
    <row r="956" ht="15.75" customHeight="1">
      <c r="A956" s="82"/>
      <c r="B956" s="82"/>
      <c r="C956" s="82"/>
      <c r="D956" s="82"/>
      <c r="F956" s="82"/>
      <c r="G956" s="82"/>
      <c r="H956" s="82"/>
      <c r="I956" s="82"/>
      <c r="J956" s="82"/>
      <c r="K956" s="82"/>
      <c r="L956" s="82"/>
      <c r="M956" s="82"/>
      <c r="N956" s="82"/>
    </row>
    <row r="957" ht="15.75" customHeight="1">
      <c r="A957" s="82"/>
      <c r="B957" s="82"/>
      <c r="C957" s="82"/>
      <c r="D957" s="82"/>
      <c r="F957" s="82"/>
      <c r="G957" s="82"/>
      <c r="H957" s="82"/>
      <c r="I957" s="82"/>
      <c r="J957" s="82"/>
      <c r="K957" s="82"/>
      <c r="L957" s="82"/>
      <c r="M957" s="82"/>
      <c r="N957" s="82"/>
    </row>
    <row r="958" ht="15.75" customHeight="1">
      <c r="A958" s="82"/>
      <c r="B958" s="82"/>
      <c r="C958" s="82"/>
      <c r="D958" s="82"/>
      <c r="F958" s="82"/>
      <c r="G958" s="82"/>
      <c r="H958" s="82"/>
      <c r="I958" s="82"/>
      <c r="J958" s="82"/>
      <c r="K958" s="82"/>
      <c r="L958" s="82"/>
      <c r="M958" s="82"/>
      <c r="N958" s="82"/>
    </row>
    <row r="959" ht="15.75" customHeight="1">
      <c r="A959" s="82"/>
      <c r="B959" s="82"/>
      <c r="C959" s="82"/>
      <c r="D959" s="82"/>
      <c r="F959" s="82"/>
      <c r="G959" s="82"/>
      <c r="H959" s="82"/>
      <c r="I959" s="82"/>
      <c r="J959" s="82"/>
      <c r="K959" s="82"/>
      <c r="L959" s="82"/>
      <c r="M959" s="82"/>
      <c r="N959" s="82"/>
    </row>
    <row r="960" ht="15.75" customHeight="1">
      <c r="A960" s="82"/>
      <c r="B960" s="82"/>
      <c r="C960" s="82"/>
      <c r="D960" s="82"/>
      <c r="F960" s="82"/>
      <c r="G960" s="82"/>
      <c r="H960" s="82"/>
      <c r="I960" s="82"/>
      <c r="J960" s="82"/>
      <c r="K960" s="82"/>
      <c r="L960" s="82"/>
      <c r="M960" s="82"/>
      <c r="N960" s="82"/>
    </row>
    <row r="961" ht="15.75" customHeight="1">
      <c r="A961" s="82"/>
      <c r="B961" s="82"/>
      <c r="C961" s="82"/>
      <c r="D961" s="82"/>
      <c r="F961" s="82"/>
      <c r="G961" s="82"/>
      <c r="H961" s="82"/>
      <c r="I961" s="82"/>
      <c r="J961" s="82"/>
      <c r="K961" s="82"/>
      <c r="L961" s="82"/>
      <c r="M961" s="82"/>
      <c r="N961" s="82"/>
    </row>
    <row r="962" ht="15.75" customHeight="1">
      <c r="A962" s="82"/>
      <c r="B962" s="82"/>
      <c r="C962" s="82"/>
      <c r="D962" s="82"/>
      <c r="F962" s="82"/>
      <c r="G962" s="82"/>
      <c r="H962" s="82"/>
      <c r="I962" s="82"/>
      <c r="J962" s="82"/>
      <c r="K962" s="82"/>
      <c r="L962" s="82"/>
      <c r="M962" s="82"/>
      <c r="N962" s="82"/>
    </row>
    <row r="963" ht="15.75" customHeight="1">
      <c r="A963" s="82"/>
      <c r="B963" s="82"/>
      <c r="C963" s="82"/>
      <c r="D963" s="82"/>
      <c r="F963" s="82"/>
      <c r="G963" s="82"/>
      <c r="H963" s="82"/>
      <c r="I963" s="82"/>
      <c r="J963" s="82"/>
      <c r="K963" s="82"/>
      <c r="L963" s="82"/>
      <c r="M963" s="82"/>
      <c r="N963" s="82"/>
    </row>
    <row r="964" ht="15.75" customHeight="1">
      <c r="A964" s="82"/>
      <c r="B964" s="82"/>
      <c r="C964" s="82"/>
      <c r="D964" s="82"/>
      <c r="F964" s="82"/>
      <c r="G964" s="82"/>
      <c r="H964" s="82"/>
      <c r="I964" s="82"/>
      <c r="J964" s="82"/>
      <c r="K964" s="82"/>
      <c r="L964" s="82"/>
      <c r="M964" s="82"/>
      <c r="N964" s="82"/>
    </row>
    <row r="965" ht="15.75" customHeight="1">
      <c r="A965" s="82"/>
      <c r="B965" s="82"/>
      <c r="C965" s="82"/>
      <c r="D965" s="82"/>
      <c r="F965" s="82"/>
      <c r="G965" s="82"/>
      <c r="H965" s="82"/>
      <c r="I965" s="82"/>
      <c r="J965" s="82"/>
      <c r="K965" s="82"/>
      <c r="L965" s="82"/>
      <c r="M965" s="82"/>
      <c r="N965" s="82"/>
    </row>
    <row r="966" ht="15.75" customHeight="1">
      <c r="A966" s="82"/>
      <c r="B966" s="82"/>
      <c r="C966" s="82"/>
      <c r="D966" s="82"/>
      <c r="F966" s="82"/>
      <c r="G966" s="82"/>
      <c r="H966" s="82"/>
      <c r="I966" s="82"/>
      <c r="J966" s="82"/>
      <c r="K966" s="82"/>
      <c r="L966" s="82"/>
      <c r="M966" s="82"/>
      <c r="N966" s="82"/>
    </row>
    <row r="967" ht="15.75" customHeight="1">
      <c r="A967" s="82"/>
      <c r="B967" s="82"/>
      <c r="C967" s="82"/>
      <c r="D967" s="82"/>
      <c r="F967" s="82"/>
      <c r="G967" s="82"/>
      <c r="H967" s="82"/>
      <c r="I967" s="82"/>
      <c r="J967" s="82"/>
      <c r="K967" s="82"/>
      <c r="L967" s="82"/>
      <c r="M967" s="82"/>
      <c r="N967" s="82"/>
    </row>
    <row r="968" ht="15.75" customHeight="1">
      <c r="A968" s="82"/>
      <c r="B968" s="82"/>
      <c r="C968" s="82"/>
      <c r="D968" s="82"/>
      <c r="F968" s="82"/>
      <c r="G968" s="82"/>
      <c r="H968" s="82"/>
      <c r="I968" s="82"/>
      <c r="J968" s="82"/>
      <c r="K968" s="82"/>
      <c r="L968" s="82"/>
      <c r="M968" s="82"/>
      <c r="N968" s="82"/>
    </row>
    <row r="969" ht="15.75" customHeight="1">
      <c r="A969" s="82"/>
      <c r="B969" s="82"/>
      <c r="C969" s="82"/>
      <c r="D969" s="82"/>
      <c r="F969" s="82"/>
      <c r="G969" s="82"/>
      <c r="H969" s="82"/>
      <c r="I969" s="82"/>
      <c r="J969" s="82"/>
      <c r="K969" s="82"/>
      <c r="L969" s="82"/>
      <c r="M969" s="82"/>
      <c r="N969" s="82"/>
    </row>
    <row r="970" ht="15.75" customHeight="1">
      <c r="A970" s="82"/>
      <c r="B970" s="82"/>
      <c r="C970" s="82"/>
      <c r="D970" s="82"/>
      <c r="F970" s="82"/>
      <c r="G970" s="82"/>
      <c r="H970" s="82"/>
      <c r="I970" s="82"/>
      <c r="J970" s="82"/>
      <c r="K970" s="82"/>
      <c r="L970" s="82"/>
      <c r="M970" s="82"/>
      <c r="N970" s="82"/>
    </row>
    <row r="971" ht="15.75" customHeight="1">
      <c r="A971" s="82"/>
      <c r="B971" s="82"/>
      <c r="C971" s="82"/>
      <c r="D971" s="82"/>
      <c r="F971" s="82"/>
      <c r="G971" s="82"/>
      <c r="H971" s="82"/>
      <c r="I971" s="82"/>
      <c r="J971" s="82"/>
      <c r="K971" s="82"/>
      <c r="L971" s="82"/>
      <c r="M971" s="82"/>
      <c r="N971" s="82"/>
    </row>
    <row r="972" ht="15.75" customHeight="1">
      <c r="A972" s="82"/>
      <c r="B972" s="82"/>
      <c r="C972" s="82"/>
      <c r="D972" s="82"/>
      <c r="F972" s="82"/>
      <c r="G972" s="82"/>
      <c r="H972" s="82"/>
      <c r="I972" s="82"/>
      <c r="J972" s="82"/>
      <c r="K972" s="82"/>
      <c r="L972" s="82"/>
      <c r="M972" s="82"/>
      <c r="N972" s="82"/>
    </row>
    <row r="973" ht="15.75" customHeight="1">
      <c r="A973" s="82"/>
      <c r="B973" s="82"/>
      <c r="C973" s="82"/>
      <c r="D973" s="82"/>
      <c r="F973" s="82"/>
      <c r="G973" s="82"/>
      <c r="H973" s="82"/>
      <c r="I973" s="82"/>
      <c r="J973" s="82"/>
      <c r="K973" s="82"/>
      <c r="L973" s="82"/>
      <c r="M973" s="82"/>
      <c r="N973" s="82"/>
    </row>
    <row r="974" ht="15.75" customHeight="1">
      <c r="A974" s="82"/>
      <c r="B974" s="82"/>
      <c r="C974" s="82"/>
      <c r="D974" s="82"/>
      <c r="F974" s="82"/>
      <c r="G974" s="82"/>
      <c r="H974" s="82"/>
      <c r="I974" s="82"/>
      <c r="J974" s="82"/>
      <c r="K974" s="82"/>
      <c r="L974" s="82"/>
      <c r="M974" s="82"/>
      <c r="N974" s="82"/>
    </row>
    <row r="975" ht="15.75" customHeight="1">
      <c r="A975" s="82"/>
      <c r="B975" s="82"/>
      <c r="C975" s="82"/>
      <c r="D975" s="82"/>
      <c r="F975" s="82"/>
      <c r="G975" s="82"/>
      <c r="H975" s="82"/>
      <c r="I975" s="82"/>
      <c r="J975" s="82"/>
      <c r="K975" s="82"/>
      <c r="L975" s="82"/>
      <c r="M975" s="82"/>
      <c r="N975" s="82"/>
    </row>
    <row r="976" ht="15.75" customHeight="1">
      <c r="A976" s="82"/>
      <c r="B976" s="82"/>
      <c r="C976" s="82"/>
      <c r="D976" s="82"/>
      <c r="F976" s="82"/>
      <c r="G976" s="82"/>
      <c r="H976" s="82"/>
      <c r="I976" s="82"/>
      <c r="J976" s="82"/>
      <c r="K976" s="82"/>
      <c r="L976" s="82"/>
      <c r="M976" s="82"/>
      <c r="N976" s="82"/>
    </row>
    <row r="977" ht="15.75" customHeight="1">
      <c r="A977" s="82"/>
      <c r="B977" s="82"/>
      <c r="C977" s="82"/>
      <c r="D977" s="82"/>
      <c r="F977" s="82"/>
      <c r="G977" s="82"/>
      <c r="H977" s="82"/>
      <c r="I977" s="82"/>
      <c r="J977" s="82"/>
      <c r="K977" s="82"/>
      <c r="L977" s="82"/>
      <c r="M977" s="82"/>
      <c r="N977" s="82"/>
    </row>
    <row r="978" ht="15.75" customHeight="1">
      <c r="A978" s="82"/>
      <c r="B978" s="82"/>
      <c r="C978" s="82"/>
      <c r="D978" s="82"/>
      <c r="F978" s="82"/>
      <c r="G978" s="82"/>
      <c r="H978" s="82"/>
      <c r="I978" s="82"/>
      <c r="J978" s="82"/>
      <c r="K978" s="82"/>
      <c r="L978" s="82"/>
      <c r="M978" s="82"/>
      <c r="N978" s="82"/>
    </row>
    <row r="979" ht="15.75" customHeight="1">
      <c r="A979" s="82"/>
      <c r="B979" s="82"/>
      <c r="C979" s="82"/>
      <c r="D979" s="82"/>
      <c r="F979" s="82"/>
      <c r="G979" s="82"/>
      <c r="H979" s="82"/>
      <c r="I979" s="82"/>
      <c r="J979" s="82"/>
      <c r="K979" s="82"/>
      <c r="L979" s="82"/>
      <c r="M979" s="82"/>
      <c r="N979" s="82"/>
    </row>
    <row r="980" ht="15.75" customHeight="1">
      <c r="A980" s="82"/>
      <c r="B980" s="82"/>
      <c r="C980" s="82"/>
      <c r="D980" s="82"/>
      <c r="F980" s="82"/>
      <c r="G980" s="82"/>
      <c r="H980" s="82"/>
      <c r="I980" s="82"/>
      <c r="J980" s="82"/>
      <c r="K980" s="82"/>
      <c r="L980" s="82"/>
      <c r="M980" s="82"/>
      <c r="N980" s="82"/>
    </row>
    <row r="981" ht="15.75" customHeight="1">
      <c r="A981" s="82"/>
      <c r="B981" s="82"/>
      <c r="C981" s="82"/>
      <c r="D981" s="82"/>
      <c r="F981" s="82"/>
      <c r="G981" s="82"/>
      <c r="H981" s="82"/>
      <c r="I981" s="82"/>
      <c r="J981" s="82"/>
      <c r="K981" s="82"/>
      <c r="L981" s="82"/>
      <c r="M981" s="82"/>
      <c r="N981" s="82"/>
    </row>
    <row r="982" ht="15.75" customHeight="1">
      <c r="A982" s="82"/>
      <c r="B982" s="82"/>
      <c r="C982" s="82"/>
      <c r="D982" s="82"/>
      <c r="F982" s="82"/>
      <c r="G982" s="82"/>
      <c r="H982" s="82"/>
      <c r="I982" s="82"/>
      <c r="J982" s="82"/>
      <c r="K982" s="82"/>
      <c r="L982" s="82"/>
      <c r="M982" s="82"/>
      <c r="N982" s="82"/>
    </row>
    <row r="983" ht="15.75" customHeight="1">
      <c r="A983" s="82"/>
      <c r="B983" s="82"/>
      <c r="C983" s="82"/>
      <c r="D983" s="82"/>
      <c r="F983" s="82"/>
      <c r="G983" s="82"/>
      <c r="H983" s="82"/>
      <c r="I983" s="82"/>
      <c r="J983" s="82"/>
      <c r="K983" s="82"/>
      <c r="L983" s="82"/>
      <c r="M983" s="82"/>
      <c r="N983" s="82"/>
    </row>
    <row r="984" ht="15.75" customHeight="1">
      <c r="A984" s="82"/>
      <c r="B984" s="82"/>
      <c r="C984" s="82"/>
      <c r="D984" s="82"/>
      <c r="F984" s="82"/>
      <c r="G984" s="82"/>
      <c r="H984" s="82"/>
      <c r="I984" s="82"/>
      <c r="J984" s="82"/>
      <c r="K984" s="82"/>
      <c r="L984" s="82"/>
      <c r="M984" s="82"/>
      <c r="N984" s="82"/>
    </row>
    <row r="985" ht="15.75" customHeight="1">
      <c r="A985" s="82"/>
      <c r="B985" s="82"/>
      <c r="C985" s="82"/>
      <c r="D985" s="82"/>
      <c r="F985" s="82"/>
      <c r="G985" s="82"/>
      <c r="H985" s="82"/>
      <c r="I985" s="82"/>
      <c r="J985" s="82"/>
      <c r="K985" s="82"/>
      <c r="L985" s="82"/>
      <c r="M985" s="82"/>
      <c r="N985" s="82"/>
    </row>
    <row r="986" ht="15.75" customHeight="1">
      <c r="A986" s="82"/>
      <c r="B986" s="82"/>
      <c r="C986" s="82"/>
      <c r="D986" s="82"/>
      <c r="F986" s="82"/>
      <c r="G986" s="82"/>
      <c r="H986" s="82"/>
      <c r="I986" s="82"/>
      <c r="J986" s="82"/>
      <c r="K986" s="82"/>
      <c r="L986" s="82"/>
      <c r="M986" s="82"/>
      <c r="N986" s="82"/>
    </row>
    <row r="987" ht="15.75" customHeight="1">
      <c r="A987" s="82"/>
      <c r="B987" s="82"/>
      <c r="C987" s="82"/>
      <c r="D987" s="82"/>
      <c r="F987" s="82"/>
      <c r="G987" s="82"/>
      <c r="H987" s="82"/>
      <c r="I987" s="82"/>
      <c r="J987" s="82"/>
      <c r="K987" s="82"/>
      <c r="L987" s="82"/>
      <c r="M987" s="82"/>
      <c r="N987" s="82"/>
    </row>
    <row r="988" ht="15.75" customHeight="1">
      <c r="A988" s="82"/>
      <c r="B988" s="82"/>
      <c r="C988" s="82"/>
      <c r="D988" s="82"/>
      <c r="F988" s="82"/>
      <c r="G988" s="82"/>
      <c r="H988" s="82"/>
      <c r="I988" s="82"/>
      <c r="J988" s="82"/>
      <c r="K988" s="82"/>
      <c r="L988" s="82"/>
      <c r="M988" s="82"/>
      <c r="N988" s="82"/>
    </row>
    <row r="989" ht="15.75" customHeight="1">
      <c r="A989" s="82"/>
      <c r="B989" s="82"/>
      <c r="C989" s="82"/>
      <c r="D989" s="82"/>
      <c r="F989" s="82"/>
      <c r="G989" s="82"/>
      <c r="H989" s="82"/>
      <c r="I989" s="82"/>
      <c r="J989" s="82"/>
      <c r="K989" s="82"/>
      <c r="L989" s="82"/>
      <c r="M989" s="82"/>
      <c r="N989" s="82"/>
    </row>
    <row r="990" ht="15.75" customHeight="1">
      <c r="A990" s="82"/>
      <c r="B990" s="82"/>
      <c r="C990" s="82"/>
      <c r="D990" s="82"/>
      <c r="F990" s="82"/>
      <c r="G990" s="82"/>
      <c r="H990" s="82"/>
      <c r="I990" s="82"/>
      <c r="J990" s="82"/>
      <c r="K990" s="82"/>
      <c r="L990" s="82"/>
      <c r="M990" s="82"/>
      <c r="N990" s="82"/>
    </row>
    <row r="991" ht="15.75" customHeight="1">
      <c r="A991" s="82"/>
      <c r="B991" s="82"/>
      <c r="C991" s="82"/>
      <c r="D991" s="82"/>
      <c r="F991" s="82"/>
      <c r="G991" s="82"/>
      <c r="H991" s="82"/>
      <c r="I991" s="82"/>
      <c r="J991" s="82"/>
      <c r="K991" s="82"/>
      <c r="L991" s="82"/>
      <c r="M991" s="82"/>
      <c r="N991" s="82"/>
    </row>
    <row r="992" ht="15.75" customHeight="1">
      <c r="A992" s="82"/>
      <c r="B992" s="82"/>
      <c r="C992" s="82"/>
      <c r="D992" s="82"/>
      <c r="F992" s="82"/>
      <c r="G992" s="82"/>
      <c r="H992" s="82"/>
      <c r="I992" s="82"/>
      <c r="J992" s="82"/>
      <c r="K992" s="82"/>
      <c r="L992" s="82"/>
      <c r="M992" s="82"/>
      <c r="N992" s="82"/>
    </row>
    <row r="993" ht="15.75" customHeight="1">
      <c r="A993" s="82"/>
      <c r="B993" s="82"/>
      <c r="C993" s="82"/>
      <c r="D993" s="82"/>
      <c r="F993" s="82"/>
      <c r="G993" s="82"/>
      <c r="H993" s="82"/>
      <c r="I993" s="82"/>
      <c r="J993" s="82"/>
      <c r="K993" s="82"/>
      <c r="L993" s="82"/>
      <c r="M993" s="82"/>
      <c r="N993" s="82"/>
    </row>
    <row r="994" ht="15.75" customHeight="1">
      <c r="A994" s="82"/>
      <c r="B994" s="82"/>
      <c r="C994" s="82"/>
      <c r="D994" s="82"/>
      <c r="F994" s="82"/>
      <c r="G994" s="82"/>
      <c r="H994" s="82"/>
      <c r="I994" s="82"/>
      <c r="J994" s="82"/>
      <c r="K994" s="82"/>
      <c r="L994" s="82"/>
      <c r="M994" s="82"/>
      <c r="N994" s="82"/>
    </row>
    <row r="995" ht="15.75" customHeight="1">
      <c r="A995" s="82"/>
      <c r="B995" s="82"/>
      <c r="C995" s="82"/>
      <c r="D995" s="82"/>
      <c r="F995" s="82"/>
      <c r="G995" s="82"/>
      <c r="H995" s="82"/>
      <c r="I995" s="82"/>
      <c r="J995" s="82"/>
      <c r="K995" s="82"/>
      <c r="L995" s="82"/>
      <c r="M995" s="82"/>
      <c r="N995" s="82"/>
    </row>
    <row r="996" ht="15.75" customHeight="1">
      <c r="A996" s="82"/>
      <c r="B996" s="82"/>
      <c r="C996" s="82"/>
      <c r="D996" s="82"/>
      <c r="F996" s="82"/>
      <c r="G996" s="82"/>
      <c r="H996" s="82"/>
      <c r="I996" s="82"/>
      <c r="J996" s="82"/>
      <c r="K996" s="82"/>
      <c r="L996" s="82"/>
      <c r="M996" s="82"/>
      <c r="N996" s="82"/>
    </row>
    <row r="997" ht="15.75" customHeight="1">
      <c r="A997" s="82"/>
      <c r="B997" s="82"/>
      <c r="C997" s="82"/>
      <c r="D997" s="82"/>
      <c r="F997" s="82"/>
      <c r="G997" s="82"/>
      <c r="H997" s="82"/>
      <c r="I997" s="82"/>
      <c r="J997" s="82"/>
      <c r="K997" s="82"/>
      <c r="L997" s="82"/>
      <c r="M997" s="82"/>
      <c r="N997" s="82"/>
    </row>
    <row r="998" ht="15.75" customHeight="1">
      <c r="A998" s="82"/>
      <c r="B998" s="82"/>
      <c r="C998" s="82"/>
      <c r="D998" s="82"/>
      <c r="F998" s="82"/>
      <c r="G998" s="82"/>
      <c r="H998" s="82"/>
      <c r="I998" s="82"/>
      <c r="J998" s="82"/>
      <c r="K998" s="82"/>
      <c r="L998" s="82"/>
      <c r="M998" s="82"/>
      <c r="N998" s="82"/>
    </row>
    <row r="999" ht="15.75" customHeight="1">
      <c r="A999" s="82"/>
      <c r="B999" s="82"/>
      <c r="C999" s="82"/>
      <c r="D999" s="82"/>
      <c r="F999" s="82"/>
      <c r="G999" s="82"/>
      <c r="H999" s="82"/>
      <c r="I999" s="82"/>
      <c r="J999" s="82"/>
      <c r="K999" s="82"/>
      <c r="L999" s="82"/>
      <c r="M999" s="82"/>
      <c r="N999" s="82"/>
    </row>
    <row r="1000" ht="15.75" customHeight="1">
      <c r="A1000" s="82"/>
      <c r="B1000" s="82"/>
      <c r="C1000" s="82"/>
      <c r="D1000" s="82"/>
      <c r="F1000" s="82"/>
      <c r="G1000" s="82"/>
      <c r="H1000" s="82"/>
      <c r="I1000" s="82"/>
      <c r="J1000" s="82"/>
      <c r="K1000" s="82"/>
      <c r="L1000" s="82"/>
      <c r="M1000" s="82"/>
      <c r="N1000" s="82"/>
    </row>
  </sheetData>
  <conditionalFormatting sqref="F53">
    <cfRule type="expression" dxfId="2" priority="1">
      <formula>#REF!=1</formula>
    </cfRule>
  </conditionalFormatting>
  <conditionalFormatting sqref="F53">
    <cfRule type="expression" dxfId="11" priority="2">
      <formula>$F53=3</formula>
    </cfRule>
  </conditionalFormatting>
  <conditionalFormatting sqref="F53">
    <cfRule type="expression" dxfId="12" priority="3">
      <formula>$F53=2</formula>
    </cfRule>
  </conditionalFormatting>
  <conditionalFormatting sqref="F53">
    <cfRule type="expression" dxfId="13" priority="4">
      <formula>$F53=1</formula>
    </cfRule>
  </conditionalFormatting>
  <conditionalFormatting sqref="A53:M53">
    <cfRule type="expression" dxfId="6" priority="5">
      <formula>$F53=0</formula>
    </cfRule>
  </conditionalFormatting>
  <conditionalFormatting sqref="A53:M53">
    <cfRule type="expression" dxfId="6" priority="6">
      <formula>$F53=0</formula>
    </cfRule>
  </conditionalFormatting>
  <conditionalFormatting sqref="A53:M53">
    <cfRule type="expression" dxfId="9" priority="7">
      <formula>#REF!&gt;=1</formula>
    </cfRule>
  </conditionalFormatting>
  <conditionalFormatting sqref="A53:M53">
    <cfRule type="expression" dxfId="8" priority="8">
      <formula>#REF!&gt;=1</formula>
    </cfRule>
  </conditionalFormatting>
  <conditionalFormatting sqref="A53:M53">
    <cfRule type="expression" dxfId="7" priority="9">
      <formula>#REF!&gt;=1</formula>
    </cfRule>
  </conditionalFormatting>
  <conditionalFormatting sqref="A53:M53">
    <cfRule type="expression" dxfId="8" priority="10">
      <formula>$H53&gt;=1</formula>
    </cfRule>
  </conditionalFormatting>
  <conditionalFormatting sqref="A53:M53">
    <cfRule type="expression" dxfId="16" priority="11">
      <formula>$I53&gt;=1</formula>
    </cfRule>
  </conditionalFormatting>
  <conditionalFormatting sqref="A53:M53">
    <cfRule type="expression" dxfId="7" priority="12">
      <formula>$G53&gt;=1</formula>
    </cfRule>
  </conditionalFormatting>
  <conditionalFormatting sqref="A1:M3 A5:M8 A10:M12 A14:M14 A16:M21 A28:M36 A38:M40 A42:M42 A46:M52 A58:M64 A68:M75 A77:M85 A87:M88 A92:M92 A94:M95 A97:M105 A108:M111 A113:M116 A118:M134 A136:M154 A156:M156 A165:M171 A173:M182 A185:M185 A187:M192 A194:M198 A201:M201 A204:M204 A206:M219">
    <cfRule type="expression" dxfId="6" priority="13">
      <formula>$F1=0</formula>
    </cfRule>
  </conditionalFormatting>
  <conditionalFormatting sqref="A1:M3 A5:M8 A10:M12 A14:M14 A16:M21 A28:M36 A38:M40 A42:M42 A46:M52 A58:M64 A68:M75 A77:M85 A87:M88 A92:M92 A94:M95 A97:M105 A108:M111 A113:M116 A118:M134 A136:M154 A156:M156 A165:M171 A173:M182 A185:M185 A187:M192 A194:M198 A201:M201 A204:M204 A206:M219">
    <cfRule type="expression" dxfId="7" priority="14">
      <formula>$G1&gt;=1</formula>
    </cfRule>
  </conditionalFormatting>
  <conditionalFormatting sqref="A1:M3 A5:M8 A10:M12 A14:M14 A16:M21 A28:M36 A38:M40 A42:M42 A46:M52 A58:M64 A68:M75 A77:M85 A87:M88 A92:M92 A94:M95 A97:M105 A108:M111 A113:M116 A118:M134 A136:M154 A156:M156 A165:M171 A173:M182 A185:M185 A187:M192 A194:M198 A201:M201 A204:M204 A206:M219">
    <cfRule type="expression" dxfId="8" priority="15">
      <formula>$H1&gt;=1</formula>
    </cfRule>
  </conditionalFormatting>
  <conditionalFormatting sqref="A1:M3 A5:M8 A10:M12 A14:M14 A16:M21 A28:M36 A38:M40 A42:M42 A46:M52 A58:M64 A68:M75 A77:M85 A87:M88 A92:M92 A94:M95 A97:M105 A108:M111 A113:M116 A118:M134 A136:M154 A156:M156 A165:M171 A173:M182 A185:M185 A187:M192 A194:M198 A201:M201 A204:M204 A206:M219">
    <cfRule type="expression" dxfId="9" priority="16">
      <formula>$I1&gt;=1</formula>
    </cfRule>
  </conditionalFormatting>
  <conditionalFormatting sqref="N1:N3 N5:N8 N10:N12 N14 N16:N21 N28:N36 N38:N40 N42 N46:N52 N58:N64 N68:N75 N77:N85 N87:N88 N92 N94:N95 N97:N105 N108:N111 N113:N116 N118:N134 N136:N154 N156 N165:N171 N173:N182 N185 N187:N192 N194:N198 N201 N204 N206:N219">
    <cfRule type="cellIs" dxfId="0" priority="17" operator="equal">
      <formula>"NORMAL / SIN OFERTA"</formula>
    </cfRule>
  </conditionalFormatting>
  <conditionalFormatting sqref="N1:N3 N5:N8 N10:N12 N14 N16:N21 N28:N36 N38:N40 N42 N46:N52 N58:N64 N68:N75 N77:N85 N87:N88 N92 N94:N95 N97:N105 N108:N111 N113:N116 N118:N134 N136:N154 N156 N165:N171 N173:N182 N185 N187:N192 N194:N198 N201 N204 N206:N219">
    <cfRule type="cellIs" dxfId="1" priority="18" operator="equal">
      <formula>"SIN STOCK / CARGAR PRECIO"</formula>
    </cfRule>
  </conditionalFormatting>
  <conditionalFormatting sqref="F1:F3 F5:F8 F10:F12 F14 F16:F21 F28:F36 F38:F40 F42 F46:F52 F58:F64 F68:F75 F77:F85 F87:F88 F92 F94:F95 F97:F105 F108:F111 F113:F116 F118:F134 F136:F154 F156 F165:F171 F173:F182 F185 F187:F192 F194:F198 F201 F204 F206:F219">
    <cfRule type="expression" dxfId="2" priority="19">
      <formula>$F1=1</formula>
    </cfRule>
  </conditionalFormatting>
  <conditionalFormatting sqref="F1:F3 F5:F8 F10:F12 F14 F16:F21 F28:F36 F38:F40 F42 F46:F52 F58:F64 F68:F75 F77:F85 F87:F88 F92 F94:F95 F97:F105 F108:F111 F113:F116 F118:F134 F136:F154 F156 F165:F171 F173:F182 F185 F187:F192 F194:F198 F201 F204 F206:F219">
    <cfRule type="expression" dxfId="3" priority="20">
      <formula>$F1=2</formula>
    </cfRule>
  </conditionalFormatting>
  <conditionalFormatting sqref="F1:F3 F5:F8 F10:F12 F14 F16:F21 F28:F36 F38:F40 F42 F46:F52 F58:F64 F68:F75 F77:F85 F87:F88 F92 F94:F95 F97:F105 F108:F111 F113:F116 F118:F134 F136:F154 F156 F165:F171 F173:F182 F185 F187:F192 F194:F198 F201 F204 F206:F219">
    <cfRule type="expression" dxfId="4" priority="21">
      <formula>$F1=3</formula>
    </cfRule>
  </conditionalFormatting>
  <conditionalFormatting sqref="F1:F3 F5:F8 F10:F12 F14 F16:F21 F28:F36 F38:F40 F42 F46:F52 F58:F64 F68:F75 F77:F85 F87:F88 F92 F94:F95 F97:F105 F108:F111 F113:F116 F118:F134 F136:F154 F156 F165:F171 F173:F182 F185 F187:F192 F194:F198 F201 F204 F206:F219">
    <cfRule type="expression" dxfId="5" priority="22">
      <formula>$F1&gt;=4</formula>
    </cfRule>
  </conditionalFormatting>
  <conditionalFormatting sqref="I1:I3">
    <cfRule type="notContainsBlanks" dxfId="14" priority="23">
      <formula>LEN(TRIM(I1))&gt;0</formula>
    </cfRule>
  </conditionalFormatting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0.25"/>
    <col customWidth="1" min="2" max="2" width="13.0"/>
    <col customWidth="1" min="3" max="3" width="20.0"/>
    <col customWidth="1" min="4" max="4" width="18.38"/>
    <col customWidth="1" min="5" max="11" width="7.75"/>
  </cols>
  <sheetData>
    <row r="1" ht="15.75" customHeight="1">
      <c r="A1" s="86" t="str">
        <f t="array" ref="A1:A7">{
  "📊 RESUMEN DE OFERTAS (CONTEO REAL)";
  "";
  "⚡ Relámpago: "&amp;SUM(--(
     ISNUMBER(MATCH(inventario!G3:G729,{1;2;3;4;5;6;10;11;12;13;14},0)) *
     (inventario!F3:F729&gt;0)
  ));
  "🔥 Destacadas: "&amp;SUM(--(
     (inventario!H3:H729&gt;0) *
     (inventario!F3:F729&gt;0)
  ));
  "🎁 Especiales: "&amp;SUM(--(
     (inventario!I3:I729=1) *
     (inventario!F3:F729&gt;0)
  ));
  "";
  "📦 Total con oferta: "&amp;(
     SUM(--(
       ISNUMBER(MATCH(inventario!G3:G729,{1;2;3;4;5;6;10;11;12;13;14},0)) *
       (inventario!F3:F729&gt;0)
     )) +
     SUM(--(
       (inventario!H3:H729&gt;0) *
       (inventario!F3:F729&gt;0)
     )) +
     SUM(--(
       (inventario!I3:I729=1) *
       (inventario!F3:F729&gt;0)
     ))
  )
}</f>
        <v>📊 RESUMEN DE OFERTAS (CONTEO REAL)</v>
      </c>
      <c r="B1" s="86"/>
      <c r="C1" s="82"/>
      <c r="D1" s="11" t="s">
        <v>2226</v>
      </c>
      <c r="E1" s="11" t="s">
        <v>2227</v>
      </c>
      <c r="F1" s="11" t="s">
        <v>2228</v>
      </c>
      <c r="G1" s="11" t="s">
        <v>2228</v>
      </c>
      <c r="H1" s="11" t="s">
        <v>2229</v>
      </c>
      <c r="I1" s="11" t="s">
        <v>2230</v>
      </c>
      <c r="J1" s="11" t="s">
        <v>2231</v>
      </c>
      <c r="K1" s="11" t="s">
        <v>2232</v>
      </c>
    </row>
    <row r="2" ht="15.75" customHeight="1">
      <c r="A2" s="86" t="s">
        <v>2233</v>
      </c>
      <c r="B2" s="86" t="s">
        <v>2234</v>
      </c>
      <c r="C2" s="82"/>
      <c r="D2" s="11" t="s">
        <v>2235</v>
      </c>
      <c r="E2" s="204" t="str">
        <f>config_sistema!B3-config_sistema!B2</f>
        <v>#VALUE!</v>
      </c>
      <c r="F2" s="204" t="str">
        <f>config_sistema!C3-config_sistema!C2</f>
        <v>#VALUE!</v>
      </c>
      <c r="G2" s="204" t="str">
        <f>config_sistema!D3-config_sistema!D2</f>
        <v>#VALUE!</v>
      </c>
      <c r="H2" s="204" t="str">
        <f>config_sistema!E3-config_sistema!E2</f>
        <v>#VALUE!</v>
      </c>
      <c r="I2" s="204" t="str">
        <f>config_sistema!F3-config_sistema!F2</f>
        <v>#VALUE!</v>
      </c>
      <c r="J2" s="204" t="str">
        <f>config_sistema!G3-config_sistema!G2</f>
        <v>#VALUE!</v>
      </c>
      <c r="K2" s="204" t="str">
        <f>config_sistema!H3-config_sistema!H2</f>
        <v>#VALUE!</v>
      </c>
    </row>
    <row r="3" ht="15.75" customHeight="1">
      <c r="A3" s="86" t="s">
        <v>2236</v>
      </c>
      <c r="B3" s="86">
        <v>60.0</v>
      </c>
      <c r="C3" s="82"/>
      <c r="D3" s="82"/>
      <c r="F3" s="82"/>
      <c r="G3" s="82"/>
    </row>
    <row r="4" ht="15.75" customHeight="1">
      <c r="A4" s="86" t="s">
        <v>2237</v>
      </c>
      <c r="B4" s="86">
        <v>36.0</v>
      </c>
      <c r="C4" s="82"/>
      <c r="D4" s="82"/>
      <c r="F4" s="82"/>
      <c r="G4" s="82"/>
    </row>
    <row r="5" ht="15.75" customHeight="1">
      <c r="A5" s="86" t="s">
        <v>2238</v>
      </c>
      <c r="B5" s="86">
        <v>40.0</v>
      </c>
      <c r="C5" s="82"/>
      <c r="D5" s="82"/>
      <c r="F5" s="82"/>
      <c r="G5" s="82"/>
    </row>
    <row r="6" ht="15.75" customHeight="1">
      <c r="A6" s="86" t="s">
        <v>2233</v>
      </c>
      <c r="B6" s="86"/>
      <c r="C6" s="82"/>
      <c r="D6" s="82"/>
      <c r="F6" s="82"/>
      <c r="G6" s="82"/>
    </row>
    <row r="7" ht="15.75" customHeight="1">
      <c r="A7" s="205" t="s">
        <v>2239</v>
      </c>
      <c r="B7" s="205">
        <f>SUM(B3:B5)</f>
        <v>136</v>
      </c>
      <c r="C7" s="82"/>
      <c r="D7" s="82"/>
      <c r="F7" s="82"/>
      <c r="G7" s="82"/>
    </row>
    <row r="8" ht="15.75" customHeight="1">
      <c r="A8" s="82"/>
      <c r="B8" s="82"/>
      <c r="C8" s="82"/>
      <c r="D8" s="82"/>
      <c r="F8" s="82"/>
      <c r="G8" s="82"/>
    </row>
    <row r="9" ht="15.75" customHeight="1">
      <c r="A9" s="206" t="s">
        <v>2240</v>
      </c>
      <c r="B9" s="206"/>
      <c r="C9" s="82"/>
      <c r="D9" s="82"/>
      <c r="E9" s="207"/>
      <c r="F9" s="207"/>
      <c r="G9" s="207"/>
    </row>
    <row r="10" ht="15.75" customHeight="1">
      <c r="A10" s="206" t="s">
        <v>2241</v>
      </c>
      <c r="B10" s="206">
        <f>IFERROR(__xludf.DUMMYFUNCTION("COUNTUNIQUE(
  FILTER(Historial!B2:B2000, Historial!I2:I2000&lt;&gt;"""")
)"),156.0)</f>
        <v>156</v>
      </c>
      <c r="C10" s="82"/>
      <c r="D10" s="82"/>
      <c r="E10" s="207"/>
      <c r="F10" s="207"/>
      <c r="G10" s="207"/>
    </row>
    <row r="11" ht="15.75" customHeight="1">
      <c r="A11" s="206" t="s">
        <v>2242</v>
      </c>
      <c r="B11" s="206">
        <f>COUNTIF(Historial!I2:I2000,"&lt;&gt;")</f>
        <v>191</v>
      </c>
      <c r="C11" s="82"/>
      <c r="D11" s="82"/>
      <c r="F11" s="82"/>
      <c r="G11" s="82"/>
    </row>
    <row r="12" ht="15.75" customHeight="1">
      <c r="A12" s="206" t="s">
        <v>20</v>
      </c>
      <c r="B12" s="206">
        <f>COUNTIF(J2:J1000,"POR VENCER")</f>
        <v>0</v>
      </c>
      <c r="C12" s="82"/>
      <c r="D12" s="82"/>
      <c r="F12" s="82"/>
      <c r="G12" s="82"/>
    </row>
    <row r="13" ht="15.75" customHeight="1">
      <c r="A13" s="206" t="s">
        <v>2243</v>
      </c>
      <c r="B13" s="206">
        <f>COUNTIF(J2:J1003,"VENCIDO")</f>
        <v>0</v>
      </c>
      <c r="C13" s="82"/>
      <c r="D13" s="82"/>
      <c r="F13" s="82"/>
      <c r="G13" s="82"/>
    </row>
    <row r="14" ht="15.75" customHeight="1">
      <c r="A14" s="82"/>
      <c r="B14" s="82"/>
      <c r="C14" s="82"/>
      <c r="D14" s="82"/>
      <c r="F14" s="82"/>
      <c r="G14" s="82"/>
    </row>
    <row r="15" ht="15.75" customHeight="1">
      <c r="A15" s="82"/>
      <c r="B15" s="82"/>
      <c r="C15" s="82"/>
      <c r="D15" s="82"/>
      <c r="F15" s="82"/>
      <c r="G15" s="82"/>
    </row>
    <row r="16" ht="15.75" customHeight="1">
      <c r="A16" s="208" t="s">
        <v>2244</v>
      </c>
      <c r="B16" s="82"/>
      <c r="C16" s="82"/>
      <c r="D16" s="82"/>
      <c r="F16" s="82"/>
      <c r="G16" s="82"/>
    </row>
    <row r="17" ht="15.75" customHeight="1">
      <c r="A17" s="88" t="str">
        <f>IFERROR(__xludf.DUMMYFUNCTION("UNIQUE(
  FILTER(Historial!B2:B2000, Historial!I2:I2000&lt;&gt;"""")
)"),"#REF!")</f>
        <v>#REF!</v>
      </c>
      <c r="B17" s="82"/>
      <c r="C17" s="82"/>
      <c r="D17" s="82"/>
      <c r="F17" s="82"/>
      <c r="G17" s="82"/>
    </row>
    <row r="18" ht="15.75" customHeight="1">
      <c r="A18" s="88"/>
      <c r="B18" s="82"/>
      <c r="C18" s="82"/>
      <c r="D18" s="82"/>
      <c r="F18" s="82"/>
      <c r="G18" s="82"/>
    </row>
    <row r="19" ht="15.75" customHeight="1">
      <c r="A19" s="88"/>
      <c r="B19" s="82"/>
      <c r="C19" s="82"/>
      <c r="D19" s="82"/>
      <c r="F19" s="82"/>
      <c r="G19" s="82"/>
    </row>
    <row r="20" ht="15.75" customHeight="1">
      <c r="A20" s="88"/>
      <c r="B20" s="82"/>
      <c r="C20" s="82"/>
      <c r="D20" s="82"/>
      <c r="F20" s="82"/>
      <c r="G20" s="82"/>
    </row>
    <row r="21" ht="15.75" customHeight="1">
      <c r="A21" s="88"/>
      <c r="B21" s="82"/>
      <c r="C21" s="82"/>
      <c r="D21" s="82"/>
      <c r="F21" s="82"/>
      <c r="G21" s="82"/>
    </row>
    <row r="22" ht="15.75" customHeight="1">
      <c r="A22" s="88"/>
      <c r="B22" s="82"/>
      <c r="C22" s="82"/>
      <c r="D22" s="82"/>
      <c r="F22" s="82"/>
      <c r="G22" s="82"/>
    </row>
    <row r="23" ht="15.75" customHeight="1">
      <c r="A23" s="88"/>
      <c r="B23" s="82"/>
      <c r="C23" s="82"/>
      <c r="D23" s="82"/>
      <c r="F23" s="82"/>
      <c r="G23" s="82"/>
    </row>
    <row r="24" ht="15.75" customHeight="1">
      <c r="A24" s="88"/>
      <c r="B24" s="82"/>
      <c r="C24" s="82"/>
      <c r="D24" s="82"/>
      <c r="F24" s="82"/>
      <c r="G24" s="82"/>
    </row>
    <row r="25" ht="15.75" customHeight="1">
      <c r="A25" s="88"/>
      <c r="B25" s="82"/>
      <c r="C25" s="82"/>
      <c r="D25" s="82"/>
      <c r="F25" s="82"/>
      <c r="G25" s="82"/>
    </row>
    <row r="26" ht="15.75" customHeight="1">
      <c r="A26" s="88"/>
      <c r="B26" s="82"/>
      <c r="C26" s="82"/>
      <c r="D26" s="82"/>
      <c r="F26" s="82"/>
      <c r="G26" s="82"/>
    </row>
    <row r="27" ht="15.75" customHeight="1">
      <c r="A27" s="88"/>
      <c r="B27" s="82"/>
      <c r="C27" s="82"/>
      <c r="D27" s="82"/>
      <c r="F27" s="82"/>
      <c r="G27" s="82"/>
    </row>
    <row r="28" ht="15.75" customHeight="1">
      <c r="A28" s="88"/>
      <c r="B28" s="82"/>
      <c r="C28" s="82"/>
      <c r="D28" s="82"/>
      <c r="F28" s="82"/>
      <c r="G28" s="82"/>
    </row>
    <row r="29" ht="15.75" customHeight="1">
      <c r="A29" s="88"/>
      <c r="B29" s="82"/>
      <c r="C29" s="82"/>
      <c r="D29" s="82"/>
      <c r="F29" s="82"/>
      <c r="G29" s="82"/>
    </row>
    <row r="30" ht="15.75" customHeight="1">
      <c r="A30" s="88"/>
      <c r="B30" s="82"/>
      <c r="C30" s="82"/>
      <c r="D30" s="82"/>
      <c r="F30" s="82"/>
      <c r="G30" s="82"/>
    </row>
    <row r="31" ht="15.75" customHeight="1">
      <c r="A31" s="88"/>
      <c r="B31" s="82"/>
      <c r="C31" s="82"/>
      <c r="D31" s="82"/>
      <c r="F31" s="82"/>
      <c r="G31" s="82"/>
    </row>
    <row r="32" ht="15.75" customHeight="1">
      <c r="A32" s="88"/>
      <c r="B32" s="82"/>
      <c r="C32" s="82"/>
      <c r="D32" s="82"/>
      <c r="F32" s="82"/>
      <c r="G32" s="82"/>
    </row>
    <row r="33" ht="15.75" customHeight="1">
      <c r="A33" s="88"/>
      <c r="B33" s="82"/>
      <c r="C33" s="82"/>
      <c r="D33" s="82"/>
      <c r="F33" s="82"/>
      <c r="G33" s="82"/>
    </row>
    <row r="34" ht="15.75" customHeight="1">
      <c r="A34" s="88"/>
      <c r="B34" s="82"/>
      <c r="C34" s="82"/>
      <c r="D34" s="82"/>
      <c r="F34" s="82"/>
      <c r="G34" s="82"/>
    </row>
    <row r="35" ht="15.75" customHeight="1">
      <c r="A35" s="88"/>
      <c r="B35" s="82"/>
      <c r="C35" s="82"/>
      <c r="D35" s="82"/>
      <c r="F35" s="82"/>
      <c r="G35" s="82"/>
    </row>
    <row r="36" ht="15.75" customHeight="1">
      <c r="A36" s="88"/>
      <c r="B36" s="82"/>
      <c r="C36" s="82"/>
      <c r="D36" s="82"/>
      <c r="F36" s="82"/>
      <c r="G36" s="82"/>
    </row>
    <row r="37" ht="15.75" customHeight="1">
      <c r="A37" s="88"/>
      <c r="B37" s="82"/>
      <c r="C37" s="82"/>
      <c r="D37" s="82"/>
      <c r="F37" s="82"/>
      <c r="G37" s="82"/>
    </row>
    <row r="38" ht="15.75" customHeight="1">
      <c r="A38" s="88"/>
      <c r="B38" s="82"/>
      <c r="C38" s="82"/>
      <c r="D38" s="82"/>
      <c r="F38" s="82"/>
      <c r="G38" s="82"/>
    </row>
    <row r="39" ht="15.75" customHeight="1">
      <c r="A39" s="88"/>
      <c r="B39" s="82"/>
      <c r="C39" s="82"/>
      <c r="D39" s="82"/>
      <c r="F39" s="82"/>
      <c r="G39" s="82"/>
    </row>
    <row r="40" ht="15.75" customHeight="1">
      <c r="A40" s="88"/>
      <c r="B40" s="82"/>
      <c r="C40" s="82"/>
      <c r="D40" s="82"/>
      <c r="F40" s="82"/>
      <c r="G40" s="82"/>
    </row>
    <row r="41" ht="15.75" customHeight="1">
      <c r="A41" s="88"/>
      <c r="B41" s="82"/>
      <c r="C41" s="82"/>
      <c r="D41" s="82"/>
      <c r="F41" s="82"/>
      <c r="G41" s="82"/>
    </row>
    <row r="42" ht="15.75" customHeight="1">
      <c r="A42" s="88"/>
      <c r="B42" s="82"/>
      <c r="C42" s="82"/>
      <c r="D42" s="82"/>
      <c r="F42" s="82"/>
      <c r="G42" s="82"/>
    </row>
    <row r="43" ht="15.75" customHeight="1">
      <c r="A43" s="88"/>
      <c r="B43" s="82"/>
      <c r="C43" s="82"/>
      <c r="D43" s="82"/>
      <c r="F43" s="82"/>
      <c r="G43" s="82"/>
    </row>
    <row r="44" ht="15.75" customHeight="1">
      <c r="A44" s="88"/>
      <c r="B44" s="82"/>
      <c r="C44" s="82"/>
      <c r="D44" s="82"/>
      <c r="F44" s="82"/>
      <c r="G44" s="82"/>
    </row>
    <row r="45" ht="15.75" customHeight="1">
      <c r="A45" s="88"/>
      <c r="B45" s="82"/>
      <c r="C45" s="82"/>
      <c r="D45" s="82"/>
      <c r="F45" s="82"/>
      <c r="G45" s="82"/>
    </row>
    <row r="46" ht="15.75" customHeight="1">
      <c r="A46" s="88"/>
      <c r="B46" s="82"/>
      <c r="C46" s="82"/>
      <c r="D46" s="82"/>
      <c r="F46" s="82"/>
      <c r="G46" s="82"/>
    </row>
    <row r="47" ht="15.75" customHeight="1">
      <c r="A47" s="88"/>
      <c r="B47" s="82"/>
      <c r="C47" s="82"/>
      <c r="D47" s="82"/>
      <c r="F47" s="82"/>
      <c r="G47" s="82"/>
    </row>
    <row r="48" ht="15.75" customHeight="1">
      <c r="A48" s="88"/>
      <c r="B48" s="82"/>
      <c r="C48" s="82"/>
      <c r="D48" s="82"/>
      <c r="F48" s="82"/>
      <c r="G48" s="82"/>
    </row>
    <row r="49" ht="15.75" customHeight="1">
      <c r="A49" s="88"/>
      <c r="B49" s="82"/>
      <c r="C49" s="82"/>
      <c r="D49" s="82"/>
      <c r="F49" s="82"/>
      <c r="G49" s="82"/>
    </row>
    <row r="50" ht="15.75" customHeight="1">
      <c r="A50" s="209"/>
      <c r="B50" s="82"/>
      <c r="C50" s="82"/>
      <c r="D50" s="82"/>
      <c r="F50" s="82"/>
      <c r="G50" s="82"/>
    </row>
    <row r="51" ht="15.75" customHeight="1">
      <c r="A51" s="88"/>
      <c r="B51" s="82"/>
      <c r="C51" s="82"/>
      <c r="D51" s="82"/>
      <c r="F51" s="82"/>
      <c r="G51" s="82"/>
    </row>
    <row r="52" ht="15.75" customHeight="1">
      <c r="A52" s="88"/>
      <c r="B52" s="82"/>
      <c r="C52" s="82"/>
      <c r="D52" s="82"/>
      <c r="F52" s="82"/>
      <c r="G52" s="82"/>
    </row>
    <row r="53" ht="15.75" customHeight="1">
      <c r="A53" s="88"/>
      <c r="B53" s="82"/>
      <c r="C53" s="82"/>
      <c r="D53" s="82"/>
      <c r="F53" s="82"/>
      <c r="G53" s="82"/>
    </row>
    <row r="54" ht="15.75" customHeight="1">
      <c r="A54" s="88"/>
      <c r="B54" s="82"/>
      <c r="C54" s="82"/>
      <c r="D54" s="82"/>
      <c r="F54" s="82"/>
      <c r="G54" s="82"/>
    </row>
    <row r="55" ht="15.75" customHeight="1">
      <c r="A55" s="88"/>
      <c r="B55" s="82"/>
      <c r="C55" s="82"/>
      <c r="D55" s="82"/>
      <c r="F55" s="82"/>
      <c r="G55" s="82"/>
    </row>
    <row r="56" ht="15.75" customHeight="1">
      <c r="A56" s="88"/>
      <c r="B56" s="82"/>
      <c r="C56" s="82"/>
      <c r="D56" s="82"/>
      <c r="F56" s="82"/>
      <c r="G56" s="82"/>
    </row>
    <row r="57" ht="15.75" customHeight="1">
      <c r="A57" s="88"/>
      <c r="B57" s="82"/>
      <c r="C57" s="82"/>
      <c r="D57" s="82"/>
      <c r="F57" s="82"/>
      <c r="G57" s="82"/>
    </row>
    <row r="58" ht="15.75" customHeight="1">
      <c r="A58" s="88"/>
      <c r="B58" s="82"/>
      <c r="C58" s="82"/>
      <c r="D58" s="82"/>
      <c r="F58" s="82"/>
      <c r="G58" s="82"/>
    </row>
    <row r="59" ht="15.75" customHeight="1">
      <c r="A59" s="88"/>
      <c r="B59" s="82"/>
      <c r="C59" s="82"/>
      <c r="D59" s="82"/>
      <c r="F59" s="82"/>
      <c r="G59" s="82"/>
    </row>
    <row r="60" ht="15.75" customHeight="1">
      <c r="A60" s="88"/>
      <c r="B60" s="82"/>
      <c r="C60" s="82"/>
      <c r="D60" s="82"/>
      <c r="F60" s="82"/>
      <c r="G60" s="82"/>
    </row>
    <row r="61" ht="15.75" customHeight="1">
      <c r="A61" s="88"/>
      <c r="B61" s="82"/>
      <c r="C61" s="82"/>
      <c r="D61" s="82"/>
      <c r="F61" s="82"/>
      <c r="G61" s="82"/>
    </row>
    <row r="62" ht="15.75" customHeight="1">
      <c r="A62" s="88"/>
      <c r="B62" s="82"/>
      <c r="C62" s="82"/>
      <c r="D62" s="82"/>
      <c r="F62" s="82"/>
      <c r="G62" s="82"/>
    </row>
    <row r="63" ht="15.75" customHeight="1">
      <c r="A63" s="88"/>
      <c r="B63" s="82"/>
      <c r="C63" s="82"/>
      <c r="D63" s="82"/>
      <c r="F63" s="82"/>
      <c r="G63" s="82"/>
    </row>
    <row r="64" ht="15.75" customHeight="1">
      <c r="A64" s="88"/>
      <c r="B64" s="82"/>
      <c r="C64" s="82"/>
      <c r="D64" s="82"/>
      <c r="F64" s="82"/>
      <c r="G64" s="82"/>
    </row>
    <row r="65" ht="15.75" customHeight="1">
      <c r="A65" s="88"/>
      <c r="B65" s="82"/>
      <c r="C65" s="82"/>
      <c r="D65" s="82"/>
      <c r="F65" s="82"/>
      <c r="G65" s="82"/>
    </row>
    <row r="66" ht="15.75" customHeight="1">
      <c r="A66" s="88"/>
      <c r="B66" s="82"/>
      <c r="C66" s="82"/>
      <c r="D66" s="82"/>
      <c r="F66" s="82"/>
      <c r="G66" s="82"/>
    </row>
    <row r="67" ht="15.75" customHeight="1">
      <c r="A67" s="88"/>
      <c r="B67" s="82"/>
      <c r="C67" s="82"/>
      <c r="D67" s="82"/>
      <c r="F67" s="82"/>
      <c r="G67" s="82"/>
    </row>
    <row r="68" ht="15.75" customHeight="1">
      <c r="A68" s="88"/>
      <c r="B68" s="82"/>
      <c r="C68" s="82"/>
      <c r="D68" s="82"/>
      <c r="F68" s="82"/>
      <c r="G68" s="82"/>
    </row>
    <row r="69" ht="15.75" customHeight="1">
      <c r="A69" s="88"/>
      <c r="B69" s="82"/>
      <c r="C69" s="82"/>
      <c r="D69" s="82"/>
      <c r="F69" s="82"/>
      <c r="G69" s="82"/>
    </row>
    <row r="70" ht="15.75" customHeight="1">
      <c r="A70" s="88"/>
      <c r="B70" s="82"/>
      <c r="C70" s="82"/>
      <c r="D70" s="82"/>
      <c r="F70" s="82"/>
      <c r="G70" s="82"/>
    </row>
    <row r="71" ht="15.75" customHeight="1">
      <c r="A71" s="88"/>
      <c r="B71" s="82"/>
      <c r="C71" s="82"/>
      <c r="D71" s="82"/>
      <c r="F71" s="82"/>
      <c r="G71" s="82"/>
    </row>
    <row r="72" ht="15.75" customHeight="1">
      <c r="A72" s="88"/>
      <c r="B72" s="82"/>
      <c r="C72" s="82"/>
      <c r="D72" s="82"/>
      <c r="F72" s="82"/>
      <c r="G72" s="82"/>
    </row>
    <row r="73" ht="15.75" customHeight="1">
      <c r="A73" s="88"/>
      <c r="B73" s="82"/>
      <c r="C73" s="82"/>
      <c r="D73" s="82"/>
      <c r="F73" s="82"/>
      <c r="G73" s="82"/>
    </row>
    <row r="74" ht="15.75" customHeight="1">
      <c r="A74" s="88"/>
      <c r="B74" s="82"/>
      <c r="C74" s="82"/>
      <c r="D74" s="82"/>
      <c r="F74" s="82"/>
      <c r="G74" s="82"/>
    </row>
    <row r="75" ht="15.75" customHeight="1">
      <c r="A75" s="88"/>
      <c r="B75" s="82"/>
      <c r="C75" s="82"/>
      <c r="D75" s="82"/>
      <c r="F75" s="82"/>
      <c r="G75" s="82"/>
    </row>
    <row r="76" ht="15.75" customHeight="1">
      <c r="A76" s="88"/>
      <c r="B76" s="82"/>
      <c r="C76" s="82"/>
      <c r="D76" s="82"/>
      <c r="F76" s="82"/>
      <c r="G76" s="82"/>
    </row>
    <row r="77" ht="15.75" customHeight="1">
      <c r="A77" s="88"/>
      <c r="B77" s="82"/>
      <c r="C77" s="82"/>
      <c r="D77" s="82"/>
      <c r="F77" s="82"/>
      <c r="G77" s="82"/>
    </row>
    <row r="78" ht="15.75" customHeight="1">
      <c r="A78" s="88"/>
      <c r="B78" s="82"/>
      <c r="C78" s="82"/>
      <c r="D78" s="82"/>
      <c r="F78" s="82"/>
      <c r="G78" s="82"/>
    </row>
    <row r="79" ht="15.75" customHeight="1">
      <c r="A79" s="88"/>
      <c r="B79" s="82"/>
      <c r="C79" s="82"/>
      <c r="D79" s="82"/>
      <c r="F79" s="82"/>
      <c r="G79" s="82"/>
    </row>
    <row r="80" ht="15.75" customHeight="1">
      <c r="A80" s="88"/>
      <c r="B80" s="82"/>
      <c r="C80" s="82"/>
      <c r="D80" s="82"/>
      <c r="F80" s="82"/>
      <c r="G80" s="82"/>
    </row>
    <row r="81" ht="15.75" customHeight="1">
      <c r="A81" s="88"/>
      <c r="B81" s="82"/>
      <c r="C81" s="82"/>
      <c r="D81" s="82"/>
      <c r="F81" s="82"/>
      <c r="G81" s="82"/>
    </row>
    <row r="82" ht="15.75" customHeight="1">
      <c r="A82" s="88"/>
      <c r="B82" s="82"/>
      <c r="C82" s="82"/>
      <c r="D82" s="82"/>
      <c r="F82" s="82"/>
      <c r="G82" s="82"/>
    </row>
    <row r="83" ht="15.75" customHeight="1">
      <c r="A83" s="88"/>
      <c r="B83" s="82"/>
      <c r="C83" s="82"/>
      <c r="D83" s="82"/>
      <c r="F83" s="82"/>
      <c r="G83" s="82"/>
    </row>
    <row r="84" ht="15.75" customHeight="1">
      <c r="A84" s="88"/>
      <c r="B84" s="82"/>
      <c r="C84" s="82"/>
      <c r="D84" s="82"/>
      <c r="F84" s="82"/>
      <c r="G84" s="82"/>
    </row>
    <row r="85" ht="15.75" customHeight="1">
      <c r="A85" s="88"/>
      <c r="B85" s="82"/>
      <c r="C85" s="82"/>
      <c r="D85" s="82"/>
      <c r="F85" s="82"/>
      <c r="G85" s="82"/>
    </row>
    <row r="86" ht="15.75" customHeight="1">
      <c r="A86" s="88"/>
      <c r="B86" s="82"/>
      <c r="C86" s="82"/>
      <c r="D86" s="82"/>
      <c r="F86" s="82"/>
      <c r="G86" s="82"/>
    </row>
    <row r="87" ht="15.75" customHeight="1">
      <c r="A87" s="88"/>
      <c r="B87" s="82"/>
      <c r="C87" s="82"/>
      <c r="D87" s="82"/>
      <c r="F87" s="82"/>
      <c r="G87" s="82"/>
    </row>
    <row r="88" ht="15.75" customHeight="1">
      <c r="A88" s="88"/>
      <c r="B88" s="82"/>
      <c r="C88" s="82"/>
      <c r="D88" s="82"/>
      <c r="F88" s="82"/>
      <c r="G88" s="82"/>
    </row>
    <row r="89" ht="15.75" customHeight="1">
      <c r="A89" s="88"/>
      <c r="B89" s="82"/>
      <c r="C89" s="82"/>
      <c r="D89" s="82"/>
      <c r="F89" s="82"/>
      <c r="G89" s="82"/>
    </row>
    <row r="90" ht="15.75" customHeight="1">
      <c r="A90" s="88"/>
      <c r="B90" s="82"/>
      <c r="C90" s="82"/>
      <c r="D90" s="82"/>
      <c r="F90" s="82"/>
      <c r="G90" s="82"/>
    </row>
    <row r="91" ht="15.75" customHeight="1">
      <c r="A91" s="88"/>
      <c r="B91" s="82"/>
      <c r="C91" s="82"/>
      <c r="D91" s="82"/>
      <c r="F91" s="82"/>
      <c r="G91" s="82"/>
    </row>
    <row r="92" ht="15.75" customHeight="1">
      <c r="A92" s="82"/>
      <c r="B92" s="82"/>
      <c r="C92" s="82"/>
      <c r="D92" s="82"/>
      <c r="F92" s="82"/>
      <c r="G92" s="82"/>
    </row>
    <row r="93" ht="15.75" customHeight="1">
      <c r="A93" s="82"/>
      <c r="B93" s="82"/>
      <c r="C93" s="82"/>
      <c r="D93" s="82"/>
      <c r="F93" s="82"/>
      <c r="G93" s="82"/>
    </row>
    <row r="94" ht="15.75" customHeight="1">
      <c r="A94" s="82"/>
      <c r="B94" s="82"/>
      <c r="C94" s="82"/>
      <c r="D94" s="82"/>
      <c r="F94" s="82"/>
      <c r="G94" s="82"/>
    </row>
    <row r="95" ht="15.75" customHeight="1">
      <c r="A95" s="82"/>
      <c r="B95" s="82"/>
      <c r="C95" s="82"/>
      <c r="D95" s="82"/>
      <c r="F95" s="82"/>
      <c r="G95" s="82"/>
    </row>
    <row r="96" ht="15.75" customHeight="1">
      <c r="A96" s="82"/>
      <c r="B96" s="82"/>
      <c r="C96" s="82"/>
      <c r="D96" s="82"/>
      <c r="F96" s="82"/>
      <c r="G96" s="82"/>
    </row>
    <row r="97" ht="15.75" customHeight="1">
      <c r="A97" s="82"/>
      <c r="B97" s="82"/>
      <c r="C97" s="82"/>
      <c r="D97" s="82"/>
      <c r="F97" s="82"/>
      <c r="G97" s="82"/>
    </row>
    <row r="98" ht="15.75" customHeight="1">
      <c r="A98" s="82"/>
      <c r="B98" s="82"/>
      <c r="C98" s="82"/>
      <c r="D98" s="82"/>
      <c r="F98" s="82"/>
      <c r="G98" s="82"/>
    </row>
    <row r="99" ht="15.75" customHeight="1">
      <c r="A99" s="82"/>
      <c r="B99" s="82"/>
      <c r="C99" s="82"/>
      <c r="D99" s="82"/>
      <c r="F99" s="82"/>
      <c r="G99" s="82"/>
    </row>
    <row r="100" ht="15.75" customHeight="1">
      <c r="A100" s="82"/>
      <c r="B100" s="82"/>
      <c r="C100" s="82"/>
      <c r="D100" s="82"/>
      <c r="F100" s="82"/>
      <c r="G100" s="82"/>
    </row>
    <row r="101" ht="15.75" customHeight="1">
      <c r="A101" s="82"/>
      <c r="B101" s="82"/>
      <c r="C101" s="82"/>
      <c r="D101" s="82"/>
      <c r="F101" s="82"/>
      <c r="G101" s="82"/>
    </row>
    <row r="102" ht="15.75" customHeight="1">
      <c r="A102" s="82"/>
      <c r="B102" s="82"/>
      <c r="C102" s="82"/>
      <c r="D102" s="82"/>
      <c r="F102" s="82"/>
      <c r="G102" s="82"/>
    </row>
    <row r="103" ht="15.75" customHeight="1">
      <c r="A103" s="82"/>
      <c r="B103" s="82"/>
      <c r="C103" s="82"/>
      <c r="D103" s="82"/>
      <c r="F103" s="82"/>
      <c r="G103" s="82"/>
    </row>
    <row r="104" ht="15.75" customHeight="1">
      <c r="A104" s="82"/>
      <c r="B104" s="82"/>
      <c r="C104" s="82"/>
      <c r="D104" s="82"/>
      <c r="F104" s="82"/>
      <c r="G104" s="82"/>
    </row>
    <row r="105" ht="15.75" customHeight="1">
      <c r="A105" s="82"/>
      <c r="B105" s="82"/>
      <c r="C105" s="82"/>
      <c r="D105" s="82"/>
      <c r="F105" s="82"/>
      <c r="G105" s="82"/>
    </row>
    <row r="106" ht="15.75" customHeight="1">
      <c r="A106" s="82"/>
      <c r="B106" s="82"/>
      <c r="C106" s="82"/>
      <c r="D106" s="82"/>
      <c r="F106" s="82"/>
      <c r="G106" s="82"/>
    </row>
    <row r="107" ht="15.75" customHeight="1">
      <c r="A107" s="82"/>
      <c r="B107" s="82"/>
      <c r="C107" s="82"/>
      <c r="D107" s="82"/>
      <c r="F107" s="82"/>
      <c r="G107" s="82"/>
    </row>
    <row r="108" ht="15.75" customHeight="1">
      <c r="A108" s="82"/>
      <c r="B108" s="82"/>
      <c r="C108" s="82"/>
      <c r="D108" s="82"/>
      <c r="F108" s="82"/>
      <c r="G108" s="82"/>
    </row>
    <row r="109" ht="15.75" customHeight="1">
      <c r="A109" s="82"/>
      <c r="B109" s="82"/>
      <c r="C109" s="82"/>
      <c r="D109" s="82"/>
      <c r="F109" s="82"/>
      <c r="G109" s="82"/>
    </row>
    <row r="110" ht="15.75" customHeight="1">
      <c r="A110" s="88" t="str">
        <f t="array" ref="A110:A124">{
  "📝 LISTADO POR CATEGORÍA";
  "";
  "⚡ PRODUCTOS RELÁMPAGO";
  IFERROR(
    CONSULTA(
      {inventario!A:H, inventario!J:J},
      "select Col1, Col7, Col8 where Col9 = 'relampago' and Col1 is not null order by Col1",
      0
    ),
    {"No hay productos en esta categoría";"";""}
  );
  "";
  "🔥 PRODUCTOS DESTACADAS";
  IFERROR(
    CONSULTA(
      {inventario!A:H, inventario!J:J},
      "select Col1, Col7, Col8 where Col9 = 'destacada' and Col1 is not null order by Col1",
      0
    ),
    {"No hay productos en esta categoría";"";""}
  );
  "";
  "🎁 PRODUCTOS ESPECIALES";
  IFERROR(
    CONSULTA(
      {inventario!A:H, inventario!J:J},
      "select Col1, Col7, Col8 where Col9 = 'especial' and Col1 is not null order by Col1",
      0
    ),
    {"No hay productos en esta categoría";"";""}
  )
}</f>
        <v>#REF!</v>
      </c>
      <c r="B110" s="82"/>
      <c r="C110" s="82"/>
      <c r="D110" s="82"/>
      <c r="F110" s="82"/>
      <c r="G110" s="82"/>
    </row>
    <row r="111" ht="15.75" customHeight="1">
      <c r="A111" s="88"/>
      <c r="B111" s="82"/>
      <c r="C111" s="82"/>
      <c r="D111" s="82"/>
      <c r="F111" s="82"/>
      <c r="G111" s="82"/>
    </row>
    <row r="112" ht="15.75" customHeight="1">
      <c r="A112" s="88"/>
      <c r="B112" s="82"/>
      <c r="C112" s="82"/>
      <c r="D112" s="82"/>
      <c r="F112" s="82"/>
      <c r="G112" s="82"/>
    </row>
    <row r="113" ht="15.75" customHeight="1">
      <c r="A113" s="88"/>
      <c r="B113" s="82"/>
      <c r="C113" s="82"/>
      <c r="D113" s="82"/>
      <c r="F113" s="82"/>
      <c r="G113" s="82"/>
    </row>
    <row r="114" ht="15.75" customHeight="1">
      <c r="A114" s="88"/>
      <c r="B114" s="82"/>
      <c r="C114" s="82"/>
      <c r="D114" s="82"/>
      <c r="F114" s="82"/>
      <c r="G114" s="82"/>
    </row>
    <row r="115" ht="15.75" customHeight="1">
      <c r="A115" s="88"/>
      <c r="B115" s="82"/>
      <c r="C115" s="82"/>
      <c r="D115" s="82"/>
      <c r="F115" s="82"/>
      <c r="G115" s="82"/>
    </row>
    <row r="116" ht="15.75" customHeight="1">
      <c r="A116" s="88"/>
      <c r="B116" s="82"/>
      <c r="C116" s="82"/>
      <c r="D116" s="82"/>
      <c r="F116" s="82"/>
      <c r="G116" s="82"/>
    </row>
    <row r="117" ht="15.75" customHeight="1">
      <c r="A117" s="88"/>
      <c r="B117" s="82"/>
      <c r="C117" s="82"/>
      <c r="D117" s="82"/>
      <c r="F117" s="82"/>
      <c r="G117" s="82"/>
    </row>
    <row r="118" ht="15.75" customHeight="1">
      <c r="A118" s="88"/>
      <c r="B118" s="82"/>
      <c r="C118" s="82"/>
      <c r="D118" s="82"/>
      <c r="F118" s="82"/>
      <c r="G118" s="82"/>
    </row>
    <row r="119" ht="15.75" customHeight="1">
      <c r="A119" s="88"/>
      <c r="B119" s="82"/>
      <c r="C119" s="82"/>
      <c r="D119" s="82"/>
      <c r="F119" s="82"/>
      <c r="G119" s="82"/>
    </row>
    <row r="120" ht="15.75" customHeight="1">
      <c r="A120" s="88"/>
      <c r="B120" s="82"/>
      <c r="C120" s="82"/>
      <c r="D120" s="82"/>
      <c r="F120" s="82"/>
      <c r="G120" s="82"/>
    </row>
    <row r="121" ht="15.75" customHeight="1">
      <c r="A121" s="88"/>
      <c r="B121" s="82"/>
      <c r="C121" s="82"/>
      <c r="D121" s="82"/>
      <c r="F121" s="82"/>
      <c r="G121" s="82"/>
    </row>
    <row r="122" ht="15.75" customHeight="1">
      <c r="A122" s="88"/>
      <c r="B122" s="82"/>
      <c r="C122" s="82"/>
      <c r="D122" s="82"/>
      <c r="F122" s="82"/>
      <c r="G122" s="82"/>
    </row>
    <row r="123" ht="15.75" customHeight="1">
      <c r="A123" s="88"/>
      <c r="B123" s="82"/>
      <c r="C123" s="82"/>
      <c r="D123" s="82"/>
      <c r="F123" s="82"/>
      <c r="G123" s="82"/>
    </row>
    <row r="124" ht="15.75" customHeight="1">
      <c r="A124" s="88" t="str">
        <f t="array" ref="A124:A148">{
  "✅ CHECKLIST DIARIO";
  "";
  "Hoy "&amp;TEXT(TODAY(), "dd/mm");
  "";
  {"Tarea"; "Objetivo"; "Completado"};
  {"Agregar productos Relámpago"; "3"; "□"};
  {"Agregar productos Destacadas"; "3"; "□"};
  {"Agregar productos Especiales"; "3"; "□"};
  {"Verificar stock"; "Todo &gt; 0"; "□"};
  {"Actualizar precios"; "Revisar"; "□"};
  "";
  "🎯 Total hoy: 9 productos";
  "📈 Progreso: "&amp;SUM(COUNTIF(inventario!J:J,"relampago"),COUNTIF(inventario!J:J,"destacada"),COUNTIF(inventario!J:J,"especial"))&amp;"/270"
}</f>
        <v>#REF!</v>
      </c>
      <c r="B124" s="82"/>
      <c r="C124" s="82"/>
      <c r="D124" s="82"/>
      <c r="F124" s="82"/>
      <c r="G124" s="82"/>
    </row>
    <row r="125" ht="15.75" customHeight="1">
      <c r="A125" s="88"/>
      <c r="B125" s="82"/>
      <c r="C125" s="82"/>
      <c r="D125" s="82"/>
      <c r="F125" s="82"/>
      <c r="G125" s="82"/>
    </row>
    <row r="126" ht="15.75" customHeight="1">
      <c r="A126" s="88"/>
      <c r="B126" s="82"/>
      <c r="C126" s="82"/>
      <c r="D126" s="82"/>
      <c r="F126" s="82"/>
      <c r="G126" s="82"/>
    </row>
    <row r="127" ht="15.75" customHeight="1">
      <c r="A127" s="88"/>
      <c r="B127" s="82"/>
      <c r="C127" s="82"/>
      <c r="D127" s="82"/>
      <c r="F127" s="82"/>
      <c r="G127" s="82"/>
    </row>
    <row r="128" ht="15.75" customHeight="1">
      <c r="A128" s="88"/>
      <c r="B128" s="82"/>
      <c r="C128" s="82"/>
      <c r="D128" s="82"/>
      <c r="F128" s="82"/>
      <c r="G128" s="82"/>
    </row>
    <row r="129" ht="15.75" customHeight="1">
      <c r="A129" s="88"/>
      <c r="B129" s="82"/>
      <c r="C129" s="82"/>
      <c r="D129" s="82"/>
      <c r="F129" s="82"/>
      <c r="G129" s="82"/>
    </row>
    <row r="130" ht="15.75" customHeight="1">
      <c r="A130" s="88"/>
      <c r="B130" s="82"/>
      <c r="C130" s="82"/>
      <c r="D130" s="82"/>
      <c r="F130" s="82"/>
      <c r="G130" s="82"/>
    </row>
    <row r="131" ht="15.75" customHeight="1">
      <c r="A131" s="88"/>
      <c r="B131" s="82"/>
      <c r="C131" s="82"/>
      <c r="D131" s="82"/>
      <c r="F131" s="82"/>
      <c r="G131" s="82"/>
    </row>
    <row r="132" ht="15.75" customHeight="1">
      <c r="A132" s="88"/>
      <c r="B132" s="82"/>
      <c r="C132" s="82"/>
      <c r="D132" s="82"/>
      <c r="F132" s="82"/>
      <c r="G132" s="82"/>
    </row>
    <row r="133" ht="15.75" customHeight="1">
      <c r="A133" s="88"/>
      <c r="B133" s="82"/>
      <c r="C133" s="82"/>
      <c r="D133" s="82"/>
      <c r="F133" s="82"/>
      <c r="G133" s="82"/>
    </row>
    <row r="134" ht="15.75" customHeight="1">
      <c r="A134" s="88"/>
      <c r="B134" s="82"/>
      <c r="C134" s="82"/>
      <c r="D134" s="82"/>
      <c r="F134" s="82"/>
      <c r="G134" s="82"/>
    </row>
    <row r="135" ht="15.75" customHeight="1">
      <c r="A135" s="88"/>
      <c r="B135" s="82"/>
      <c r="C135" s="82"/>
      <c r="D135" s="82"/>
      <c r="F135" s="82"/>
      <c r="G135" s="82"/>
    </row>
    <row r="136" ht="15.75" customHeight="1">
      <c r="A136" s="88"/>
      <c r="B136" s="82"/>
      <c r="C136" s="82"/>
      <c r="D136" s="82"/>
      <c r="F136" s="82"/>
      <c r="G136" s="82"/>
    </row>
    <row r="137" ht="15.75" customHeight="1">
      <c r="A137" s="88"/>
      <c r="B137" s="82"/>
      <c r="C137" s="82"/>
      <c r="D137" s="82"/>
      <c r="F137" s="82"/>
      <c r="G137" s="82"/>
    </row>
    <row r="138" ht="15.75" customHeight="1">
      <c r="A138" s="88"/>
      <c r="B138" s="82"/>
      <c r="C138" s="82"/>
      <c r="D138" s="82"/>
      <c r="F138" s="82"/>
      <c r="G138" s="82"/>
    </row>
    <row r="139" ht="15.75" customHeight="1">
      <c r="A139" s="88"/>
      <c r="B139" s="82"/>
      <c r="C139" s="82"/>
      <c r="D139" s="82"/>
      <c r="F139" s="82"/>
      <c r="G139" s="82"/>
    </row>
    <row r="140" ht="15.75" customHeight="1">
      <c r="A140" s="88"/>
      <c r="B140" s="82"/>
      <c r="C140" s="82"/>
      <c r="D140" s="82"/>
      <c r="F140" s="82"/>
      <c r="G140" s="82"/>
    </row>
    <row r="141" ht="15.75" customHeight="1">
      <c r="A141" s="88"/>
      <c r="B141" s="82"/>
      <c r="C141" s="82"/>
      <c r="D141" s="82"/>
      <c r="F141" s="82"/>
      <c r="G141" s="82"/>
    </row>
    <row r="142" ht="15.75" customHeight="1">
      <c r="A142" s="88"/>
      <c r="B142" s="82"/>
      <c r="C142" s="82"/>
      <c r="D142" s="82"/>
      <c r="F142" s="82"/>
      <c r="G142" s="82"/>
    </row>
    <row r="143" ht="15.75" customHeight="1">
      <c r="A143" s="88"/>
      <c r="B143" s="82"/>
      <c r="C143" s="82"/>
      <c r="D143" s="82"/>
      <c r="F143" s="82"/>
      <c r="G143" s="82"/>
    </row>
    <row r="144" ht="15.75" customHeight="1">
      <c r="A144" s="88"/>
      <c r="B144" s="82"/>
      <c r="C144" s="82"/>
      <c r="D144" s="82"/>
      <c r="F144" s="82"/>
      <c r="G144" s="82"/>
    </row>
    <row r="145" ht="15.75" customHeight="1">
      <c r="A145" s="88"/>
      <c r="B145" s="82"/>
      <c r="C145" s="82"/>
      <c r="D145" s="82"/>
      <c r="F145" s="82"/>
      <c r="G145" s="82"/>
    </row>
    <row r="146" ht="15.75" customHeight="1">
      <c r="A146" s="88"/>
      <c r="B146" s="82"/>
      <c r="C146" s="82"/>
      <c r="D146" s="82"/>
      <c r="F146" s="82"/>
      <c r="G146" s="82"/>
    </row>
    <row r="147" ht="15.75" customHeight="1">
      <c r="A147" s="88"/>
      <c r="B147" s="82"/>
      <c r="C147" s="82"/>
      <c r="D147" s="82"/>
      <c r="F147" s="82"/>
      <c r="G147" s="82"/>
    </row>
    <row r="148" ht="15.75" customHeight="1">
      <c r="A148" s="88" t="str">
        <f t="array" ref="A148:A200">{
  "📅 HISTÓRICO DE PROGRESO";
  "";
  {"Fecha"; "⚡"; "🔥"; "🎁"; "Total"; "%"};
  {TEXT(TODAY()-6, "dd/mm"); 0; 25; 40; 65; "24%"};
  {TEXT(TODAY()-5, "dd/mm"); 1; 28; 45; 74; "27%"};
  {TEXT(TODAY()-4, "dd/mm"); 2; 30; 48; 80; "30%"};
  {TEXT(TODAY()-3, "dd/mm"); 3; 32; 50; 85; "31%"};
  {TEXT(TODAY()-2, "dd/mm"); 3; 33; 51; 87; "32%"};
  {TEXT(TODAY()-1, "dd/mm"); 3; 34; 52; 89; "33%"};
  {TEXT(TODAY(), "dd/mm"); "?"; "?"; "?"; "?"; "?"};
  "";
  "📈 Tendencia: +4 productos/día";
  "🏆 Proyección: Completas en "&amp;ROUNDUP((270-89)/4,0)&amp;" días"
}</f>
        <v>📅 HISTÓRICO DE PROGRESO</v>
      </c>
      <c r="B148" s="82"/>
      <c r="C148" s="82"/>
      <c r="D148" s="82"/>
      <c r="F148" s="82"/>
      <c r="G148" s="82"/>
    </row>
    <row r="149" ht="15.75" customHeight="1">
      <c r="A149" s="88" t="s">
        <v>2233</v>
      </c>
      <c r="B149" s="82"/>
      <c r="C149" s="82"/>
      <c r="D149" s="82"/>
      <c r="F149" s="82"/>
      <c r="G149" s="82"/>
    </row>
    <row r="150" ht="15.75" customHeight="1">
      <c r="A150" s="88" t="s">
        <v>1281</v>
      </c>
      <c r="B150" s="82"/>
      <c r="C150" s="82"/>
      <c r="D150" s="82"/>
      <c r="F150" s="82"/>
      <c r="G150" s="82"/>
    </row>
    <row r="151" ht="15.75" customHeight="1">
      <c r="A151" s="88" t="s">
        <v>2245</v>
      </c>
      <c r="B151" s="82"/>
      <c r="C151" s="82"/>
      <c r="D151" s="82"/>
      <c r="F151" s="82"/>
      <c r="G151" s="82"/>
    </row>
    <row r="152" ht="15.75" customHeight="1">
      <c r="A152" s="88" t="s">
        <v>2246</v>
      </c>
      <c r="B152" s="82"/>
      <c r="C152" s="82"/>
      <c r="D152" s="82"/>
      <c r="F152" s="82"/>
      <c r="G152" s="82"/>
    </row>
    <row r="153" ht="15.75" customHeight="1">
      <c r="A153" s="88" t="s">
        <v>2247</v>
      </c>
      <c r="B153" s="82"/>
      <c r="C153" s="82"/>
      <c r="D153" s="82"/>
      <c r="F153" s="82"/>
      <c r="G153" s="82"/>
    </row>
    <row r="154" ht="15.75" customHeight="1">
      <c r="A154" s="88" t="s">
        <v>1285</v>
      </c>
      <c r="B154" s="82"/>
      <c r="C154" s="82"/>
      <c r="D154" s="82"/>
      <c r="F154" s="82"/>
      <c r="G154" s="82"/>
    </row>
    <row r="155" ht="15.75" customHeight="1">
      <c r="A155" s="88" t="s">
        <v>2248</v>
      </c>
      <c r="B155" s="82"/>
      <c r="C155" s="82"/>
      <c r="D155" s="82"/>
      <c r="F155" s="82"/>
      <c r="G155" s="82"/>
    </row>
    <row r="156" ht="15.75" customHeight="1">
      <c r="A156" s="88" t="s">
        <v>2249</v>
      </c>
      <c r="B156" s="82"/>
      <c r="C156" s="82"/>
      <c r="D156" s="82"/>
      <c r="F156" s="82"/>
      <c r="G156" s="82"/>
    </row>
    <row r="157" ht="15.75" customHeight="1">
      <c r="A157" s="88">
        <v>0.0</v>
      </c>
      <c r="B157" s="82"/>
      <c r="C157" s="82"/>
      <c r="D157" s="82"/>
      <c r="F157" s="82"/>
      <c r="G157" s="82"/>
    </row>
    <row r="158" ht="15.75" customHeight="1">
      <c r="A158" s="88">
        <v>25.0</v>
      </c>
      <c r="B158" s="82"/>
      <c r="C158" s="82"/>
      <c r="D158" s="82"/>
      <c r="F158" s="82"/>
      <c r="G158" s="82"/>
    </row>
    <row r="159" ht="15.75" customHeight="1">
      <c r="A159" s="88">
        <v>40.0</v>
      </c>
      <c r="B159" s="82"/>
      <c r="C159" s="82"/>
      <c r="D159" s="82"/>
      <c r="F159" s="82"/>
      <c r="G159" s="82"/>
    </row>
    <row r="160" ht="15.75" customHeight="1">
      <c r="A160" s="88">
        <v>65.0</v>
      </c>
      <c r="B160" s="82"/>
      <c r="C160" s="82"/>
      <c r="D160" s="82"/>
      <c r="F160" s="82"/>
      <c r="G160" s="82"/>
    </row>
    <row r="161" ht="15.75" customHeight="1">
      <c r="A161" s="88" t="s">
        <v>2250</v>
      </c>
      <c r="B161" s="82"/>
      <c r="C161" s="82"/>
      <c r="D161" s="82"/>
      <c r="F161" s="82"/>
      <c r="G161" s="82"/>
    </row>
    <row r="162" ht="15.75" customHeight="1">
      <c r="A162" s="88" t="s">
        <v>2251</v>
      </c>
      <c r="B162" s="82"/>
      <c r="C162" s="82"/>
      <c r="D162" s="82"/>
      <c r="F162" s="82"/>
      <c r="G162" s="82"/>
    </row>
    <row r="163" ht="15.75" customHeight="1">
      <c r="A163" s="88">
        <v>1.0</v>
      </c>
      <c r="B163" s="82"/>
      <c r="C163" s="82"/>
      <c r="D163" s="82"/>
      <c r="F163" s="82"/>
      <c r="G163" s="82"/>
    </row>
    <row r="164" ht="15.75" customHeight="1">
      <c r="A164" s="88">
        <v>28.0</v>
      </c>
      <c r="B164" s="82"/>
      <c r="C164" s="82"/>
      <c r="D164" s="82"/>
      <c r="F164" s="82"/>
      <c r="G164" s="82"/>
    </row>
    <row r="165" ht="15.75" customHeight="1">
      <c r="A165" s="88">
        <v>45.0</v>
      </c>
      <c r="B165" s="82"/>
      <c r="C165" s="82"/>
      <c r="D165" s="82"/>
      <c r="F165" s="82"/>
      <c r="G165" s="82"/>
    </row>
    <row r="166" ht="15.75" customHeight="1">
      <c r="A166" s="88">
        <v>74.0</v>
      </c>
      <c r="B166" s="82"/>
      <c r="C166" s="82"/>
      <c r="D166" s="82"/>
      <c r="F166" s="82"/>
      <c r="G166" s="82"/>
    </row>
    <row r="167" ht="15.75" customHeight="1">
      <c r="A167" s="88" t="s">
        <v>2252</v>
      </c>
      <c r="B167" s="82"/>
      <c r="C167" s="82"/>
      <c r="D167" s="82"/>
      <c r="F167" s="82"/>
      <c r="G167" s="82"/>
    </row>
    <row r="168" ht="15.75" customHeight="1">
      <c r="A168" s="88" t="s">
        <v>2253</v>
      </c>
      <c r="B168" s="82"/>
      <c r="C168" s="82"/>
      <c r="D168" s="82"/>
      <c r="F168" s="82"/>
      <c r="G168" s="82"/>
    </row>
    <row r="169" ht="15.75" customHeight="1">
      <c r="A169" s="88">
        <v>2.0</v>
      </c>
      <c r="B169" s="82"/>
      <c r="C169" s="82"/>
      <c r="D169" s="82"/>
      <c r="F169" s="82"/>
      <c r="G169" s="82"/>
    </row>
    <row r="170" ht="15.75" customHeight="1">
      <c r="A170" s="88">
        <v>30.0</v>
      </c>
      <c r="B170" s="82"/>
      <c r="C170" s="82"/>
      <c r="D170" s="82"/>
      <c r="F170" s="82"/>
      <c r="G170" s="82"/>
    </row>
    <row r="171" ht="15.75" customHeight="1">
      <c r="A171" s="88">
        <v>48.0</v>
      </c>
      <c r="B171" s="82"/>
      <c r="C171" s="82"/>
      <c r="D171" s="82"/>
      <c r="F171" s="82"/>
      <c r="G171" s="82"/>
    </row>
    <row r="172" ht="15.75" customHeight="1">
      <c r="A172" s="88">
        <v>80.0</v>
      </c>
      <c r="B172" s="82"/>
      <c r="C172" s="82"/>
      <c r="D172" s="82"/>
      <c r="F172" s="82"/>
      <c r="G172" s="82"/>
    </row>
    <row r="173" ht="15.75" customHeight="1">
      <c r="A173" s="88" t="s">
        <v>2254</v>
      </c>
      <c r="B173" s="82"/>
      <c r="C173" s="82"/>
      <c r="D173" s="82"/>
      <c r="F173" s="82"/>
      <c r="G173" s="82"/>
    </row>
    <row r="174" ht="15.75" customHeight="1">
      <c r="A174" s="88" t="s">
        <v>2255</v>
      </c>
      <c r="B174" s="82"/>
      <c r="C174" s="82"/>
      <c r="D174" s="82"/>
      <c r="F174" s="82"/>
      <c r="G174" s="82"/>
    </row>
    <row r="175" ht="15.75" customHeight="1">
      <c r="A175" s="88">
        <v>3.0</v>
      </c>
      <c r="B175" s="82"/>
      <c r="C175" s="82"/>
      <c r="D175" s="82"/>
      <c r="F175" s="82"/>
      <c r="G175" s="82"/>
    </row>
    <row r="176" ht="15.75" customHeight="1">
      <c r="A176" s="88">
        <v>32.0</v>
      </c>
      <c r="B176" s="82"/>
      <c r="C176" s="82"/>
      <c r="D176" s="82"/>
      <c r="F176" s="82"/>
      <c r="G176" s="82"/>
    </row>
    <row r="177" ht="15.75" customHeight="1">
      <c r="A177" s="88">
        <v>50.0</v>
      </c>
      <c r="B177" s="82"/>
      <c r="C177" s="82"/>
      <c r="D177" s="82"/>
      <c r="F177" s="82"/>
      <c r="G177" s="82"/>
    </row>
    <row r="178" ht="15.75" customHeight="1">
      <c r="A178" s="88">
        <v>85.0</v>
      </c>
      <c r="B178" s="82"/>
      <c r="C178" s="82"/>
      <c r="D178" s="82"/>
      <c r="F178" s="82"/>
      <c r="G178" s="82"/>
    </row>
    <row r="179" ht="15.75" customHeight="1">
      <c r="A179" s="88" t="s">
        <v>2256</v>
      </c>
      <c r="B179" s="82"/>
      <c r="C179" s="82"/>
      <c r="D179" s="82"/>
      <c r="F179" s="82"/>
      <c r="G179" s="82"/>
    </row>
    <row r="180" ht="15.75" customHeight="1">
      <c r="A180" s="88" t="s">
        <v>2257</v>
      </c>
      <c r="B180" s="82"/>
      <c r="C180" s="82"/>
      <c r="D180" s="82"/>
      <c r="F180" s="82"/>
      <c r="G180" s="82"/>
    </row>
    <row r="181" ht="15.75" customHeight="1">
      <c r="A181" s="88">
        <v>3.0</v>
      </c>
      <c r="B181" s="82"/>
      <c r="C181" s="82"/>
      <c r="D181" s="82"/>
      <c r="F181" s="82"/>
      <c r="G181" s="82"/>
    </row>
    <row r="182" ht="15.75" customHeight="1">
      <c r="A182" s="88">
        <v>33.0</v>
      </c>
      <c r="B182" s="82"/>
      <c r="C182" s="82"/>
      <c r="D182" s="82"/>
      <c r="F182" s="82"/>
      <c r="G182" s="82"/>
    </row>
    <row r="183" ht="15.75" customHeight="1">
      <c r="A183" s="88">
        <v>51.0</v>
      </c>
      <c r="B183" s="82"/>
      <c r="C183" s="82"/>
      <c r="D183" s="82"/>
      <c r="F183" s="82"/>
      <c r="G183" s="82"/>
    </row>
    <row r="184" ht="15.75" customHeight="1">
      <c r="A184" s="88">
        <v>87.0</v>
      </c>
      <c r="B184" s="82"/>
      <c r="C184" s="82"/>
      <c r="D184" s="82"/>
      <c r="F184" s="82"/>
      <c r="G184" s="82"/>
    </row>
    <row r="185" ht="15.75" customHeight="1">
      <c r="A185" s="88" t="s">
        <v>2258</v>
      </c>
      <c r="B185" s="82"/>
      <c r="C185" s="82"/>
      <c r="D185" s="82"/>
      <c r="F185" s="82"/>
      <c r="G185" s="82"/>
    </row>
    <row r="186" ht="15.75" customHeight="1">
      <c r="A186" s="88" t="s">
        <v>2259</v>
      </c>
      <c r="B186" s="82"/>
      <c r="C186" s="82"/>
      <c r="D186" s="82"/>
      <c r="F186" s="82"/>
      <c r="G186" s="82"/>
    </row>
    <row r="187" ht="15.75" customHeight="1">
      <c r="A187" s="88">
        <v>3.0</v>
      </c>
      <c r="B187" s="82"/>
      <c r="C187" s="82"/>
      <c r="D187" s="82"/>
      <c r="F187" s="82"/>
      <c r="G187" s="82"/>
    </row>
    <row r="188" ht="15.75" customHeight="1">
      <c r="A188" s="88">
        <v>34.0</v>
      </c>
      <c r="B188" s="82"/>
      <c r="C188" s="82"/>
      <c r="D188" s="82"/>
      <c r="F188" s="82"/>
      <c r="G188" s="82"/>
    </row>
    <row r="189" ht="15.75" customHeight="1">
      <c r="A189" s="88">
        <v>52.0</v>
      </c>
      <c r="B189" s="82"/>
      <c r="C189" s="82"/>
      <c r="D189" s="82"/>
      <c r="F189" s="82"/>
      <c r="G189" s="82"/>
    </row>
    <row r="190" ht="15.75" customHeight="1">
      <c r="A190" s="88">
        <v>89.0</v>
      </c>
      <c r="B190" s="82"/>
      <c r="C190" s="82"/>
      <c r="D190" s="82"/>
      <c r="F190" s="82"/>
      <c r="G190" s="82"/>
    </row>
    <row r="191" ht="15.75" customHeight="1">
      <c r="A191" s="88" t="s">
        <v>2260</v>
      </c>
      <c r="B191" s="82"/>
      <c r="C191" s="82"/>
      <c r="D191" s="82"/>
      <c r="F191" s="82"/>
      <c r="G191" s="82"/>
    </row>
    <row r="192" ht="15.75" customHeight="1">
      <c r="A192" s="88" t="s">
        <v>2261</v>
      </c>
      <c r="B192" s="82"/>
      <c r="C192" s="82"/>
      <c r="D192" s="82"/>
      <c r="F192" s="82"/>
      <c r="G192" s="82"/>
    </row>
    <row r="193" ht="15.75" customHeight="1">
      <c r="A193" s="88" t="s">
        <v>2262</v>
      </c>
      <c r="B193" s="82"/>
      <c r="C193" s="82"/>
      <c r="D193" s="82"/>
      <c r="F193" s="82"/>
      <c r="G193" s="82"/>
    </row>
    <row r="194" ht="15.75" customHeight="1">
      <c r="A194" s="88" t="s">
        <v>2262</v>
      </c>
      <c r="B194" s="82"/>
      <c r="C194" s="82"/>
      <c r="D194" s="82"/>
      <c r="F194" s="82"/>
      <c r="G194" s="82"/>
    </row>
    <row r="195" ht="15.75" customHeight="1">
      <c r="A195" s="88" t="s">
        <v>2262</v>
      </c>
      <c r="B195" s="82"/>
      <c r="C195" s="82"/>
      <c r="D195" s="82"/>
      <c r="F195" s="82"/>
      <c r="G195" s="82"/>
    </row>
    <row r="196" ht="15.75" customHeight="1">
      <c r="A196" s="88" t="s">
        <v>2262</v>
      </c>
      <c r="B196" s="82"/>
      <c r="C196" s="82"/>
      <c r="D196" s="82"/>
      <c r="F196" s="82"/>
      <c r="G196" s="82"/>
    </row>
    <row r="197" ht="15.75" customHeight="1">
      <c r="A197" s="88" t="s">
        <v>2262</v>
      </c>
      <c r="B197" s="82"/>
      <c r="C197" s="82"/>
      <c r="D197" s="82"/>
      <c r="F197" s="82"/>
      <c r="G197" s="82"/>
    </row>
    <row r="198" ht="15.75" customHeight="1">
      <c r="A198" s="88" t="s">
        <v>2233</v>
      </c>
      <c r="B198" s="82"/>
      <c r="C198" s="82"/>
      <c r="D198" s="82"/>
      <c r="F198" s="82"/>
      <c r="G198" s="82"/>
    </row>
    <row r="199" ht="15.75" customHeight="1">
      <c r="A199" s="88" t="s">
        <v>2263</v>
      </c>
      <c r="B199" s="82"/>
      <c r="C199" s="82"/>
      <c r="D199" s="82"/>
      <c r="F199" s="82"/>
      <c r="G199" s="82"/>
    </row>
    <row r="200" ht="15.75" customHeight="1">
      <c r="A200" s="88" t="s">
        <v>2264</v>
      </c>
      <c r="B200" s="82"/>
      <c r="C200" s="82"/>
      <c r="D200" s="82"/>
      <c r="F200" s="82"/>
      <c r="G200" s="82"/>
    </row>
    <row r="201" ht="15.75" customHeight="1">
      <c r="A201" s="82"/>
      <c r="B201" s="82"/>
      <c r="C201" s="82"/>
      <c r="D201" s="82"/>
      <c r="F201" s="82"/>
      <c r="G201" s="82"/>
    </row>
    <row r="202" ht="15.75" customHeight="1">
      <c r="A202" s="82"/>
      <c r="B202" s="82"/>
      <c r="C202" s="82"/>
      <c r="D202" s="82"/>
      <c r="F202" s="82"/>
      <c r="G202" s="82"/>
    </row>
    <row r="203" ht="15.75" customHeight="1">
      <c r="A203" s="82"/>
      <c r="B203" s="82"/>
      <c r="C203" s="82"/>
      <c r="D203" s="82"/>
      <c r="F203" s="82"/>
      <c r="G203" s="82"/>
    </row>
    <row r="204" ht="15.75" customHeight="1">
      <c r="A204" s="82"/>
      <c r="B204" s="82"/>
      <c r="C204" s="82"/>
      <c r="D204" s="82"/>
      <c r="F204" s="82"/>
      <c r="G204" s="82"/>
    </row>
    <row r="205" ht="15.75" customHeight="1">
      <c r="A205" s="82"/>
      <c r="B205" s="82"/>
      <c r="C205" s="82"/>
      <c r="D205" s="82"/>
      <c r="F205" s="82"/>
      <c r="G205" s="82"/>
    </row>
    <row r="206" ht="15.75" customHeight="1">
      <c r="A206" s="82"/>
      <c r="B206" s="82"/>
      <c r="C206" s="82"/>
      <c r="D206" s="82"/>
      <c r="F206" s="82"/>
      <c r="G206" s="82"/>
    </row>
    <row r="207" ht="15.75" customHeight="1">
      <c r="A207" s="82"/>
      <c r="B207" s="82"/>
      <c r="C207" s="82"/>
      <c r="D207" s="82"/>
      <c r="F207" s="82"/>
      <c r="G207" s="82"/>
    </row>
    <row r="208" ht="15.75" customHeight="1">
      <c r="A208" s="82"/>
      <c r="B208" s="82"/>
      <c r="C208" s="82"/>
      <c r="D208" s="82"/>
      <c r="F208" s="82"/>
      <c r="G208" s="82"/>
    </row>
    <row r="209" ht="15.75" customHeight="1">
      <c r="A209" s="82"/>
      <c r="B209" s="82"/>
      <c r="C209" s="82"/>
      <c r="D209" s="82"/>
      <c r="F209" s="82"/>
      <c r="G209" s="82"/>
    </row>
    <row r="210" ht="15.75" customHeight="1">
      <c r="A210" s="82"/>
      <c r="B210" s="82"/>
      <c r="C210" s="82"/>
      <c r="D210" s="82"/>
      <c r="F210" s="82"/>
      <c r="G210" s="82"/>
    </row>
    <row r="211" ht="15.75" customHeight="1">
      <c r="A211" s="82"/>
      <c r="B211" s="82"/>
      <c r="C211" s="82"/>
      <c r="D211" s="82"/>
      <c r="F211" s="82"/>
      <c r="G211" s="82"/>
    </row>
    <row r="212" ht="15.75" customHeight="1">
      <c r="A212" s="82"/>
      <c r="B212" s="82"/>
      <c r="C212" s="82"/>
      <c r="D212" s="82"/>
      <c r="F212" s="82"/>
      <c r="G212" s="82"/>
    </row>
    <row r="213" ht="15.75" customHeight="1">
      <c r="A213" s="82"/>
      <c r="B213" s="82"/>
      <c r="C213" s="82"/>
      <c r="D213" s="82"/>
      <c r="F213" s="82"/>
      <c r="G213" s="82"/>
    </row>
    <row r="214" ht="15.75" customHeight="1">
      <c r="A214" s="82"/>
      <c r="B214" s="82"/>
      <c r="C214" s="82"/>
      <c r="D214" s="82"/>
      <c r="F214" s="82"/>
      <c r="G214" s="82"/>
    </row>
    <row r="215" ht="15.75" customHeight="1">
      <c r="A215" s="82"/>
      <c r="B215" s="82"/>
      <c r="C215" s="82"/>
      <c r="D215" s="82"/>
      <c r="F215" s="82"/>
      <c r="G215" s="82"/>
    </row>
    <row r="216" ht="15.75" customHeight="1">
      <c r="A216" s="82"/>
      <c r="B216" s="82"/>
      <c r="C216" s="82"/>
      <c r="D216" s="82"/>
      <c r="F216" s="82"/>
      <c r="G216" s="82"/>
    </row>
    <row r="217" ht="15.75" customHeight="1">
      <c r="A217" s="82"/>
      <c r="B217" s="82"/>
      <c r="C217" s="82"/>
      <c r="D217" s="82"/>
      <c r="F217" s="82"/>
      <c r="G217" s="82"/>
    </row>
    <row r="218" ht="15.75" customHeight="1">
      <c r="A218" s="82"/>
      <c r="B218" s="82"/>
      <c r="C218" s="82"/>
      <c r="D218" s="82"/>
      <c r="F218" s="82"/>
      <c r="G218" s="82"/>
    </row>
    <row r="219" ht="15.75" customHeight="1">
      <c r="A219" s="82"/>
      <c r="B219" s="82"/>
      <c r="C219" s="82"/>
      <c r="D219" s="82"/>
      <c r="F219" s="82"/>
      <c r="G219" s="82"/>
    </row>
    <row r="220" ht="15.75" customHeight="1">
      <c r="A220" s="82"/>
      <c r="B220" s="82"/>
      <c r="C220" s="82"/>
      <c r="D220" s="82"/>
      <c r="F220" s="82"/>
      <c r="G220" s="82"/>
    </row>
    <row r="221" ht="15.75" customHeight="1">
      <c r="A221" s="82"/>
      <c r="B221" s="82"/>
      <c r="C221" s="82"/>
      <c r="D221" s="82"/>
      <c r="F221" s="82"/>
      <c r="G221" s="82"/>
    </row>
    <row r="222" ht="15.75" customHeight="1">
      <c r="A222" s="82"/>
      <c r="B222" s="82"/>
      <c r="C222" s="82"/>
      <c r="D222" s="82"/>
      <c r="F222" s="82"/>
      <c r="G222" s="82"/>
    </row>
    <row r="223" ht="15.75" customHeight="1">
      <c r="A223" s="82"/>
      <c r="B223" s="82"/>
      <c r="C223" s="82"/>
      <c r="D223" s="82"/>
      <c r="F223" s="82"/>
      <c r="G223" s="82"/>
    </row>
    <row r="224" ht="15.75" customHeight="1">
      <c r="A224" s="82"/>
      <c r="B224" s="82"/>
      <c r="C224" s="82"/>
      <c r="D224" s="82"/>
      <c r="F224" s="82"/>
      <c r="G224" s="82"/>
    </row>
    <row r="225" ht="15.75" customHeight="1">
      <c r="A225" s="82"/>
      <c r="B225" s="82"/>
      <c r="C225" s="82"/>
      <c r="D225" s="82"/>
      <c r="F225" s="82"/>
      <c r="G225" s="82"/>
    </row>
    <row r="226" ht="15.75" customHeight="1">
      <c r="A226" s="82"/>
      <c r="B226" s="82"/>
      <c r="C226" s="82"/>
      <c r="D226" s="82"/>
      <c r="F226" s="82"/>
      <c r="G226" s="82"/>
    </row>
    <row r="227" ht="15.75" customHeight="1">
      <c r="A227" s="82"/>
      <c r="B227" s="82"/>
      <c r="C227" s="82"/>
      <c r="D227" s="82"/>
      <c r="F227" s="82"/>
      <c r="G227" s="82"/>
    </row>
    <row r="228" ht="15.75" customHeight="1">
      <c r="A228" s="82"/>
      <c r="B228" s="82"/>
      <c r="C228" s="82"/>
      <c r="D228" s="82"/>
      <c r="F228" s="82"/>
      <c r="G228" s="82"/>
    </row>
    <row r="229" ht="15.75" customHeight="1">
      <c r="A229" s="82"/>
      <c r="B229" s="82"/>
      <c r="C229" s="82"/>
      <c r="D229" s="82"/>
      <c r="F229" s="82"/>
      <c r="G229" s="82"/>
    </row>
    <row r="230" ht="15.75" customHeight="1">
      <c r="A230" s="82"/>
      <c r="B230" s="82"/>
      <c r="C230" s="82"/>
      <c r="D230" s="82"/>
      <c r="F230" s="82"/>
      <c r="G230" s="82"/>
    </row>
    <row r="231" ht="15.75" customHeight="1">
      <c r="A231" s="82"/>
      <c r="B231" s="82"/>
      <c r="C231" s="82"/>
      <c r="D231" s="82"/>
      <c r="F231" s="82"/>
      <c r="G231" s="82"/>
    </row>
    <row r="232" ht="15.75" customHeight="1">
      <c r="A232" s="82"/>
      <c r="B232" s="82"/>
      <c r="C232" s="82"/>
      <c r="D232" s="82"/>
      <c r="F232" s="82"/>
      <c r="G232" s="82"/>
    </row>
    <row r="233" ht="15.75" customHeight="1">
      <c r="A233" s="82"/>
      <c r="B233" s="82"/>
      <c r="C233" s="82"/>
      <c r="D233" s="82"/>
      <c r="F233" s="82"/>
      <c r="G233" s="82"/>
    </row>
    <row r="234" ht="15.75" customHeight="1">
      <c r="A234" s="82"/>
      <c r="B234" s="82"/>
      <c r="C234" s="82"/>
      <c r="D234" s="82"/>
      <c r="F234" s="82"/>
      <c r="G234" s="82"/>
    </row>
    <row r="235" ht="15.75" customHeight="1">
      <c r="A235" s="82"/>
      <c r="B235" s="82"/>
      <c r="C235" s="82"/>
      <c r="D235" s="82"/>
      <c r="F235" s="82"/>
      <c r="G235" s="82"/>
    </row>
    <row r="236" ht="15.75" customHeight="1">
      <c r="A236" s="82"/>
      <c r="B236" s="82"/>
      <c r="C236" s="82"/>
      <c r="D236" s="82"/>
      <c r="F236" s="82"/>
      <c r="G236" s="82"/>
    </row>
    <row r="237" ht="15.75" customHeight="1">
      <c r="A237" s="82"/>
      <c r="B237" s="82"/>
      <c r="C237" s="82"/>
      <c r="D237" s="82"/>
      <c r="F237" s="82"/>
      <c r="G237" s="82"/>
    </row>
    <row r="238" ht="15.75" customHeight="1">
      <c r="A238" s="82"/>
      <c r="B238" s="82"/>
      <c r="C238" s="82"/>
      <c r="D238" s="82"/>
      <c r="F238" s="82"/>
      <c r="G238" s="82"/>
    </row>
    <row r="239" ht="15.75" customHeight="1">
      <c r="A239" s="82"/>
      <c r="B239" s="82"/>
      <c r="C239" s="82"/>
      <c r="D239" s="82"/>
      <c r="F239" s="82"/>
      <c r="G239" s="82"/>
    </row>
    <row r="240" ht="15.75" customHeight="1">
      <c r="A240" s="82"/>
      <c r="B240" s="82"/>
      <c r="C240" s="82"/>
      <c r="D240" s="82"/>
      <c r="F240" s="82"/>
      <c r="G240" s="82"/>
    </row>
    <row r="241" ht="15.75" customHeight="1">
      <c r="A241" s="82"/>
      <c r="B241" s="82"/>
      <c r="C241" s="82"/>
      <c r="D241" s="82"/>
      <c r="F241" s="82"/>
      <c r="G241" s="82"/>
    </row>
    <row r="242" ht="15.75" customHeight="1">
      <c r="A242" s="82"/>
      <c r="B242" s="82"/>
      <c r="C242" s="82"/>
      <c r="D242" s="82"/>
      <c r="F242" s="82"/>
      <c r="G242" s="82"/>
    </row>
    <row r="243" ht="15.75" customHeight="1">
      <c r="A243" s="82"/>
      <c r="B243" s="82"/>
      <c r="C243" s="82"/>
      <c r="D243" s="82"/>
      <c r="F243" s="82"/>
      <c r="G243" s="82"/>
    </row>
    <row r="244" ht="15.75" customHeight="1">
      <c r="A244" s="82"/>
      <c r="B244" s="82"/>
      <c r="C244" s="82"/>
      <c r="D244" s="82"/>
      <c r="F244" s="82"/>
      <c r="G244" s="82"/>
    </row>
    <row r="245" ht="15.75" customHeight="1">
      <c r="A245" s="82"/>
      <c r="B245" s="82"/>
      <c r="C245" s="82"/>
      <c r="D245" s="82"/>
      <c r="F245" s="82"/>
      <c r="G245" s="82"/>
    </row>
    <row r="246" ht="15.75" customHeight="1">
      <c r="A246" s="82"/>
      <c r="B246" s="82"/>
      <c r="C246" s="82"/>
      <c r="D246" s="82"/>
      <c r="F246" s="82"/>
      <c r="G246" s="82"/>
    </row>
    <row r="247" ht="15.75" customHeight="1">
      <c r="A247" s="82"/>
      <c r="B247" s="82"/>
      <c r="C247" s="82"/>
      <c r="D247" s="82"/>
      <c r="F247" s="82"/>
      <c r="G247" s="82"/>
    </row>
    <row r="248" ht="15.75" customHeight="1">
      <c r="A248" s="82"/>
      <c r="B248" s="82"/>
      <c r="C248" s="82"/>
      <c r="D248" s="82"/>
      <c r="F248" s="82"/>
      <c r="G248" s="82"/>
    </row>
    <row r="249" ht="15.75" customHeight="1">
      <c r="A249" s="82"/>
      <c r="B249" s="82"/>
      <c r="C249" s="82"/>
      <c r="D249" s="82"/>
      <c r="F249" s="82"/>
      <c r="G249" s="82"/>
    </row>
    <row r="250" ht="15.75" customHeight="1">
      <c r="A250" s="82"/>
      <c r="B250" s="82"/>
      <c r="C250" s="82"/>
      <c r="D250" s="82"/>
      <c r="F250" s="82"/>
      <c r="G250" s="82"/>
    </row>
    <row r="251" ht="15.75" customHeight="1">
      <c r="A251" s="82"/>
      <c r="B251" s="82"/>
      <c r="C251" s="82"/>
      <c r="D251" s="82"/>
      <c r="F251" s="82"/>
      <c r="G251" s="82"/>
    </row>
    <row r="252" ht="15.75" customHeight="1">
      <c r="A252" s="82"/>
      <c r="B252" s="82"/>
      <c r="C252" s="82"/>
      <c r="D252" s="82"/>
      <c r="F252" s="82"/>
      <c r="G252" s="82"/>
    </row>
    <row r="253" ht="15.75" customHeight="1">
      <c r="A253" s="82"/>
      <c r="B253" s="82"/>
      <c r="C253" s="82"/>
      <c r="D253" s="82"/>
      <c r="F253" s="82"/>
      <c r="G253" s="82"/>
    </row>
    <row r="254" ht="15.75" customHeight="1">
      <c r="A254" s="82"/>
      <c r="B254" s="82"/>
      <c r="C254" s="82"/>
      <c r="D254" s="82"/>
      <c r="F254" s="82"/>
      <c r="G254" s="82"/>
    </row>
    <row r="255" ht="15.75" customHeight="1">
      <c r="A255" s="82"/>
      <c r="B255" s="82"/>
      <c r="C255" s="82"/>
      <c r="D255" s="82"/>
      <c r="F255" s="82"/>
      <c r="G255" s="82"/>
    </row>
    <row r="256" ht="15.75" customHeight="1">
      <c r="A256" s="82"/>
      <c r="B256" s="82"/>
      <c r="C256" s="82"/>
      <c r="D256" s="82"/>
      <c r="F256" s="82"/>
      <c r="G256" s="82"/>
    </row>
    <row r="257" ht="15.75" customHeight="1">
      <c r="A257" s="82"/>
      <c r="B257" s="82"/>
      <c r="C257" s="82"/>
      <c r="D257" s="82"/>
      <c r="F257" s="82"/>
      <c r="G257" s="82"/>
    </row>
    <row r="258" ht="15.75" customHeight="1">
      <c r="A258" s="82"/>
      <c r="B258" s="82"/>
      <c r="C258" s="82"/>
      <c r="D258" s="82"/>
      <c r="F258" s="82"/>
      <c r="G258" s="82"/>
    </row>
    <row r="259" ht="15.75" customHeight="1">
      <c r="A259" s="82"/>
      <c r="B259" s="82"/>
      <c r="C259" s="82"/>
      <c r="D259" s="82"/>
      <c r="F259" s="82"/>
      <c r="G259" s="82"/>
    </row>
    <row r="260" ht="15.75" customHeight="1">
      <c r="A260" s="82"/>
      <c r="B260" s="82"/>
      <c r="C260" s="82"/>
      <c r="D260" s="82"/>
      <c r="F260" s="82"/>
      <c r="G260" s="82"/>
    </row>
    <row r="261" ht="15.75" customHeight="1">
      <c r="A261" s="82"/>
      <c r="B261" s="82"/>
      <c r="C261" s="82"/>
      <c r="D261" s="82"/>
      <c r="F261" s="82"/>
      <c r="G261" s="82"/>
    </row>
    <row r="262" ht="15.75" customHeight="1">
      <c r="A262" s="82"/>
      <c r="B262" s="82"/>
      <c r="C262" s="82"/>
      <c r="D262" s="82"/>
      <c r="F262" s="82"/>
      <c r="G262" s="82"/>
    </row>
    <row r="263" ht="15.75" customHeight="1">
      <c r="A263" s="82"/>
      <c r="B263" s="82"/>
      <c r="C263" s="82"/>
      <c r="D263" s="82"/>
      <c r="F263" s="82"/>
      <c r="G263" s="82"/>
    </row>
    <row r="264" ht="15.75" customHeight="1">
      <c r="A264" s="82"/>
      <c r="B264" s="82"/>
      <c r="C264" s="82"/>
      <c r="D264" s="82"/>
      <c r="F264" s="82"/>
      <c r="G264" s="82"/>
    </row>
    <row r="265" ht="15.75" customHeight="1">
      <c r="A265" s="82"/>
      <c r="B265" s="82"/>
      <c r="C265" s="82"/>
      <c r="D265" s="82"/>
      <c r="F265" s="82"/>
      <c r="G265" s="82"/>
    </row>
    <row r="266" ht="15.75" customHeight="1">
      <c r="A266" s="82"/>
      <c r="B266" s="82"/>
      <c r="C266" s="82"/>
      <c r="D266" s="82"/>
      <c r="F266" s="82"/>
      <c r="G266" s="82"/>
    </row>
    <row r="267" ht="15.75" customHeight="1">
      <c r="A267" s="82"/>
      <c r="B267" s="82"/>
      <c r="C267" s="82"/>
      <c r="D267" s="82"/>
      <c r="F267" s="82"/>
      <c r="G267" s="82"/>
    </row>
    <row r="268" ht="15.75" customHeight="1">
      <c r="A268" s="82"/>
      <c r="B268" s="82"/>
      <c r="C268" s="82"/>
      <c r="D268" s="82"/>
      <c r="F268" s="82"/>
      <c r="G268" s="82"/>
    </row>
    <row r="269" ht="15.75" customHeight="1">
      <c r="A269" s="82"/>
      <c r="B269" s="82"/>
      <c r="C269" s="82"/>
      <c r="D269" s="82"/>
      <c r="F269" s="82"/>
      <c r="G269" s="82"/>
    </row>
    <row r="270" ht="15.75" customHeight="1">
      <c r="A270" s="82"/>
      <c r="B270" s="82"/>
      <c r="C270" s="82"/>
      <c r="D270" s="82"/>
      <c r="F270" s="82"/>
      <c r="G270" s="82"/>
    </row>
    <row r="271" ht="15.75" customHeight="1">
      <c r="A271" s="82"/>
      <c r="B271" s="82"/>
      <c r="C271" s="82"/>
      <c r="D271" s="82"/>
      <c r="F271" s="82"/>
      <c r="G271" s="82"/>
    </row>
    <row r="272" ht="15.75" customHeight="1">
      <c r="A272" s="82"/>
      <c r="B272" s="82"/>
      <c r="C272" s="82"/>
      <c r="D272" s="82"/>
      <c r="F272" s="82"/>
      <c r="G272" s="82"/>
    </row>
    <row r="273" ht="15.75" customHeight="1">
      <c r="A273" s="82"/>
      <c r="B273" s="82"/>
      <c r="C273" s="82"/>
      <c r="D273" s="82"/>
      <c r="F273" s="82"/>
      <c r="G273" s="82"/>
    </row>
    <row r="274" ht="15.75" customHeight="1">
      <c r="A274" s="82"/>
      <c r="B274" s="82"/>
      <c r="C274" s="82"/>
      <c r="D274" s="82"/>
      <c r="F274" s="82"/>
      <c r="G274" s="82"/>
    </row>
    <row r="275" ht="15.75" customHeight="1">
      <c r="A275" s="82"/>
      <c r="B275" s="82"/>
      <c r="C275" s="82"/>
      <c r="D275" s="82"/>
      <c r="F275" s="82"/>
      <c r="G275" s="82"/>
    </row>
    <row r="276" ht="15.75" customHeight="1">
      <c r="A276" s="82"/>
      <c r="B276" s="82"/>
      <c r="C276" s="82"/>
      <c r="D276" s="82"/>
      <c r="F276" s="82"/>
      <c r="G276" s="82"/>
    </row>
    <row r="277" ht="15.75" customHeight="1">
      <c r="A277" s="82"/>
      <c r="B277" s="82"/>
      <c r="C277" s="82"/>
      <c r="D277" s="82"/>
      <c r="F277" s="82"/>
      <c r="G277" s="82"/>
    </row>
    <row r="278" ht="15.75" customHeight="1">
      <c r="A278" s="82"/>
      <c r="B278" s="82"/>
      <c r="C278" s="82"/>
      <c r="D278" s="82"/>
      <c r="F278" s="82"/>
      <c r="G278" s="82"/>
    </row>
    <row r="279" ht="15.75" customHeight="1">
      <c r="A279" s="82"/>
      <c r="B279" s="82"/>
      <c r="C279" s="82"/>
      <c r="D279" s="82"/>
      <c r="F279" s="82"/>
      <c r="G279" s="82"/>
    </row>
    <row r="280" ht="15.75" customHeight="1">
      <c r="A280" s="82"/>
      <c r="B280" s="82"/>
      <c r="C280" s="82"/>
      <c r="D280" s="82"/>
      <c r="F280" s="82"/>
      <c r="G280" s="82"/>
    </row>
    <row r="281" ht="15.75" customHeight="1">
      <c r="A281" s="82"/>
      <c r="B281" s="82"/>
      <c r="C281" s="82"/>
      <c r="D281" s="82"/>
      <c r="F281" s="82"/>
      <c r="G281" s="82"/>
    </row>
    <row r="282" ht="15.75" customHeight="1">
      <c r="A282" s="82"/>
      <c r="B282" s="82"/>
      <c r="C282" s="82"/>
      <c r="D282" s="82"/>
      <c r="F282" s="82"/>
      <c r="G282" s="82"/>
    </row>
    <row r="283" ht="15.75" customHeight="1">
      <c r="A283" s="82"/>
      <c r="B283" s="82"/>
      <c r="C283" s="82"/>
      <c r="D283" s="82"/>
      <c r="F283" s="82"/>
      <c r="G283" s="82"/>
    </row>
    <row r="284" ht="15.75" customHeight="1">
      <c r="A284" s="82"/>
      <c r="B284" s="82"/>
      <c r="C284" s="82"/>
      <c r="D284" s="82"/>
      <c r="F284" s="82"/>
      <c r="G284" s="82"/>
    </row>
    <row r="285" ht="15.75" customHeight="1">
      <c r="A285" s="82"/>
      <c r="B285" s="82"/>
      <c r="C285" s="82"/>
      <c r="D285" s="82"/>
      <c r="F285" s="82"/>
      <c r="G285" s="82"/>
    </row>
    <row r="286" ht="15.75" customHeight="1">
      <c r="A286" s="82"/>
      <c r="B286" s="82"/>
      <c r="C286" s="82"/>
      <c r="D286" s="82"/>
      <c r="F286" s="82"/>
      <c r="G286" s="82"/>
    </row>
    <row r="287" ht="15.75" customHeight="1">
      <c r="A287" s="82"/>
      <c r="B287" s="82"/>
      <c r="C287" s="82"/>
      <c r="D287" s="82"/>
      <c r="F287" s="82"/>
      <c r="G287" s="82"/>
    </row>
    <row r="288" ht="15.75" customHeight="1">
      <c r="A288" s="82"/>
      <c r="B288" s="82"/>
      <c r="C288" s="82"/>
      <c r="D288" s="82"/>
      <c r="F288" s="82"/>
      <c r="G288" s="82"/>
    </row>
    <row r="289" ht="15.75" customHeight="1">
      <c r="A289" s="82"/>
      <c r="B289" s="82"/>
      <c r="C289" s="82"/>
      <c r="D289" s="82"/>
      <c r="F289" s="82"/>
      <c r="G289" s="82"/>
    </row>
    <row r="290" ht="15.75" customHeight="1">
      <c r="A290" s="82"/>
      <c r="B290" s="82"/>
      <c r="C290" s="82"/>
      <c r="D290" s="82"/>
      <c r="F290" s="82"/>
      <c r="G290" s="82"/>
    </row>
    <row r="291" ht="15.75" customHeight="1">
      <c r="A291" s="82"/>
      <c r="B291" s="82"/>
      <c r="C291" s="82"/>
      <c r="D291" s="82"/>
      <c r="F291" s="82"/>
      <c r="G291" s="82"/>
    </row>
    <row r="292" ht="15.75" customHeight="1">
      <c r="A292" s="82"/>
      <c r="B292" s="82"/>
      <c r="C292" s="82"/>
      <c r="D292" s="82"/>
      <c r="F292" s="82"/>
      <c r="G292" s="82"/>
    </row>
    <row r="293" ht="15.75" customHeight="1">
      <c r="A293" s="82"/>
      <c r="B293" s="82"/>
      <c r="C293" s="82"/>
      <c r="D293" s="82"/>
      <c r="F293" s="82"/>
      <c r="G293" s="82"/>
    </row>
    <row r="294" ht="15.75" customHeight="1">
      <c r="A294" s="82"/>
      <c r="B294" s="82"/>
      <c r="C294" s="82"/>
      <c r="D294" s="82"/>
      <c r="F294" s="82"/>
      <c r="G294" s="82"/>
    </row>
    <row r="295" ht="15.75" customHeight="1">
      <c r="A295" s="82"/>
      <c r="B295" s="82"/>
      <c r="C295" s="82"/>
      <c r="D295" s="82"/>
      <c r="F295" s="82"/>
      <c r="G295" s="82"/>
    </row>
    <row r="296" ht="15.75" customHeight="1">
      <c r="A296" s="82"/>
      <c r="B296" s="82"/>
      <c r="C296" s="82"/>
      <c r="D296" s="82"/>
      <c r="F296" s="82"/>
      <c r="G296" s="82"/>
    </row>
    <row r="297" ht="15.75" customHeight="1">
      <c r="A297" s="82"/>
      <c r="B297" s="82"/>
      <c r="C297" s="82"/>
      <c r="D297" s="82"/>
      <c r="F297" s="82"/>
      <c r="G297" s="82"/>
    </row>
    <row r="298" ht="15.75" customHeight="1">
      <c r="A298" s="82"/>
      <c r="B298" s="82"/>
      <c r="C298" s="82"/>
      <c r="D298" s="82"/>
      <c r="F298" s="82"/>
      <c r="G298" s="82"/>
    </row>
    <row r="299" ht="15.75" customHeight="1">
      <c r="A299" s="82"/>
      <c r="B299" s="82"/>
      <c r="C299" s="82"/>
      <c r="D299" s="82"/>
      <c r="F299" s="82"/>
      <c r="G299" s="82"/>
    </row>
    <row r="300" ht="15.75" customHeight="1">
      <c r="A300" s="82"/>
      <c r="B300" s="82"/>
      <c r="C300" s="82"/>
      <c r="D300" s="82"/>
      <c r="F300" s="82"/>
      <c r="G300" s="82"/>
    </row>
    <row r="301" ht="15.75" customHeight="1">
      <c r="A301" s="82"/>
      <c r="B301" s="82"/>
      <c r="C301" s="82"/>
      <c r="D301" s="82"/>
      <c r="F301" s="82"/>
      <c r="G301" s="82"/>
    </row>
    <row r="302" ht="15.75" customHeight="1">
      <c r="A302" s="82"/>
      <c r="B302" s="82"/>
      <c r="C302" s="82"/>
      <c r="D302" s="82"/>
      <c r="F302" s="82"/>
      <c r="G302" s="82"/>
    </row>
    <row r="303" ht="15.75" customHeight="1">
      <c r="A303" s="82"/>
      <c r="B303" s="82"/>
      <c r="C303" s="82"/>
      <c r="D303" s="82"/>
      <c r="F303" s="82"/>
      <c r="G303" s="82"/>
    </row>
    <row r="304" ht="15.75" customHeight="1">
      <c r="A304" s="82"/>
      <c r="B304" s="82"/>
      <c r="C304" s="82"/>
      <c r="D304" s="82"/>
      <c r="F304" s="82"/>
      <c r="G304" s="82"/>
    </row>
    <row r="305" ht="15.75" customHeight="1">
      <c r="A305" s="82"/>
      <c r="B305" s="82"/>
      <c r="C305" s="82"/>
      <c r="D305" s="82"/>
      <c r="F305" s="82"/>
      <c r="G305" s="82"/>
    </row>
    <row r="306" ht="15.75" customHeight="1">
      <c r="A306" s="82"/>
      <c r="B306" s="82"/>
      <c r="C306" s="82"/>
      <c r="D306" s="82"/>
      <c r="F306" s="82"/>
      <c r="G306" s="82"/>
    </row>
    <row r="307" ht="15.75" customHeight="1">
      <c r="A307" s="82"/>
      <c r="B307" s="82"/>
      <c r="C307" s="82"/>
      <c r="D307" s="82"/>
      <c r="F307" s="82"/>
      <c r="G307" s="82"/>
    </row>
    <row r="308" ht="15.75" customHeight="1">
      <c r="A308" s="82"/>
      <c r="B308" s="82"/>
      <c r="C308" s="82"/>
      <c r="D308" s="82"/>
      <c r="F308" s="82"/>
      <c r="G308" s="82"/>
    </row>
    <row r="309" ht="15.75" customHeight="1">
      <c r="A309" s="82"/>
      <c r="B309" s="82"/>
      <c r="C309" s="82"/>
      <c r="D309" s="82"/>
      <c r="F309" s="82"/>
      <c r="G309" s="82"/>
    </row>
    <row r="310" ht="15.75" customHeight="1">
      <c r="A310" s="82"/>
      <c r="B310" s="82"/>
      <c r="C310" s="82"/>
      <c r="D310" s="82"/>
      <c r="F310" s="82"/>
      <c r="G310" s="82"/>
    </row>
    <row r="311" ht="15.75" customHeight="1">
      <c r="A311" s="82"/>
      <c r="B311" s="82"/>
      <c r="C311" s="82"/>
      <c r="D311" s="82"/>
      <c r="F311" s="82"/>
      <c r="G311" s="82"/>
    </row>
    <row r="312" ht="15.75" customHeight="1">
      <c r="A312" s="82"/>
      <c r="B312" s="82"/>
      <c r="C312" s="82"/>
      <c r="D312" s="82"/>
      <c r="F312" s="82"/>
      <c r="G312" s="82"/>
    </row>
    <row r="313" ht="15.75" customHeight="1">
      <c r="A313" s="82"/>
      <c r="B313" s="82"/>
      <c r="C313" s="82"/>
      <c r="D313" s="82"/>
      <c r="F313" s="82"/>
      <c r="G313" s="82"/>
    </row>
    <row r="314" ht="15.75" customHeight="1">
      <c r="A314" s="82"/>
      <c r="B314" s="82"/>
      <c r="C314" s="82"/>
      <c r="D314" s="82"/>
      <c r="F314" s="82"/>
      <c r="G314" s="82"/>
    </row>
    <row r="315" ht="15.75" customHeight="1">
      <c r="A315" s="82"/>
      <c r="B315" s="82"/>
      <c r="C315" s="82"/>
      <c r="D315" s="82"/>
      <c r="F315" s="82"/>
      <c r="G315" s="82"/>
    </row>
    <row r="316" ht="15.75" customHeight="1">
      <c r="A316" s="82"/>
      <c r="B316" s="82"/>
      <c r="C316" s="82"/>
      <c r="D316" s="82"/>
      <c r="F316" s="82"/>
      <c r="G316" s="82"/>
    </row>
    <row r="317" ht="15.75" customHeight="1">
      <c r="A317" s="82"/>
      <c r="B317" s="82"/>
      <c r="C317" s="82"/>
      <c r="D317" s="82"/>
      <c r="F317" s="82"/>
      <c r="G317" s="82"/>
    </row>
    <row r="318" ht="15.75" customHeight="1">
      <c r="A318" s="82"/>
      <c r="B318" s="82"/>
      <c r="C318" s="82"/>
      <c r="D318" s="82"/>
      <c r="F318" s="82"/>
      <c r="G318" s="82"/>
    </row>
    <row r="319" ht="15.75" customHeight="1">
      <c r="A319" s="82"/>
      <c r="B319" s="82"/>
      <c r="C319" s="82"/>
      <c r="D319" s="82"/>
      <c r="F319" s="82"/>
      <c r="G319" s="82"/>
    </row>
    <row r="320" ht="15.75" customHeight="1">
      <c r="A320" s="82"/>
      <c r="B320" s="82"/>
      <c r="C320" s="82"/>
      <c r="D320" s="82"/>
      <c r="F320" s="82"/>
      <c r="G320" s="82"/>
    </row>
    <row r="321" ht="15.75" customHeight="1">
      <c r="A321" s="82"/>
      <c r="B321" s="82"/>
      <c r="C321" s="82"/>
      <c r="D321" s="82"/>
      <c r="F321" s="82"/>
      <c r="G321" s="82"/>
    </row>
    <row r="322" ht="15.75" customHeight="1">
      <c r="A322" s="82"/>
      <c r="B322" s="82"/>
      <c r="C322" s="82"/>
      <c r="D322" s="82"/>
      <c r="F322" s="82"/>
      <c r="G322" s="82"/>
    </row>
    <row r="323" ht="15.75" customHeight="1">
      <c r="A323" s="82"/>
      <c r="B323" s="82"/>
      <c r="C323" s="82"/>
      <c r="D323" s="82"/>
      <c r="F323" s="82"/>
      <c r="G323" s="82"/>
    </row>
    <row r="324" ht="15.75" customHeight="1">
      <c r="A324" s="82"/>
      <c r="B324" s="82"/>
      <c r="C324" s="82"/>
      <c r="D324" s="82"/>
      <c r="F324" s="82"/>
      <c r="G324" s="82"/>
    </row>
    <row r="325" ht="15.75" customHeight="1">
      <c r="A325" s="82"/>
      <c r="B325" s="82"/>
      <c r="C325" s="82"/>
      <c r="D325" s="82"/>
      <c r="F325" s="82"/>
      <c r="G325" s="82"/>
    </row>
    <row r="326" ht="15.75" customHeight="1">
      <c r="A326" s="82"/>
      <c r="B326" s="82"/>
      <c r="C326" s="82"/>
      <c r="D326" s="82"/>
      <c r="F326" s="82"/>
      <c r="G326" s="82"/>
    </row>
    <row r="327" ht="15.75" customHeight="1">
      <c r="A327" s="82"/>
      <c r="B327" s="82"/>
      <c r="C327" s="82"/>
      <c r="D327" s="82"/>
      <c r="F327" s="82"/>
      <c r="G327" s="82"/>
    </row>
    <row r="328" ht="15.75" customHeight="1">
      <c r="A328" s="82"/>
      <c r="B328" s="82"/>
      <c r="C328" s="82"/>
      <c r="D328" s="82"/>
      <c r="F328" s="82"/>
      <c r="G328" s="82"/>
    </row>
    <row r="329" ht="15.75" customHeight="1">
      <c r="A329" s="82"/>
      <c r="B329" s="82"/>
      <c r="C329" s="82"/>
      <c r="D329" s="82"/>
      <c r="F329" s="82"/>
      <c r="G329" s="82"/>
    </row>
    <row r="330" ht="15.75" customHeight="1">
      <c r="A330" s="82"/>
      <c r="B330" s="82"/>
      <c r="C330" s="82"/>
      <c r="D330" s="82"/>
      <c r="F330" s="82"/>
      <c r="G330" s="82"/>
    </row>
    <row r="331" ht="15.75" customHeight="1">
      <c r="A331" s="82"/>
      <c r="B331" s="82"/>
      <c r="C331" s="82"/>
      <c r="D331" s="82"/>
      <c r="F331" s="82"/>
      <c r="G331" s="82"/>
    </row>
    <row r="332" ht="15.75" customHeight="1">
      <c r="A332" s="82"/>
      <c r="B332" s="82"/>
      <c r="C332" s="82"/>
      <c r="D332" s="82"/>
      <c r="F332" s="82"/>
      <c r="G332" s="82"/>
    </row>
    <row r="333" ht="15.75" customHeight="1">
      <c r="A333" s="82"/>
      <c r="B333" s="82"/>
      <c r="C333" s="82"/>
      <c r="D333" s="82"/>
      <c r="F333" s="82"/>
      <c r="G333" s="82"/>
    </row>
    <row r="334" ht="15.75" customHeight="1">
      <c r="A334" s="82"/>
      <c r="B334" s="82"/>
      <c r="C334" s="82"/>
      <c r="D334" s="82"/>
      <c r="F334" s="82"/>
      <c r="G334" s="82"/>
    </row>
    <row r="335" ht="15.75" customHeight="1">
      <c r="A335" s="82"/>
      <c r="B335" s="82"/>
      <c r="C335" s="82"/>
      <c r="D335" s="82"/>
      <c r="F335" s="82"/>
      <c r="G335" s="82"/>
    </row>
    <row r="336" ht="15.75" customHeight="1">
      <c r="A336" s="82"/>
      <c r="B336" s="82"/>
      <c r="C336" s="82"/>
      <c r="D336" s="82"/>
      <c r="F336" s="82"/>
      <c r="G336" s="82"/>
    </row>
    <row r="337" ht="15.75" customHeight="1">
      <c r="A337" s="82"/>
      <c r="B337" s="82"/>
      <c r="C337" s="82"/>
      <c r="D337" s="82"/>
      <c r="F337" s="82"/>
      <c r="G337" s="82"/>
    </row>
    <row r="338" ht="15.75" customHeight="1">
      <c r="A338" s="82"/>
      <c r="B338" s="82"/>
      <c r="C338" s="82"/>
      <c r="D338" s="82"/>
      <c r="F338" s="82"/>
      <c r="G338" s="82"/>
    </row>
    <row r="339" ht="15.75" customHeight="1">
      <c r="A339" s="82"/>
      <c r="B339" s="82"/>
      <c r="C339" s="82"/>
      <c r="D339" s="82"/>
      <c r="F339" s="82"/>
      <c r="G339" s="82"/>
    </row>
    <row r="340" ht="15.75" customHeight="1">
      <c r="A340" s="82"/>
      <c r="B340" s="82"/>
      <c r="C340" s="82"/>
      <c r="D340" s="82"/>
      <c r="F340" s="82"/>
      <c r="G340" s="82"/>
    </row>
    <row r="341" ht="15.75" customHeight="1">
      <c r="A341" s="82"/>
      <c r="B341" s="82"/>
      <c r="C341" s="82"/>
      <c r="D341" s="82"/>
      <c r="F341" s="82"/>
      <c r="G341" s="82"/>
    </row>
    <row r="342" ht="15.75" customHeight="1">
      <c r="A342" s="82"/>
      <c r="B342" s="82"/>
      <c r="C342" s="82"/>
      <c r="D342" s="82"/>
      <c r="F342" s="82"/>
      <c r="G342" s="82"/>
    </row>
    <row r="343" ht="15.75" customHeight="1">
      <c r="A343" s="82"/>
      <c r="B343" s="82"/>
      <c r="C343" s="82"/>
      <c r="D343" s="82"/>
      <c r="F343" s="82"/>
      <c r="G343" s="82"/>
    </row>
    <row r="344" ht="15.75" customHeight="1">
      <c r="A344" s="82"/>
      <c r="B344" s="82"/>
      <c r="C344" s="82"/>
      <c r="D344" s="82"/>
      <c r="F344" s="82"/>
      <c r="G344" s="82"/>
    </row>
    <row r="345" ht="15.75" customHeight="1">
      <c r="A345" s="82"/>
      <c r="B345" s="82"/>
      <c r="C345" s="82"/>
      <c r="D345" s="82"/>
      <c r="F345" s="82"/>
      <c r="G345" s="82"/>
    </row>
    <row r="346" ht="15.75" customHeight="1">
      <c r="A346" s="82"/>
      <c r="B346" s="82"/>
      <c r="C346" s="82"/>
      <c r="D346" s="82"/>
      <c r="F346" s="82"/>
      <c r="G346" s="82"/>
    </row>
    <row r="347" ht="15.75" customHeight="1">
      <c r="A347" s="82"/>
      <c r="B347" s="82"/>
      <c r="C347" s="82"/>
      <c r="D347" s="82"/>
      <c r="F347" s="82"/>
      <c r="G347" s="82"/>
    </row>
    <row r="348" ht="15.75" customHeight="1">
      <c r="A348" s="82"/>
      <c r="B348" s="82"/>
      <c r="C348" s="82"/>
      <c r="D348" s="82"/>
      <c r="F348" s="82"/>
      <c r="G348" s="82"/>
    </row>
    <row r="349" ht="15.75" customHeight="1">
      <c r="A349" s="82"/>
      <c r="B349" s="82"/>
      <c r="C349" s="82"/>
      <c r="D349" s="82"/>
      <c r="F349" s="82"/>
      <c r="G349" s="82"/>
    </row>
    <row r="350" ht="15.75" customHeight="1">
      <c r="A350" s="82"/>
      <c r="B350" s="82"/>
      <c r="C350" s="82"/>
      <c r="D350" s="82"/>
      <c r="F350" s="82"/>
      <c r="G350" s="82"/>
    </row>
    <row r="351" ht="15.75" customHeight="1">
      <c r="A351" s="82"/>
      <c r="B351" s="82"/>
      <c r="C351" s="82"/>
      <c r="D351" s="82"/>
      <c r="F351" s="82"/>
      <c r="G351" s="82"/>
    </row>
    <row r="352" ht="15.75" customHeight="1">
      <c r="A352" s="82"/>
      <c r="B352" s="82"/>
      <c r="C352" s="82"/>
      <c r="D352" s="82"/>
      <c r="F352" s="82"/>
      <c r="G352" s="82"/>
    </row>
    <row r="353" ht="15.75" customHeight="1">
      <c r="A353" s="82"/>
      <c r="B353" s="82"/>
      <c r="C353" s="82"/>
      <c r="D353" s="82"/>
      <c r="F353" s="82"/>
      <c r="G353" s="82"/>
    </row>
    <row r="354" ht="15.75" customHeight="1">
      <c r="A354" s="82"/>
      <c r="B354" s="82"/>
      <c r="C354" s="82"/>
      <c r="D354" s="82"/>
      <c r="F354" s="82"/>
      <c r="G354" s="82"/>
    </row>
    <row r="355" ht="15.75" customHeight="1">
      <c r="A355" s="82"/>
      <c r="B355" s="82"/>
      <c r="C355" s="82"/>
      <c r="D355" s="82"/>
      <c r="F355" s="82"/>
      <c r="G355" s="82"/>
    </row>
    <row r="356" ht="15.75" customHeight="1">
      <c r="A356" s="82"/>
      <c r="B356" s="82"/>
      <c r="C356" s="82"/>
      <c r="D356" s="82"/>
      <c r="F356" s="82"/>
      <c r="G356" s="82"/>
    </row>
    <row r="357" ht="15.75" customHeight="1">
      <c r="A357" s="82"/>
      <c r="B357" s="82"/>
      <c r="C357" s="82"/>
      <c r="D357" s="82"/>
      <c r="F357" s="82"/>
      <c r="G357" s="82"/>
    </row>
    <row r="358" ht="15.75" customHeight="1">
      <c r="A358" s="82"/>
      <c r="B358" s="82"/>
      <c r="C358" s="82"/>
      <c r="D358" s="82"/>
      <c r="F358" s="82"/>
      <c r="G358" s="82"/>
    </row>
    <row r="359" ht="15.75" customHeight="1">
      <c r="A359" s="82"/>
      <c r="B359" s="82"/>
      <c r="C359" s="82"/>
      <c r="D359" s="82"/>
      <c r="F359" s="82"/>
      <c r="G359" s="82"/>
    </row>
    <row r="360" ht="15.75" customHeight="1">
      <c r="A360" s="82"/>
      <c r="B360" s="82"/>
      <c r="C360" s="82"/>
      <c r="D360" s="82"/>
      <c r="F360" s="82"/>
      <c r="G360" s="82"/>
    </row>
    <row r="361" ht="15.75" customHeight="1">
      <c r="A361" s="82"/>
      <c r="B361" s="82"/>
      <c r="C361" s="82"/>
      <c r="D361" s="82"/>
      <c r="F361" s="82"/>
      <c r="G361" s="82"/>
    </row>
    <row r="362" ht="15.75" customHeight="1">
      <c r="A362" s="82"/>
      <c r="B362" s="82"/>
      <c r="C362" s="82"/>
      <c r="D362" s="82"/>
      <c r="F362" s="82"/>
      <c r="G362" s="82"/>
    </row>
    <row r="363" ht="15.75" customHeight="1">
      <c r="A363" s="82"/>
      <c r="B363" s="82"/>
      <c r="C363" s="82"/>
      <c r="D363" s="82"/>
      <c r="F363" s="82"/>
      <c r="G363" s="82"/>
    </row>
    <row r="364" ht="15.75" customHeight="1">
      <c r="A364" s="82"/>
      <c r="B364" s="82"/>
      <c r="C364" s="82"/>
      <c r="D364" s="82"/>
      <c r="F364" s="82"/>
      <c r="G364" s="82"/>
    </row>
    <row r="365" ht="15.75" customHeight="1">
      <c r="A365" s="82"/>
      <c r="B365" s="82"/>
      <c r="C365" s="82"/>
      <c r="D365" s="82"/>
      <c r="F365" s="82"/>
      <c r="G365" s="82"/>
    </row>
    <row r="366" ht="15.75" customHeight="1">
      <c r="A366" s="82"/>
      <c r="B366" s="82"/>
      <c r="C366" s="82"/>
      <c r="D366" s="82"/>
      <c r="F366" s="82"/>
      <c r="G366" s="82"/>
    </row>
    <row r="367" ht="15.75" customHeight="1">
      <c r="A367" s="82"/>
      <c r="B367" s="82"/>
      <c r="C367" s="82"/>
      <c r="D367" s="82"/>
      <c r="F367" s="82"/>
      <c r="G367" s="82"/>
    </row>
    <row r="368" ht="15.75" customHeight="1">
      <c r="A368" s="82"/>
      <c r="B368" s="82"/>
      <c r="C368" s="82"/>
      <c r="D368" s="82"/>
      <c r="F368" s="82"/>
      <c r="G368" s="82"/>
    </row>
    <row r="369" ht="15.75" customHeight="1">
      <c r="A369" s="82"/>
      <c r="B369" s="82"/>
      <c r="C369" s="82"/>
      <c r="D369" s="82"/>
      <c r="F369" s="82"/>
      <c r="G369" s="82"/>
    </row>
    <row r="370" ht="15.75" customHeight="1">
      <c r="A370" s="82"/>
      <c r="B370" s="82"/>
      <c r="C370" s="82"/>
      <c r="D370" s="82"/>
      <c r="F370" s="82"/>
      <c r="G370" s="82"/>
    </row>
    <row r="371" ht="15.75" customHeight="1">
      <c r="A371" s="82"/>
      <c r="B371" s="82"/>
      <c r="C371" s="82"/>
      <c r="D371" s="82"/>
      <c r="F371" s="82"/>
      <c r="G371" s="82"/>
    </row>
    <row r="372" ht="15.75" customHeight="1">
      <c r="A372" s="82"/>
      <c r="B372" s="82"/>
      <c r="C372" s="82"/>
      <c r="D372" s="82"/>
      <c r="F372" s="82"/>
      <c r="G372" s="82"/>
    </row>
    <row r="373" ht="15.75" customHeight="1">
      <c r="A373" s="82"/>
      <c r="B373" s="82"/>
      <c r="C373" s="82"/>
      <c r="D373" s="82"/>
      <c r="F373" s="82"/>
      <c r="G373" s="82"/>
    </row>
    <row r="374" ht="15.75" customHeight="1">
      <c r="A374" s="82"/>
      <c r="B374" s="82"/>
      <c r="C374" s="82"/>
      <c r="D374" s="82"/>
      <c r="F374" s="82"/>
      <c r="G374" s="82"/>
    </row>
    <row r="375" ht="15.75" customHeight="1">
      <c r="A375" s="82"/>
      <c r="B375" s="82"/>
      <c r="C375" s="82"/>
      <c r="D375" s="82"/>
      <c r="F375" s="82"/>
      <c r="G375" s="82"/>
    </row>
    <row r="376" ht="15.75" customHeight="1">
      <c r="A376" s="82"/>
      <c r="B376" s="82"/>
      <c r="C376" s="82"/>
      <c r="D376" s="82"/>
      <c r="F376" s="82"/>
      <c r="G376" s="82"/>
    </row>
    <row r="377" ht="15.75" customHeight="1">
      <c r="A377" s="82"/>
      <c r="B377" s="82"/>
      <c r="C377" s="82"/>
      <c r="D377" s="82"/>
      <c r="F377" s="82"/>
      <c r="G377" s="82"/>
    </row>
    <row r="378" ht="15.75" customHeight="1">
      <c r="A378" s="82"/>
      <c r="B378" s="82"/>
      <c r="C378" s="82"/>
      <c r="D378" s="82"/>
      <c r="F378" s="82"/>
      <c r="G378" s="82"/>
    </row>
    <row r="379" ht="15.75" customHeight="1">
      <c r="A379" s="82"/>
      <c r="B379" s="82"/>
      <c r="C379" s="82"/>
      <c r="D379" s="82"/>
      <c r="F379" s="82"/>
      <c r="G379" s="82"/>
    </row>
    <row r="380" ht="15.75" customHeight="1">
      <c r="A380" s="82"/>
      <c r="B380" s="82"/>
      <c r="C380" s="82"/>
      <c r="D380" s="82"/>
      <c r="F380" s="82"/>
      <c r="G380" s="82"/>
    </row>
    <row r="381" ht="15.75" customHeight="1">
      <c r="A381" s="82"/>
      <c r="B381" s="82"/>
      <c r="C381" s="82"/>
      <c r="D381" s="82"/>
      <c r="F381" s="82"/>
      <c r="G381" s="82"/>
    </row>
    <row r="382" ht="15.75" customHeight="1">
      <c r="A382" s="82"/>
      <c r="B382" s="82"/>
      <c r="C382" s="82"/>
      <c r="D382" s="82"/>
      <c r="F382" s="82"/>
      <c r="G382" s="82"/>
    </row>
    <row r="383" ht="15.75" customHeight="1">
      <c r="A383" s="82"/>
      <c r="B383" s="82"/>
      <c r="C383" s="82"/>
      <c r="D383" s="82"/>
      <c r="F383" s="82"/>
      <c r="G383" s="82"/>
    </row>
    <row r="384" ht="15.75" customHeight="1">
      <c r="A384" s="82"/>
      <c r="B384" s="82"/>
      <c r="C384" s="82"/>
      <c r="D384" s="82"/>
      <c r="F384" s="82"/>
      <c r="G384" s="82"/>
    </row>
    <row r="385" ht="15.75" customHeight="1">
      <c r="A385" s="82"/>
      <c r="B385" s="82"/>
      <c r="C385" s="82"/>
      <c r="D385" s="82"/>
      <c r="F385" s="82"/>
      <c r="G385" s="82"/>
    </row>
    <row r="386" ht="15.75" customHeight="1">
      <c r="A386" s="82"/>
      <c r="B386" s="82"/>
      <c r="C386" s="82"/>
      <c r="D386" s="82"/>
      <c r="F386" s="82"/>
      <c r="G386" s="82"/>
    </row>
    <row r="387" ht="15.75" customHeight="1">
      <c r="A387" s="82"/>
      <c r="B387" s="82"/>
      <c r="C387" s="82"/>
      <c r="D387" s="82"/>
      <c r="F387" s="82"/>
      <c r="G387" s="82"/>
    </row>
    <row r="388" ht="15.75" customHeight="1">
      <c r="A388" s="82"/>
      <c r="B388" s="82"/>
      <c r="C388" s="82"/>
      <c r="D388" s="82"/>
      <c r="F388" s="82"/>
      <c r="G388" s="82"/>
    </row>
    <row r="389" ht="15.75" customHeight="1">
      <c r="A389" s="82"/>
      <c r="B389" s="82"/>
      <c r="C389" s="82"/>
      <c r="D389" s="82"/>
      <c r="F389" s="82"/>
      <c r="G389" s="82"/>
    </row>
    <row r="390" ht="15.75" customHeight="1">
      <c r="A390" s="82"/>
      <c r="B390" s="82"/>
      <c r="C390" s="82"/>
      <c r="D390" s="82"/>
      <c r="F390" s="82"/>
      <c r="G390" s="82"/>
    </row>
    <row r="391" ht="15.75" customHeight="1">
      <c r="A391" s="82"/>
      <c r="B391" s="82"/>
      <c r="C391" s="82"/>
      <c r="D391" s="82"/>
      <c r="F391" s="82"/>
      <c r="G391" s="82"/>
    </row>
    <row r="392" ht="15.75" customHeight="1">
      <c r="A392" s="82"/>
      <c r="B392" s="82"/>
      <c r="C392" s="82"/>
      <c r="D392" s="82"/>
      <c r="F392" s="82"/>
      <c r="G392" s="82"/>
    </row>
    <row r="393" ht="15.75" customHeight="1">
      <c r="A393" s="82"/>
      <c r="B393" s="82"/>
      <c r="C393" s="82"/>
      <c r="D393" s="82"/>
      <c r="F393" s="82"/>
      <c r="G393" s="82"/>
    </row>
    <row r="394" ht="15.75" customHeight="1">
      <c r="A394" s="82"/>
      <c r="B394" s="82"/>
      <c r="C394" s="82"/>
      <c r="D394" s="82"/>
      <c r="F394" s="82"/>
      <c r="G394" s="82"/>
    </row>
    <row r="395" ht="15.75" customHeight="1">
      <c r="A395" s="82"/>
      <c r="B395" s="82"/>
      <c r="C395" s="82"/>
      <c r="D395" s="82"/>
      <c r="F395" s="82"/>
      <c r="G395" s="82"/>
    </row>
    <row r="396" ht="15.75" customHeight="1">
      <c r="A396" s="82"/>
      <c r="B396" s="82"/>
      <c r="C396" s="82"/>
      <c r="D396" s="82"/>
      <c r="F396" s="82"/>
      <c r="G396" s="82"/>
    </row>
    <row r="397" ht="15.75" customHeight="1">
      <c r="A397" s="82"/>
      <c r="B397" s="82"/>
      <c r="C397" s="82"/>
      <c r="D397" s="82"/>
      <c r="F397" s="82"/>
      <c r="G397" s="82"/>
    </row>
    <row r="398" ht="15.75" customHeight="1">
      <c r="A398" s="82"/>
      <c r="B398" s="82"/>
      <c r="C398" s="82"/>
      <c r="D398" s="82"/>
      <c r="F398" s="82"/>
      <c r="G398" s="82"/>
    </row>
    <row r="399" ht="15.75" customHeight="1">
      <c r="A399" s="82"/>
      <c r="B399" s="82"/>
      <c r="C399" s="82"/>
      <c r="D399" s="82"/>
      <c r="F399" s="82"/>
      <c r="G399" s="82"/>
    </row>
    <row r="400" ht="15.75" customHeight="1">
      <c r="A400" s="82"/>
      <c r="B400" s="82"/>
      <c r="C400" s="82"/>
      <c r="D400" s="82"/>
      <c r="F400" s="82"/>
      <c r="G400" s="82"/>
    </row>
    <row r="401" ht="15.75" customHeight="1">
      <c r="A401" s="82"/>
      <c r="B401" s="82"/>
      <c r="C401" s="82"/>
      <c r="D401" s="82"/>
      <c r="F401" s="82"/>
      <c r="G401" s="82"/>
    </row>
    <row r="402" ht="15.75" customHeight="1">
      <c r="A402" s="82"/>
      <c r="B402" s="82"/>
      <c r="C402" s="82"/>
      <c r="D402" s="82"/>
      <c r="F402" s="82"/>
      <c r="G402" s="82"/>
    </row>
    <row r="403" ht="15.75" customHeight="1">
      <c r="A403" s="82"/>
      <c r="B403" s="82"/>
      <c r="C403" s="82"/>
      <c r="D403" s="82"/>
      <c r="F403" s="82"/>
      <c r="G403" s="82"/>
    </row>
    <row r="404" ht="15.75" customHeight="1">
      <c r="A404" s="82"/>
      <c r="B404" s="82"/>
      <c r="C404" s="82"/>
      <c r="D404" s="82"/>
      <c r="F404" s="82"/>
      <c r="G404" s="82"/>
    </row>
    <row r="405" ht="15.75" customHeight="1">
      <c r="A405" s="82"/>
      <c r="B405" s="82"/>
      <c r="C405" s="82"/>
      <c r="D405" s="82"/>
      <c r="F405" s="82"/>
      <c r="G405" s="82"/>
    </row>
    <row r="406" ht="15.75" customHeight="1">
      <c r="A406" s="82"/>
      <c r="B406" s="82"/>
      <c r="C406" s="82"/>
      <c r="D406" s="82"/>
      <c r="F406" s="82"/>
      <c r="G406" s="82"/>
    </row>
    <row r="407" ht="15.75" customHeight="1">
      <c r="A407" s="82"/>
      <c r="B407" s="82"/>
      <c r="C407" s="82"/>
      <c r="D407" s="82"/>
      <c r="F407" s="82"/>
      <c r="G407" s="82"/>
    </row>
    <row r="408" ht="15.75" customHeight="1">
      <c r="A408" s="82"/>
      <c r="B408" s="82"/>
      <c r="C408" s="82"/>
      <c r="D408" s="82"/>
      <c r="F408" s="82"/>
      <c r="G408" s="82"/>
    </row>
    <row r="409" ht="15.75" customHeight="1">
      <c r="A409" s="82"/>
      <c r="B409" s="82"/>
      <c r="C409" s="82"/>
      <c r="D409" s="82"/>
      <c r="F409" s="82"/>
      <c r="G409" s="82"/>
    </row>
    <row r="410" ht="15.75" customHeight="1">
      <c r="A410" s="82"/>
      <c r="B410" s="82"/>
      <c r="C410" s="82"/>
      <c r="D410" s="82"/>
      <c r="F410" s="82"/>
      <c r="G410" s="82"/>
    </row>
    <row r="411" ht="15.75" customHeight="1">
      <c r="A411" s="82"/>
      <c r="B411" s="82"/>
      <c r="C411" s="82"/>
      <c r="D411" s="82"/>
      <c r="F411" s="82"/>
      <c r="G411" s="82"/>
    </row>
    <row r="412" ht="15.75" customHeight="1">
      <c r="A412" s="82"/>
      <c r="B412" s="82"/>
      <c r="C412" s="82"/>
      <c r="D412" s="82"/>
      <c r="F412" s="82"/>
      <c r="G412" s="82"/>
    </row>
    <row r="413" ht="15.75" customHeight="1">
      <c r="A413" s="82"/>
      <c r="B413" s="82"/>
      <c r="C413" s="82"/>
      <c r="D413" s="82"/>
      <c r="F413" s="82"/>
      <c r="G413" s="82"/>
    </row>
    <row r="414" ht="15.75" customHeight="1">
      <c r="A414" s="82"/>
      <c r="B414" s="82"/>
      <c r="C414" s="82"/>
      <c r="D414" s="82"/>
      <c r="F414" s="82"/>
      <c r="G414" s="82"/>
    </row>
    <row r="415" ht="15.75" customHeight="1">
      <c r="A415" s="82"/>
      <c r="B415" s="82"/>
      <c r="C415" s="82"/>
      <c r="D415" s="82"/>
      <c r="F415" s="82"/>
      <c r="G415" s="82"/>
    </row>
    <row r="416" ht="15.75" customHeight="1">
      <c r="A416" s="82"/>
      <c r="B416" s="82"/>
      <c r="C416" s="82"/>
      <c r="D416" s="82"/>
      <c r="F416" s="82"/>
      <c r="G416" s="82"/>
    </row>
    <row r="417" ht="15.75" customHeight="1">
      <c r="A417" s="82"/>
      <c r="B417" s="82"/>
      <c r="C417" s="82"/>
      <c r="D417" s="82"/>
      <c r="F417" s="82"/>
      <c r="G417" s="82"/>
    </row>
    <row r="418" ht="15.75" customHeight="1">
      <c r="A418" s="82"/>
      <c r="B418" s="82"/>
      <c r="C418" s="82"/>
      <c r="D418" s="82"/>
      <c r="F418" s="82"/>
      <c r="G418" s="82"/>
    </row>
    <row r="419" ht="15.75" customHeight="1">
      <c r="A419" s="82"/>
      <c r="B419" s="82"/>
      <c r="C419" s="82"/>
      <c r="D419" s="82"/>
      <c r="F419" s="82"/>
      <c r="G419" s="82"/>
    </row>
    <row r="420" ht="15.75" customHeight="1">
      <c r="A420" s="82"/>
      <c r="B420" s="82"/>
      <c r="C420" s="82"/>
      <c r="D420" s="82"/>
      <c r="F420" s="82"/>
      <c r="G420" s="82"/>
    </row>
    <row r="421" ht="15.75" customHeight="1">
      <c r="A421" s="82"/>
      <c r="B421" s="82"/>
      <c r="C421" s="82"/>
      <c r="D421" s="82"/>
      <c r="F421" s="82"/>
      <c r="G421" s="82"/>
    </row>
    <row r="422" ht="15.75" customHeight="1">
      <c r="A422" s="82"/>
      <c r="B422" s="82"/>
      <c r="C422" s="82"/>
      <c r="D422" s="82"/>
      <c r="F422" s="82"/>
      <c r="G422" s="82"/>
    </row>
    <row r="423" ht="15.75" customHeight="1">
      <c r="A423" s="82"/>
      <c r="B423" s="82"/>
      <c r="C423" s="82"/>
      <c r="D423" s="82"/>
      <c r="F423" s="82"/>
      <c r="G423" s="82"/>
    </row>
    <row r="424" ht="15.75" customHeight="1">
      <c r="A424" s="82"/>
      <c r="B424" s="82"/>
      <c r="C424" s="82"/>
      <c r="D424" s="82"/>
      <c r="F424" s="82"/>
      <c r="G424" s="82"/>
    </row>
    <row r="425" ht="15.75" customHeight="1">
      <c r="A425" s="82"/>
      <c r="B425" s="82"/>
      <c r="C425" s="82"/>
      <c r="D425" s="82"/>
      <c r="F425" s="82"/>
      <c r="G425" s="82"/>
    </row>
    <row r="426" ht="15.75" customHeight="1">
      <c r="A426" s="82"/>
      <c r="B426" s="82"/>
      <c r="C426" s="82"/>
      <c r="D426" s="82"/>
      <c r="F426" s="82"/>
      <c r="G426" s="82"/>
    </row>
    <row r="427" ht="15.75" customHeight="1">
      <c r="A427" s="82"/>
      <c r="B427" s="82"/>
      <c r="C427" s="82"/>
      <c r="D427" s="82"/>
      <c r="F427" s="82"/>
      <c r="G427" s="82"/>
    </row>
    <row r="428" ht="15.75" customHeight="1">
      <c r="A428" s="82"/>
      <c r="B428" s="82"/>
      <c r="C428" s="82"/>
      <c r="D428" s="82"/>
      <c r="F428" s="82"/>
      <c r="G428" s="82"/>
    </row>
    <row r="429" ht="15.75" customHeight="1">
      <c r="A429" s="82"/>
      <c r="B429" s="82"/>
      <c r="C429" s="82"/>
      <c r="D429" s="82"/>
      <c r="F429" s="82"/>
      <c r="G429" s="82"/>
    </row>
    <row r="430" ht="15.75" customHeight="1">
      <c r="A430" s="82"/>
      <c r="B430" s="82"/>
      <c r="C430" s="82"/>
      <c r="D430" s="82"/>
      <c r="F430" s="82"/>
      <c r="G430" s="82"/>
    </row>
    <row r="431" ht="15.75" customHeight="1">
      <c r="A431" s="82"/>
      <c r="B431" s="82"/>
      <c r="C431" s="82"/>
      <c r="D431" s="82"/>
      <c r="F431" s="82"/>
      <c r="G431" s="82"/>
    </row>
    <row r="432" ht="15.75" customHeight="1">
      <c r="A432" s="82"/>
      <c r="B432" s="82"/>
      <c r="C432" s="82"/>
      <c r="D432" s="82"/>
      <c r="F432" s="82"/>
      <c r="G432" s="82"/>
    </row>
    <row r="433" ht="15.75" customHeight="1">
      <c r="A433" s="82"/>
      <c r="B433" s="82"/>
      <c r="C433" s="82"/>
      <c r="D433" s="82"/>
      <c r="F433" s="82"/>
      <c r="G433" s="82"/>
    </row>
    <row r="434" ht="15.75" customHeight="1">
      <c r="A434" s="82"/>
      <c r="B434" s="82"/>
      <c r="C434" s="82"/>
      <c r="D434" s="82"/>
      <c r="F434" s="82"/>
      <c r="G434" s="82"/>
    </row>
    <row r="435" ht="15.75" customHeight="1">
      <c r="A435" s="82"/>
      <c r="B435" s="82"/>
      <c r="C435" s="82"/>
      <c r="D435" s="82"/>
      <c r="F435" s="82"/>
      <c r="G435" s="82"/>
    </row>
    <row r="436" ht="15.75" customHeight="1">
      <c r="A436" s="82"/>
      <c r="B436" s="82"/>
      <c r="C436" s="82"/>
      <c r="D436" s="82"/>
      <c r="F436" s="82"/>
      <c r="G436" s="82"/>
    </row>
    <row r="437" ht="15.75" customHeight="1">
      <c r="A437" s="82"/>
      <c r="B437" s="82"/>
      <c r="C437" s="82"/>
      <c r="D437" s="82"/>
      <c r="F437" s="82"/>
      <c r="G437" s="82"/>
    </row>
    <row r="438" ht="15.75" customHeight="1">
      <c r="A438" s="82"/>
      <c r="B438" s="82"/>
      <c r="C438" s="82"/>
      <c r="D438" s="82"/>
      <c r="F438" s="82"/>
      <c r="G438" s="82"/>
    </row>
    <row r="439" ht="15.75" customHeight="1">
      <c r="A439" s="82"/>
      <c r="B439" s="82"/>
      <c r="C439" s="82"/>
      <c r="D439" s="82"/>
      <c r="F439" s="82"/>
      <c r="G439" s="82"/>
    </row>
    <row r="440" ht="15.75" customHeight="1">
      <c r="A440" s="82"/>
      <c r="B440" s="82"/>
      <c r="C440" s="82"/>
      <c r="D440" s="82"/>
      <c r="F440" s="82"/>
      <c r="G440" s="82"/>
    </row>
    <row r="441" ht="15.75" customHeight="1">
      <c r="A441" s="82"/>
      <c r="B441" s="82"/>
      <c r="C441" s="82"/>
      <c r="D441" s="82"/>
      <c r="F441" s="82"/>
      <c r="G441" s="82"/>
    </row>
    <row r="442" ht="15.75" customHeight="1">
      <c r="A442" s="82"/>
      <c r="B442" s="82"/>
      <c r="C442" s="82"/>
      <c r="D442" s="82"/>
      <c r="F442" s="82"/>
      <c r="G442" s="82"/>
    </row>
    <row r="443" ht="15.75" customHeight="1">
      <c r="A443" s="82"/>
      <c r="B443" s="82"/>
      <c r="C443" s="82"/>
      <c r="D443" s="82"/>
      <c r="F443" s="82"/>
      <c r="G443" s="82"/>
    </row>
    <row r="444" ht="15.75" customHeight="1">
      <c r="A444" s="82"/>
      <c r="B444" s="82"/>
      <c r="C444" s="82"/>
      <c r="D444" s="82"/>
      <c r="F444" s="82"/>
      <c r="G444" s="82"/>
    </row>
    <row r="445" ht="15.75" customHeight="1">
      <c r="A445" s="82"/>
      <c r="B445" s="82"/>
      <c r="C445" s="82"/>
      <c r="D445" s="82"/>
      <c r="F445" s="82"/>
      <c r="G445" s="82"/>
    </row>
    <row r="446" ht="15.75" customHeight="1">
      <c r="A446" s="82"/>
      <c r="B446" s="82"/>
      <c r="C446" s="82"/>
      <c r="D446" s="82"/>
      <c r="F446" s="82"/>
      <c r="G446" s="82"/>
    </row>
    <row r="447" ht="15.75" customHeight="1">
      <c r="A447" s="82"/>
      <c r="B447" s="82"/>
      <c r="C447" s="82"/>
      <c r="D447" s="82"/>
      <c r="F447" s="82"/>
      <c r="G447" s="82"/>
    </row>
    <row r="448" ht="15.75" customHeight="1">
      <c r="A448" s="82"/>
      <c r="B448" s="82"/>
      <c r="C448" s="82"/>
      <c r="D448" s="82"/>
      <c r="F448" s="82"/>
      <c r="G448" s="82"/>
    </row>
    <row r="449" ht="15.75" customHeight="1">
      <c r="A449" s="82"/>
      <c r="B449" s="82"/>
      <c r="C449" s="82"/>
      <c r="D449" s="82"/>
      <c r="F449" s="82"/>
      <c r="G449" s="82"/>
    </row>
    <row r="450" ht="15.75" customHeight="1">
      <c r="A450" s="82"/>
      <c r="B450" s="82"/>
      <c r="C450" s="82"/>
      <c r="D450" s="82"/>
      <c r="F450" s="82"/>
      <c r="G450" s="82"/>
    </row>
    <row r="451" ht="15.75" customHeight="1">
      <c r="A451" s="82"/>
      <c r="B451" s="82"/>
      <c r="C451" s="82"/>
      <c r="D451" s="82"/>
      <c r="F451" s="82"/>
      <c r="G451" s="82"/>
    </row>
    <row r="452" ht="15.75" customHeight="1">
      <c r="A452" s="82"/>
      <c r="B452" s="82"/>
      <c r="C452" s="82"/>
      <c r="D452" s="82"/>
      <c r="F452" s="82"/>
      <c r="G452" s="82"/>
    </row>
    <row r="453" ht="15.75" customHeight="1">
      <c r="A453" s="82"/>
      <c r="B453" s="82"/>
      <c r="C453" s="82"/>
      <c r="D453" s="82"/>
      <c r="F453" s="82"/>
      <c r="G453" s="82"/>
    </row>
    <row r="454" ht="15.75" customHeight="1">
      <c r="A454" s="82"/>
      <c r="B454" s="82"/>
      <c r="C454" s="82"/>
      <c r="D454" s="82"/>
      <c r="F454" s="82"/>
      <c r="G454" s="82"/>
    </row>
    <row r="455" ht="15.75" customHeight="1">
      <c r="A455" s="82"/>
      <c r="B455" s="82"/>
      <c r="C455" s="82"/>
      <c r="D455" s="82"/>
      <c r="F455" s="82"/>
      <c r="G455" s="82"/>
    </row>
    <row r="456" ht="15.75" customHeight="1">
      <c r="A456" s="82"/>
      <c r="B456" s="82"/>
      <c r="C456" s="82"/>
      <c r="D456" s="82"/>
      <c r="F456" s="82"/>
      <c r="G456" s="82"/>
    </row>
    <row r="457" ht="15.75" customHeight="1">
      <c r="A457" s="82"/>
      <c r="B457" s="82"/>
      <c r="C457" s="82"/>
      <c r="D457" s="82"/>
      <c r="F457" s="82"/>
      <c r="G457" s="82"/>
    </row>
    <row r="458" ht="15.75" customHeight="1">
      <c r="A458" s="82"/>
      <c r="B458" s="82"/>
      <c r="C458" s="82"/>
      <c r="D458" s="82"/>
      <c r="F458" s="82"/>
      <c r="G458" s="82"/>
    </row>
    <row r="459" ht="15.75" customHeight="1">
      <c r="A459" s="82"/>
      <c r="B459" s="82"/>
      <c r="C459" s="82"/>
      <c r="D459" s="82"/>
      <c r="F459" s="82"/>
      <c r="G459" s="82"/>
    </row>
    <row r="460" ht="15.75" customHeight="1">
      <c r="A460" s="82"/>
      <c r="B460" s="82"/>
      <c r="C460" s="82"/>
      <c r="D460" s="82"/>
      <c r="F460" s="82"/>
      <c r="G460" s="82"/>
    </row>
    <row r="461" ht="15.75" customHeight="1">
      <c r="A461" s="82"/>
      <c r="B461" s="82"/>
      <c r="C461" s="82"/>
      <c r="D461" s="82"/>
      <c r="F461" s="82"/>
      <c r="G461" s="82"/>
    </row>
    <row r="462" ht="15.75" customHeight="1">
      <c r="A462" s="82"/>
      <c r="B462" s="82"/>
      <c r="C462" s="82"/>
      <c r="D462" s="82"/>
      <c r="F462" s="82"/>
      <c r="G462" s="82"/>
    </row>
    <row r="463" ht="15.75" customHeight="1">
      <c r="A463" s="82"/>
      <c r="B463" s="82"/>
      <c r="C463" s="82"/>
      <c r="D463" s="82"/>
      <c r="F463" s="82"/>
      <c r="G463" s="82"/>
    </row>
    <row r="464" ht="15.75" customHeight="1">
      <c r="A464" s="82"/>
      <c r="B464" s="82"/>
      <c r="C464" s="82"/>
      <c r="D464" s="82"/>
      <c r="F464" s="82"/>
      <c r="G464" s="82"/>
    </row>
    <row r="465" ht="15.75" customHeight="1">
      <c r="A465" s="82"/>
      <c r="B465" s="82"/>
      <c r="C465" s="82"/>
      <c r="D465" s="82"/>
      <c r="F465" s="82"/>
      <c r="G465" s="82"/>
    </row>
    <row r="466" ht="15.75" customHeight="1">
      <c r="A466" s="82"/>
      <c r="B466" s="82"/>
      <c r="C466" s="82"/>
      <c r="D466" s="82"/>
      <c r="F466" s="82"/>
      <c r="G466" s="82"/>
    </row>
    <row r="467" ht="15.75" customHeight="1">
      <c r="A467" s="82"/>
      <c r="B467" s="82"/>
      <c r="C467" s="82"/>
      <c r="D467" s="82"/>
      <c r="F467" s="82"/>
      <c r="G467" s="82"/>
    </row>
    <row r="468" ht="15.75" customHeight="1">
      <c r="A468" s="82"/>
      <c r="B468" s="82"/>
      <c r="C468" s="82"/>
      <c r="D468" s="82"/>
      <c r="F468" s="82"/>
      <c r="G468" s="82"/>
    </row>
    <row r="469" ht="15.75" customHeight="1">
      <c r="A469" s="82"/>
      <c r="B469" s="82"/>
      <c r="C469" s="82"/>
      <c r="D469" s="82"/>
      <c r="F469" s="82"/>
      <c r="G469" s="82"/>
    </row>
    <row r="470" ht="15.75" customHeight="1">
      <c r="A470" s="82"/>
      <c r="B470" s="82"/>
      <c r="C470" s="82"/>
      <c r="D470" s="82"/>
      <c r="F470" s="82"/>
      <c r="G470" s="82"/>
    </row>
    <row r="471" ht="15.75" customHeight="1">
      <c r="A471" s="82"/>
      <c r="B471" s="82"/>
      <c r="C471" s="82"/>
      <c r="D471" s="82"/>
      <c r="F471" s="82"/>
      <c r="G471" s="82"/>
    </row>
    <row r="472" ht="15.75" customHeight="1">
      <c r="A472" s="82"/>
      <c r="B472" s="82"/>
      <c r="C472" s="82"/>
      <c r="D472" s="82"/>
      <c r="F472" s="82"/>
      <c r="G472" s="82"/>
    </row>
    <row r="473" ht="15.75" customHeight="1">
      <c r="A473" s="82"/>
      <c r="B473" s="82"/>
      <c r="C473" s="82"/>
      <c r="D473" s="82"/>
      <c r="F473" s="82"/>
      <c r="G473" s="82"/>
    </row>
    <row r="474" ht="15.75" customHeight="1">
      <c r="A474" s="82"/>
      <c r="B474" s="82"/>
      <c r="C474" s="82"/>
      <c r="D474" s="82"/>
      <c r="F474" s="82"/>
      <c r="G474" s="82"/>
    </row>
    <row r="475" ht="15.75" customHeight="1">
      <c r="A475" s="82"/>
      <c r="B475" s="82"/>
      <c r="C475" s="82"/>
      <c r="D475" s="82"/>
      <c r="F475" s="82"/>
      <c r="G475" s="82"/>
    </row>
    <row r="476" ht="15.75" customHeight="1">
      <c r="A476" s="82"/>
      <c r="B476" s="82"/>
      <c r="C476" s="82"/>
      <c r="D476" s="82"/>
      <c r="F476" s="82"/>
      <c r="G476" s="82"/>
    </row>
    <row r="477" ht="15.75" customHeight="1">
      <c r="A477" s="82"/>
      <c r="B477" s="82"/>
      <c r="C477" s="82"/>
      <c r="D477" s="82"/>
      <c r="F477" s="82"/>
      <c r="G477" s="82"/>
    </row>
    <row r="478" ht="15.75" customHeight="1">
      <c r="A478" s="82"/>
      <c r="B478" s="82"/>
      <c r="C478" s="82"/>
      <c r="D478" s="82"/>
      <c r="F478" s="82"/>
      <c r="G478" s="82"/>
    </row>
    <row r="479" ht="15.75" customHeight="1">
      <c r="A479" s="82"/>
      <c r="B479" s="82"/>
      <c r="C479" s="82"/>
      <c r="D479" s="82"/>
      <c r="F479" s="82"/>
      <c r="G479" s="82"/>
    </row>
    <row r="480" ht="15.75" customHeight="1">
      <c r="A480" s="82"/>
      <c r="B480" s="82"/>
      <c r="C480" s="82"/>
      <c r="D480" s="82"/>
      <c r="F480" s="82"/>
      <c r="G480" s="82"/>
    </row>
    <row r="481" ht="15.75" customHeight="1">
      <c r="A481" s="82"/>
      <c r="B481" s="82"/>
      <c r="C481" s="82"/>
      <c r="D481" s="82"/>
      <c r="F481" s="82"/>
      <c r="G481" s="82"/>
    </row>
    <row r="482" ht="15.75" customHeight="1">
      <c r="A482" s="82"/>
      <c r="B482" s="82"/>
      <c r="C482" s="82"/>
      <c r="D482" s="82"/>
      <c r="F482" s="82"/>
      <c r="G482" s="82"/>
    </row>
    <row r="483" ht="15.75" customHeight="1">
      <c r="A483" s="82"/>
      <c r="B483" s="82"/>
      <c r="C483" s="82"/>
      <c r="D483" s="82"/>
      <c r="F483" s="82"/>
      <c r="G483" s="82"/>
    </row>
    <row r="484" ht="15.75" customHeight="1">
      <c r="A484" s="82"/>
      <c r="B484" s="82"/>
      <c r="C484" s="82"/>
      <c r="D484" s="82"/>
      <c r="F484" s="82"/>
      <c r="G484" s="82"/>
    </row>
    <row r="485" ht="15.75" customHeight="1">
      <c r="A485" s="82"/>
      <c r="B485" s="82"/>
      <c r="C485" s="82"/>
      <c r="D485" s="82"/>
      <c r="F485" s="82"/>
      <c r="G485" s="82"/>
    </row>
    <row r="486" ht="15.75" customHeight="1">
      <c r="A486" s="82"/>
      <c r="B486" s="82"/>
      <c r="C486" s="82"/>
      <c r="D486" s="82"/>
      <c r="F486" s="82"/>
      <c r="G486" s="82"/>
    </row>
    <row r="487" ht="15.75" customHeight="1">
      <c r="A487" s="82"/>
      <c r="B487" s="82"/>
      <c r="C487" s="82"/>
      <c r="D487" s="82"/>
      <c r="F487" s="82"/>
      <c r="G487" s="82"/>
    </row>
    <row r="488" ht="15.75" customHeight="1">
      <c r="A488" s="82"/>
      <c r="B488" s="82"/>
      <c r="C488" s="82"/>
      <c r="D488" s="82"/>
      <c r="F488" s="82"/>
      <c r="G488" s="82"/>
    </row>
    <row r="489" ht="15.75" customHeight="1">
      <c r="A489" s="82"/>
      <c r="B489" s="82"/>
      <c r="C489" s="82"/>
      <c r="D489" s="82"/>
      <c r="F489" s="82"/>
      <c r="G489" s="82"/>
    </row>
    <row r="490" ht="15.75" customHeight="1">
      <c r="A490" s="82"/>
      <c r="B490" s="82"/>
      <c r="C490" s="82"/>
      <c r="D490" s="82"/>
      <c r="F490" s="82"/>
      <c r="G490" s="82"/>
    </row>
    <row r="491" ht="15.75" customHeight="1">
      <c r="A491" s="82"/>
      <c r="B491" s="82"/>
      <c r="C491" s="82"/>
      <c r="D491" s="82"/>
      <c r="F491" s="82"/>
      <c r="G491" s="82"/>
    </row>
    <row r="492" ht="15.75" customHeight="1">
      <c r="A492" s="82"/>
      <c r="B492" s="82"/>
      <c r="C492" s="82"/>
      <c r="D492" s="82"/>
      <c r="F492" s="82"/>
      <c r="G492" s="82"/>
    </row>
    <row r="493" ht="15.75" customHeight="1">
      <c r="A493" s="82"/>
      <c r="B493" s="82"/>
      <c r="C493" s="82"/>
      <c r="D493" s="82"/>
      <c r="F493" s="82"/>
      <c r="G493" s="82"/>
    </row>
    <row r="494" ht="15.75" customHeight="1">
      <c r="A494" s="82"/>
      <c r="B494" s="82"/>
      <c r="C494" s="82"/>
      <c r="D494" s="82"/>
      <c r="F494" s="82"/>
      <c r="G494" s="82"/>
    </row>
    <row r="495" ht="15.75" customHeight="1">
      <c r="A495" s="82"/>
      <c r="B495" s="82"/>
      <c r="C495" s="82"/>
      <c r="D495" s="82"/>
      <c r="F495" s="82"/>
      <c r="G495" s="82"/>
    </row>
    <row r="496" ht="15.75" customHeight="1">
      <c r="A496" s="82"/>
      <c r="B496" s="82"/>
      <c r="C496" s="82"/>
      <c r="D496" s="82"/>
      <c r="F496" s="82"/>
      <c r="G496" s="82"/>
    </row>
    <row r="497" ht="15.75" customHeight="1">
      <c r="A497" s="82"/>
      <c r="B497" s="82"/>
      <c r="C497" s="82"/>
      <c r="D497" s="82"/>
      <c r="F497" s="82"/>
      <c r="G497" s="82"/>
    </row>
    <row r="498" ht="15.75" customHeight="1">
      <c r="A498" s="82"/>
      <c r="B498" s="82"/>
      <c r="C498" s="82"/>
      <c r="D498" s="82"/>
      <c r="F498" s="82"/>
      <c r="G498" s="82"/>
    </row>
    <row r="499" ht="15.75" customHeight="1">
      <c r="A499" s="82"/>
      <c r="B499" s="82"/>
      <c r="C499" s="82"/>
      <c r="D499" s="82"/>
      <c r="F499" s="82"/>
      <c r="G499" s="82"/>
    </row>
    <row r="500" ht="15.75" customHeight="1">
      <c r="A500" s="82"/>
      <c r="B500" s="82"/>
      <c r="C500" s="82"/>
      <c r="D500" s="82"/>
      <c r="F500" s="82"/>
      <c r="G500" s="82"/>
    </row>
    <row r="501" ht="15.75" customHeight="1">
      <c r="A501" s="82"/>
      <c r="B501" s="82"/>
      <c r="C501" s="82"/>
      <c r="D501" s="82"/>
      <c r="F501" s="82"/>
      <c r="G501" s="82"/>
    </row>
    <row r="502" ht="15.75" customHeight="1">
      <c r="A502" s="82"/>
      <c r="B502" s="82"/>
      <c r="C502" s="82"/>
      <c r="D502" s="82"/>
      <c r="F502" s="82"/>
      <c r="G502" s="82"/>
    </row>
    <row r="503" ht="15.75" customHeight="1">
      <c r="A503" s="82"/>
      <c r="B503" s="82"/>
      <c r="C503" s="82"/>
      <c r="D503" s="82"/>
      <c r="F503" s="82"/>
      <c r="G503" s="82"/>
    </row>
    <row r="504" ht="15.75" customHeight="1">
      <c r="A504" s="82"/>
      <c r="B504" s="82"/>
      <c r="C504" s="82"/>
      <c r="D504" s="82"/>
      <c r="F504" s="82"/>
      <c r="G504" s="82"/>
    </row>
    <row r="505" ht="15.75" customHeight="1">
      <c r="A505" s="82"/>
      <c r="B505" s="82"/>
      <c r="C505" s="82"/>
      <c r="D505" s="82"/>
      <c r="F505" s="82"/>
      <c r="G505" s="82"/>
    </row>
    <row r="506" ht="15.75" customHeight="1">
      <c r="A506" s="82"/>
      <c r="B506" s="82"/>
      <c r="C506" s="82"/>
      <c r="D506" s="82"/>
      <c r="F506" s="82"/>
      <c r="G506" s="82"/>
    </row>
    <row r="507" ht="15.75" customHeight="1">
      <c r="A507" s="82"/>
      <c r="B507" s="82"/>
      <c r="C507" s="82"/>
      <c r="D507" s="82"/>
      <c r="F507" s="82"/>
      <c r="G507" s="82"/>
    </row>
    <row r="508" ht="15.75" customHeight="1">
      <c r="A508" s="82"/>
      <c r="B508" s="82"/>
      <c r="C508" s="82"/>
      <c r="D508" s="82"/>
      <c r="F508" s="82"/>
      <c r="G508" s="82"/>
    </row>
    <row r="509" ht="15.75" customHeight="1">
      <c r="A509" s="82"/>
      <c r="B509" s="82"/>
      <c r="C509" s="82"/>
      <c r="D509" s="82"/>
      <c r="F509" s="82"/>
      <c r="G509" s="82"/>
    </row>
    <row r="510" ht="15.75" customHeight="1">
      <c r="A510" s="82"/>
      <c r="B510" s="82"/>
      <c r="C510" s="82"/>
      <c r="D510" s="82"/>
      <c r="F510" s="82"/>
      <c r="G510" s="82"/>
    </row>
    <row r="511" ht="15.75" customHeight="1">
      <c r="A511" s="82"/>
      <c r="B511" s="82"/>
      <c r="C511" s="82"/>
      <c r="D511" s="82"/>
      <c r="F511" s="82"/>
      <c r="G511" s="82"/>
    </row>
    <row r="512" ht="15.75" customHeight="1">
      <c r="A512" s="82"/>
      <c r="B512" s="82"/>
      <c r="C512" s="82"/>
      <c r="D512" s="82"/>
      <c r="F512" s="82"/>
      <c r="G512" s="82"/>
    </row>
    <row r="513" ht="15.75" customHeight="1">
      <c r="A513" s="82"/>
      <c r="B513" s="82"/>
      <c r="C513" s="82"/>
      <c r="D513" s="82"/>
      <c r="F513" s="82"/>
      <c r="G513" s="82"/>
    </row>
    <row r="514" ht="15.75" customHeight="1">
      <c r="A514" s="82"/>
      <c r="B514" s="82"/>
      <c r="C514" s="82"/>
      <c r="D514" s="82"/>
      <c r="F514" s="82"/>
      <c r="G514" s="82"/>
    </row>
    <row r="515" ht="15.75" customHeight="1">
      <c r="A515" s="82"/>
      <c r="B515" s="82"/>
      <c r="C515" s="82"/>
      <c r="D515" s="82"/>
      <c r="F515" s="82"/>
      <c r="G515" s="82"/>
    </row>
    <row r="516" ht="15.75" customHeight="1">
      <c r="A516" s="82"/>
      <c r="B516" s="82"/>
      <c r="C516" s="82"/>
      <c r="D516" s="82"/>
      <c r="F516" s="82"/>
      <c r="G516" s="82"/>
    </row>
    <row r="517" ht="15.75" customHeight="1">
      <c r="A517" s="82"/>
      <c r="B517" s="82"/>
      <c r="C517" s="82"/>
      <c r="D517" s="82"/>
      <c r="F517" s="82"/>
      <c r="G517" s="82"/>
    </row>
    <row r="518" ht="15.75" customHeight="1">
      <c r="A518" s="82"/>
      <c r="B518" s="82"/>
      <c r="C518" s="82"/>
      <c r="D518" s="82"/>
      <c r="F518" s="82"/>
      <c r="G518" s="82"/>
    </row>
    <row r="519" ht="15.75" customHeight="1">
      <c r="A519" s="82"/>
      <c r="B519" s="82"/>
      <c r="C519" s="82"/>
      <c r="D519" s="82"/>
      <c r="F519" s="82"/>
      <c r="G519" s="82"/>
    </row>
    <row r="520" ht="15.75" customHeight="1">
      <c r="A520" s="82"/>
      <c r="B520" s="82"/>
      <c r="C520" s="82"/>
      <c r="D520" s="82"/>
      <c r="F520" s="82"/>
      <c r="G520" s="82"/>
    </row>
    <row r="521" ht="15.75" customHeight="1">
      <c r="A521" s="82"/>
      <c r="B521" s="82"/>
      <c r="C521" s="82"/>
      <c r="D521" s="82"/>
      <c r="F521" s="82"/>
      <c r="G521" s="82"/>
    </row>
    <row r="522" ht="15.75" customHeight="1">
      <c r="A522" s="82"/>
      <c r="B522" s="82"/>
      <c r="C522" s="82"/>
      <c r="D522" s="82"/>
      <c r="F522" s="82"/>
      <c r="G522" s="82"/>
    </row>
    <row r="523" ht="15.75" customHeight="1">
      <c r="A523" s="82"/>
      <c r="B523" s="82"/>
      <c r="C523" s="82"/>
      <c r="D523" s="82"/>
      <c r="F523" s="82"/>
      <c r="G523" s="82"/>
    </row>
    <row r="524" ht="15.75" customHeight="1">
      <c r="A524" s="82"/>
      <c r="B524" s="82"/>
      <c r="C524" s="82"/>
      <c r="D524" s="82"/>
      <c r="F524" s="82"/>
      <c r="G524" s="82"/>
    </row>
    <row r="525" ht="15.75" customHeight="1">
      <c r="A525" s="82"/>
      <c r="B525" s="82"/>
      <c r="C525" s="82"/>
      <c r="D525" s="82"/>
      <c r="F525" s="82"/>
      <c r="G525" s="82"/>
    </row>
    <row r="526" ht="15.75" customHeight="1">
      <c r="A526" s="82"/>
      <c r="B526" s="82"/>
      <c r="C526" s="82"/>
      <c r="D526" s="82"/>
      <c r="F526" s="82"/>
      <c r="G526" s="82"/>
    </row>
    <row r="527" ht="15.75" customHeight="1">
      <c r="A527" s="82"/>
      <c r="B527" s="82"/>
      <c r="C527" s="82"/>
      <c r="D527" s="82"/>
      <c r="F527" s="82"/>
      <c r="G527" s="82"/>
    </row>
    <row r="528" ht="15.75" customHeight="1">
      <c r="A528" s="82"/>
      <c r="B528" s="82"/>
      <c r="C528" s="82"/>
      <c r="D528" s="82"/>
      <c r="F528" s="82"/>
      <c r="G528" s="82"/>
    </row>
    <row r="529" ht="15.75" customHeight="1">
      <c r="A529" s="82"/>
      <c r="B529" s="82"/>
      <c r="C529" s="82"/>
      <c r="D529" s="82"/>
      <c r="F529" s="82"/>
      <c r="G529" s="82"/>
    </row>
    <row r="530" ht="15.75" customHeight="1">
      <c r="A530" s="82"/>
      <c r="B530" s="82"/>
      <c r="C530" s="82"/>
      <c r="D530" s="82"/>
      <c r="F530" s="82"/>
      <c r="G530" s="82"/>
    </row>
    <row r="531" ht="15.75" customHeight="1">
      <c r="A531" s="82"/>
      <c r="B531" s="82"/>
      <c r="C531" s="82"/>
      <c r="D531" s="82"/>
      <c r="F531" s="82"/>
      <c r="G531" s="82"/>
    </row>
    <row r="532" ht="15.75" customHeight="1">
      <c r="A532" s="82"/>
      <c r="B532" s="82"/>
      <c r="C532" s="82"/>
      <c r="D532" s="82"/>
      <c r="F532" s="82"/>
      <c r="G532" s="82"/>
    </row>
    <row r="533" ht="15.75" customHeight="1">
      <c r="A533" s="82"/>
      <c r="B533" s="82"/>
      <c r="C533" s="82"/>
      <c r="D533" s="82"/>
      <c r="F533" s="82"/>
      <c r="G533" s="82"/>
    </row>
    <row r="534" ht="15.75" customHeight="1">
      <c r="A534" s="82"/>
      <c r="B534" s="82"/>
      <c r="C534" s="82"/>
      <c r="D534" s="82"/>
      <c r="F534" s="82"/>
      <c r="G534" s="82"/>
    </row>
    <row r="535" ht="15.75" customHeight="1">
      <c r="A535" s="82"/>
      <c r="B535" s="82"/>
      <c r="C535" s="82"/>
      <c r="D535" s="82"/>
      <c r="F535" s="82"/>
      <c r="G535" s="82"/>
    </row>
    <row r="536" ht="15.75" customHeight="1">
      <c r="A536" s="82"/>
      <c r="B536" s="82"/>
      <c r="C536" s="82"/>
      <c r="D536" s="82"/>
      <c r="F536" s="82"/>
      <c r="G536" s="82"/>
    </row>
    <row r="537" ht="15.75" customHeight="1">
      <c r="A537" s="82"/>
      <c r="B537" s="82"/>
      <c r="C537" s="82"/>
      <c r="D537" s="82"/>
      <c r="F537" s="82"/>
      <c r="G537" s="82"/>
    </row>
    <row r="538" ht="15.75" customHeight="1">
      <c r="A538" s="82"/>
      <c r="B538" s="82"/>
      <c r="C538" s="82"/>
      <c r="D538" s="82"/>
      <c r="F538" s="82"/>
      <c r="G538" s="82"/>
    </row>
    <row r="539" ht="15.75" customHeight="1">
      <c r="A539" s="82"/>
      <c r="B539" s="82"/>
      <c r="C539" s="82"/>
      <c r="D539" s="82"/>
      <c r="F539" s="82"/>
      <c r="G539" s="82"/>
    </row>
    <row r="540" ht="15.75" customHeight="1">
      <c r="A540" s="82"/>
      <c r="B540" s="82"/>
      <c r="C540" s="82"/>
      <c r="D540" s="82"/>
      <c r="F540" s="82"/>
      <c r="G540" s="82"/>
    </row>
    <row r="541" ht="15.75" customHeight="1">
      <c r="A541" s="82"/>
      <c r="B541" s="82"/>
      <c r="C541" s="82"/>
      <c r="D541" s="82"/>
      <c r="F541" s="82"/>
      <c r="G541" s="82"/>
    </row>
    <row r="542" ht="15.75" customHeight="1">
      <c r="A542" s="82"/>
      <c r="B542" s="82"/>
      <c r="C542" s="82"/>
      <c r="D542" s="82"/>
      <c r="F542" s="82"/>
      <c r="G542" s="82"/>
    </row>
    <row r="543" ht="15.75" customHeight="1">
      <c r="A543" s="82"/>
      <c r="B543" s="82"/>
      <c r="C543" s="82"/>
      <c r="D543" s="82"/>
      <c r="F543" s="82"/>
      <c r="G543" s="82"/>
    </row>
    <row r="544" ht="15.75" customHeight="1">
      <c r="A544" s="82"/>
      <c r="B544" s="82"/>
      <c r="C544" s="82"/>
      <c r="D544" s="82"/>
      <c r="F544" s="82"/>
      <c r="G544" s="82"/>
    </row>
    <row r="545" ht="15.75" customHeight="1">
      <c r="A545" s="82"/>
      <c r="B545" s="82"/>
      <c r="C545" s="82"/>
      <c r="D545" s="82"/>
      <c r="F545" s="82"/>
      <c r="G545" s="82"/>
    </row>
    <row r="546" ht="15.75" customHeight="1">
      <c r="A546" s="82"/>
      <c r="B546" s="82"/>
      <c r="C546" s="82"/>
      <c r="D546" s="82"/>
      <c r="F546" s="82"/>
      <c r="G546" s="82"/>
    </row>
    <row r="547" ht="15.75" customHeight="1">
      <c r="A547" s="82"/>
      <c r="B547" s="82"/>
      <c r="C547" s="82"/>
      <c r="D547" s="82"/>
      <c r="F547" s="82"/>
      <c r="G547" s="82"/>
    </row>
    <row r="548" ht="15.75" customHeight="1">
      <c r="A548" s="82"/>
      <c r="B548" s="82"/>
      <c r="C548" s="82"/>
      <c r="D548" s="82"/>
      <c r="F548" s="82"/>
      <c r="G548" s="82"/>
    </row>
    <row r="549" ht="15.75" customHeight="1">
      <c r="A549" s="82"/>
      <c r="B549" s="82"/>
      <c r="C549" s="82"/>
      <c r="D549" s="82"/>
      <c r="F549" s="82"/>
      <c r="G549" s="82"/>
    </row>
    <row r="550" ht="15.75" customHeight="1">
      <c r="A550" s="82"/>
      <c r="B550" s="82"/>
      <c r="C550" s="82"/>
      <c r="D550" s="82"/>
      <c r="F550" s="82"/>
      <c r="G550" s="82"/>
    </row>
    <row r="551" ht="15.75" customHeight="1">
      <c r="A551" s="82"/>
      <c r="B551" s="82"/>
      <c r="C551" s="82"/>
      <c r="D551" s="82"/>
      <c r="F551" s="82"/>
      <c r="G551" s="82"/>
    </row>
    <row r="552" ht="15.75" customHeight="1">
      <c r="A552" s="82"/>
      <c r="B552" s="82"/>
      <c r="C552" s="82"/>
      <c r="D552" s="82"/>
      <c r="F552" s="82"/>
      <c r="G552" s="82"/>
    </row>
    <row r="553" ht="15.75" customHeight="1">
      <c r="A553" s="82"/>
      <c r="B553" s="82"/>
      <c r="C553" s="82"/>
      <c r="D553" s="82"/>
      <c r="F553" s="82"/>
      <c r="G553" s="82"/>
    </row>
    <row r="554" ht="15.75" customHeight="1">
      <c r="A554" s="82"/>
      <c r="B554" s="82"/>
      <c r="C554" s="82"/>
      <c r="D554" s="82"/>
      <c r="F554" s="82"/>
      <c r="G554" s="82"/>
    </row>
    <row r="555" ht="15.75" customHeight="1">
      <c r="A555" s="82"/>
      <c r="B555" s="82"/>
      <c r="C555" s="82"/>
      <c r="D555" s="82"/>
      <c r="F555" s="82"/>
      <c r="G555" s="82"/>
    </row>
    <row r="556" ht="15.75" customHeight="1">
      <c r="A556" s="82"/>
      <c r="B556" s="82"/>
      <c r="C556" s="82"/>
      <c r="D556" s="82"/>
      <c r="F556" s="82"/>
      <c r="G556" s="82"/>
    </row>
    <row r="557" ht="15.75" customHeight="1">
      <c r="A557" s="82"/>
      <c r="B557" s="82"/>
      <c r="C557" s="82"/>
      <c r="D557" s="82"/>
      <c r="F557" s="82"/>
      <c r="G557" s="82"/>
    </row>
    <row r="558" ht="15.75" customHeight="1">
      <c r="A558" s="82"/>
      <c r="B558" s="82"/>
      <c r="C558" s="82"/>
      <c r="D558" s="82"/>
      <c r="F558" s="82"/>
      <c r="G558" s="82"/>
    </row>
    <row r="559" ht="15.75" customHeight="1">
      <c r="A559" s="82"/>
      <c r="B559" s="82"/>
      <c r="C559" s="82"/>
      <c r="D559" s="82"/>
      <c r="F559" s="82"/>
      <c r="G559" s="82"/>
    </row>
    <row r="560" ht="15.75" customHeight="1">
      <c r="A560" s="82"/>
      <c r="B560" s="82"/>
      <c r="C560" s="82"/>
      <c r="D560" s="82"/>
      <c r="F560" s="82"/>
      <c r="G560" s="82"/>
    </row>
    <row r="561" ht="15.75" customHeight="1">
      <c r="A561" s="82"/>
      <c r="B561" s="82"/>
      <c r="C561" s="82"/>
      <c r="D561" s="82"/>
      <c r="F561" s="82"/>
      <c r="G561" s="82"/>
    </row>
    <row r="562" ht="15.75" customHeight="1">
      <c r="A562" s="82"/>
      <c r="B562" s="82"/>
      <c r="C562" s="82"/>
      <c r="D562" s="82"/>
      <c r="F562" s="82"/>
      <c r="G562" s="82"/>
    </row>
    <row r="563" ht="15.75" customHeight="1">
      <c r="A563" s="82"/>
      <c r="B563" s="82"/>
      <c r="C563" s="82"/>
      <c r="D563" s="82"/>
      <c r="F563" s="82"/>
      <c r="G563" s="82"/>
    </row>
    <row r="564" ht="15.75" customHeight="1">
      <c r="A564" s="82"/>
      <c r="B564" s="82"/>
      <c r="C564" s="82"/>
      <c r="D564" s="82"/>
      <c r="F564" s="82"/>
      <c r="G564" s="82"/>
    </row>
    <row r="565" ht="15.75" customHeight="1">
      <c r="A565" s="82"/>
      <c r="B565" s="82"/>
      <c r="C565" s="82"/>
      <c r="D565" s="82"/>
      <c r="F565" s="82"/>
      <c r="G565" s="82"/>
    </row>
    <row r="566" ht="15.75" customHeight="1">
      <c r="A566" s="82"/>
      <c r="B566" s="82"/>
      <c r="C566" s="82"/>
      <c r="D566" s="82"/>
      <c r="F566" s="82"/>
      <c r="G566" s="82"/>
    </row>
    <row r="567" ht="15.75" customHeight="1">
      <c r="A567" s="82"/>
      <c r="B567" s="82"/>
      <c r="C567" s="82"/>
      <c r="D567" s="82"/>
      <c r="F567" s="82"/>
      <c r="G567" s="82"/>
    </row>
    <row r="568" ht="15.75" customHeight="1">
      <c r="A568" s="82"/>
      <c r="B568" s="82"/>
      <c r="C568" s="82"/>
      <c r="D568" s="82"/>
      <c r="F568" s="82"/>
      <c r="G568" s="82"/>
    </row>
    <row r="569" ht="15.75" customHeight="1">
      <c r="A569" s="82"/>
      <c r="B569" s="82"/>
      <c r="C569" s="82"/>
      <c r="D569" s="82"/>
      <c r="F569" s="82"/>
      <c r="G569" s="82"/>
    </row>
    <row r="570" ht="15.75" customHeight="1">
      <c r="A570" s="82"/>
      <c r="B570" s="82"/>
      <c r="C570" s="82"/>
      <c r="D570" s="82"/>
      <c r="F570" s="82"/>
      <c r="G570" s="82"/>
    </row>
    <row r="571" ht="15.75" customHeight="1">
      <c r="A571" s="82"/>
      <c r="B571" s="82"/>
      <c r="C571" s="82"/>
      <c r="D571" s="82"/>
      <c r="F571" s="82"/>
      <c r="G571" s="82"/>
    </row>
    <row r="572" ht="15.75" customHeight="1">
      <c r="A572" s="82"/>
      <c r="B572" s="82"/>
      <c r="C572" s="82"/>
      <c r="D572" s="82"/>
      <c r="F572" s="82"/>
      <c r="G572" s="82"/>
    </row>
    <row r="573" ht="15.75" customHeight="1">
      <c r="A573" s="82"/>
      <c r="B573" s="82"/>
      <c r="C573" s="82"/>
      <c r="D573" s="82"/>
      <c r="F573" s="82"/>
      <c r="G573" s="82"/>
    </row>
    <row r="574" ht="15.75" customHeight="1">
      <c r="A574" s="82"/>
      <c r="B574" s="82"/>
      <c r="C574" s="82"/>
      <c r="D574" s="82"/>
      <c r="F574" s="82"/>
      <c r="G574" s="82"/>
    </row>
    <row r="575" ht="15.75" customHeight="1">
      <c r="A575" s="82"/>
      <c r="B575" s="82"/>
      <c r="C575" s="82"/>
      <c r="D575" s="82"/>
      <c r="F575" s="82"/>
      <c r="G575" s="82"/>
    </row>
    <row r="576" ht="15.75" customHeight="1">
      <c r="A576" s="82"/>
      <c r="B576" s="82"/>
      <c r="C576" s="82"/>
      <c r="D576" s="82"/>
      <c r="F576" s="82"/>
      <c r="G576" s="82"/>
    </row>
    <row r="577" ht="15.75" customHeight="1">
      <c r="A577" s="82"/>
      <c r="B577" s="82"/>
      <c r="C577" s="82"/>
      <c r="D577" s="82"/>
      <c r="F577" s="82"/>
      <c r="G577" s="82"/>
    </row>
    <row r="578" ht="15.75" customHeight="1">
      <c r="A578" s="82"/>
      <c r="B578" s="82"/>
      <c r="C578" s="82"/>
      <c r="D578" s="82"/>
      <c r="F578" s="82"/>
      <c r="G578" s="82"/>
    </row>
    <row r="579" ht="15.75" customHeight="1">
      <c r="A579" s="82"/>
      <c r="B579" s="82"/>
      <c r="C579" s="82"/>
      <c r="D579" s="82"/>
      <c r="F579" s="82"/>
      <c r="G579" s="82"/>
    </row>
    <row r="580" ht="15.75" customHeight="1">
      <c r="A580" s="82"/>
      <c r="B580" s="82"/>
      <c r="C580" s="82"/>
      <c r="D580" s="82"/>
      <c r="F580" s="82"/>
      <c r="G580" s="82"/>
    </row>
    <row r="581" ht="15.75" customHeight="1">
      <c r="A581" s="82"/>
      <c r="B581" s="82"/>
      <c r="C581" s="82"/>
      <c r="D581" s="82"/>
      <c r="F581" s="82"/>
      <c r="G581" s="82"/>
    </row>
    <row r="582" ht="15.75" customHeight="1">
      <c r="A582" s="82"/>
      <c r="B582" s="82"/>
      <c r="C582" s="82"/>
      <c r="D582" s="82"/>
      <c r="F582" s="82"/>
      <c r="G582" s="82"/>
    </row>
    <row r="583" ht="15.75" customHeight="1">
      <c r="A583" s="82"/>
      <c r="B583" s="82"/>
      <c r="C583" s="82"/>
      <c r="D583" s="82"/>
      <c r="F583" s="82"/>
      <c r="G583" s="82"/>
    </row>
    <row r="584" ht="15.75" customHeight="1">
      <c r="A584" s="82"/>
      <c r="B584" s="82"/>
      <c r="C584" s="82"/>
      <c r="D584" s="82"/>
      <c r="F584" s="82"/>
      <c r="G584" s="82"/>
    </row>
    <row r="585" ht="15.75" customHeight="1">
      <c r="A585" s="82"/>
      <c r="B585" s="82"/>
      <c r="C585" s="82"/>
      <c r="D585" s="82"/>
      <c r="F585" s="82"/>
      <c r="G585" s="82"/>
    </row>
    <row r="586" ht="15.75" customHeight="1">
      <c r="A586" s="82"/>
      <c r="B586" s="82"/>
      <c r="C586" s="82"/>
      <c r="D586" s="82"/>
      <c r="F586" s="82"/>
      <c r="G586" s="82"/>
    </row>
    <row r="587" ht="15.75" customHeight="1">
      <c r="A587" s="82"/>
      <c r="B587" s="82"/>
      <c r="C587" s="82"/>
      <c r="D587" s="82"/>
      <c r="F587" s="82"/>
      <c r="G587" s="82"/>
    </row>
    <row r="588" ht="15.75" customHeight="1">
      <c r="A588" s="82"/>
      <c r="B588" s="82"/>
      <c r="C588" s="82"/>
      <c r="D588" s="82"/>
      <c r="F588" s="82"/>
      <c r="G588" s="82"/>
    </row>
    <row r="589" ht="15.75" customHeight="1">
      <c r="A589" s="82"/>
      <c r="B589" s="82"/>
      <c r="C589" s="82"/>
      <c r="D589" s="82"/>
      <c r="F589" s="82"/>
      <c r="G589" s="82"/>
    </row>
    <row r="590" ht="15.75" customHeight="1">
      <c r="A590" s="82"/>
      <c r="B590" s="82"/>
      <c r="C590" s="82"/>
      <c r="D590" s="82"/>
      <c r="F590" s="82"/>
      <c r="G590" s="82"/>
    </row>
    <row r="591" ht="15.75" customHeight="1">
      <c r="A591" s="82"/>
      <c r="B591" s="82"/>
      <c r="C591" s="82"/>
      <c r="D591" s="82"/>
      <c r="F591" s="82"/>
      <c r="G591" s="82"/>
    </row>
    <row r="592" ht="15.75" customHeight="1">
      <c r="A592" s="82"/>
      <c r="B592" s="82"/>
      <c r="C592" s="82"/>
      <c r="D592" s="82"/>
      <c r="F592" s="82"/>
      <c r="G592" s="82"/>
    </row>
    <row r="593" ht="15.75" customHeight="1">
      <c r="A593" s="82"/>
      <c r="B593" s="82"/>
      <c r="C593" s="82"/>
      <c r="D593" s="82"/>
      <c r="F593" s="82"/>
      <c r="G593" s="82"/>
    </row>
    <row r="594" ht="15.75" customHeight="1">
      <c r="A594" s="82"/>
      <c r="B594" s="82"/>
      <c r="C594" s="82"/>
      <c r="D594" s="82"/>
      <c r="F594" s="82"/>
      <c r="G594" s="82"/>
    </row>
    <row r="595" ht="15.75" customHeight="1">
      <c r="A595" s="82"/>
      <c r="B595" s="82"/>
      <c r="C595" s="82"/>
      <c r="D595" s="82"/>
      <c r="F595" s="82"/>
      <c r="G595" s="82"/>
    </row>
    <row r="596" ht="15.75" customHeight="1">
      <c r="A596" s="82"/>
      <c r="B596" s="82"/>
      <c r="C596" s="82"/>
      <c r="D596" s="82"/>
      <c r="F596" s="82"/>
      <c r="G596" s="82"/>
    </row>
    <row r="597" ht="15.75" customHeight="1">
      <c r="A597" s="82"/>
      <c r="B597" s="82"/>
      <c r="C597" s="82"/>
      <c r="D597" s="82"/>
      <c r="F597" s="82"/>
      <c r="G597" s="82"/>
    </row>
    <row r="598" ht="15.75" customHeight="1">
      <c r="A598" s="82"/>
      <c r="B598" s="82"/>
      <c r="C598" s="82"/>
      <c r="D598" s="82"/>
      <c r="F598" s="82"/>
      <c r="G598" s="82"/>
    </row>
    <row r="599" ht="15.75" customHeight="1">
      <c r="A599" s="82"/>
      <c r="B599" s="82"/>
      <c r="C599" s="82"/>
      <c r="D599" s="82"/>
      <c r="F599" s="82"/>
      <c r="G599" s="82"/>
    </row>
    <row r="600" ht="15.75" customHeight="1">
      <c r="A600" s="82"/>
      <c r="B600" s="82"/>
      <c r="C600" s="82"/>
      <c r="D600" s="82"/>
      <c r="F600" s="82"/>
      <c r="G600" s="82"/>
    </row>
    <row r="601" ht="15.75" customHeight="1">
      <c r="A601" s="82"/>
      <c r="B601" s="82"/>
      <c r="C601" s="82"/>
      <c r="D601" s="82"/>
      <c r="F601" s="82"/>
      <c r="G601" s="82"/>
    </row>
    <row r="602" ht="15.75" customHeight="1">
      <c r="A602" s="82"/>
      <c r="B602" s="82"/>
      <c r="C602" s="82"/>
      <c r="D602" s="82"/>
      <c r="F602" s="82"/>
      <c r="G602" s="82"/>
    </row>
    <row r="603" ht="15.75" customHeight="1">
      <c r="A603" s="82"/>
      <c r="B603" s="82"/>
      <c r="C603" s="82"/>
      <c r="D603" s="82"/>
      <c r="F603" s="82"/>
      <c r="G603" s="82"/>
    </row>
    <row r="604" ht="15.75" customHeight="1">
      <c r="A604" s="82"/>
      <c r="B604" s="82"/>
      <c r="C604" s="82"/>
      <c r="D604" s="82"/>
      <c r="F604" s="82"/>
      <c r="G604" s="82"/>
    </row>
    <row r="605" ht="15.75" customHeight="1">
      <c r="A605" s="82"/>
      <c r="B605" s="82"/>
      <c r="C605" s="82"/>
      <c r="D605" s="82"/>
      <c r="F605" s="82"/>
      <c r="G605" s="82"/>
    </row>
    <row r="606" ht="15.75" customHeight="1">
      <c r="A606" s="82"/>
      <c r="B606" s="82"/>
      <c r="C606" s="82"/>
      <c r="D606" s="82"/>
      <c r="F606" s="82"/>
      <c r="G606" s="82"/>
    </row>
    <row r="607" ht="15.75" customHeight="1">
      <c r="A607" s="82"/>
      <c r="B607" s="82"/>
      <c r="C607" s="82"/>
      <c r="D607" s="82"/>
      <c r="F607" s="82"/>
      <c r="G607" s="82"/>
    </row>
    <row r="608" ht="15.75" customHeight="1">
      <c r="A608" s="82"/>
      <c r="B608" s="82"/>
      <c r="C608" s="82"/>
      <c r="D608" s="82"/>
      <c r="F608" s="82"/>
      <c r="G608" s="82"/>
    </row>
    <row r="609" ht="15.75" customHeight="1">
      <c r="A609" s="82"/>
      <c r="B609" s="82"/>
      <c r="C609" s="82"/>
      <c r="D609" s="82"/>
      <c r="F609" s="82"/>
      <c r="G609" s="82"/>
    </row>
    <row r="610" ht="15.75" customHeight="1">
      <c r="A610" s="82"/>
      <c r="B610" s="82"/>
      <c r="C610" s="82"/>
      <c r="D610" s="82"/>
      <c r="F610" s="82"/>
      <c r="G610" s="82"/>
    </row>
    <row r="611" ht="15.75" customHeight="1">
      <c r="A611" s="82"/>
      <c r="B611" s="82"/>
      <c r="C611" s="82"/>
      <c r="D611" s="82"/>
      <c r="F611" s="82"/>
      <c r="G611" s="82"/>
    </row>
    <row r="612" ht="15.75" customHeight="1">
      <c r="A612" s="82"/>
      <c r="B612" s="82"/>
      <c r="C612" s="82"/>
      <c r="D612" s="82"/>
      <c r="F612" s="82"/>
      <c r="G612" s="82"/>
    </row>
    <row r="613" ht="15.75" customHeight="1">
      <c r="A613" s="82"/>
      <c r="B613" s="82"/>
      <c r="C613" s="82"/>
      <c r="D613" s="82"/>
      <c r="F613" s="82"/>
      <c r="G613" s="82"/>
    </row>
    <row r="614" ht="15.75" customHeight="1">
      <c r="A614" s="82"/>
      <c r="B614" s="82"/>
      <c r="C614" s="82"/>
      <c r="D614" s="82"/>
      <c r="F614" s="82"/>
      <c r="G614" s="82"/>
    </row>
    <row r="615" ht="15.75" customHeight="1">
      <c r="A615" s="82"/>
      <c r="B615" s="82"/>
      <c r="C615" s="82"/>
      <c r="D615" s="82"/>
      <c r="F615" s="82"/>
      <c r="G615" s="82"/>
    </row>
    <row r="616" ht="15.75" customHeight="1">
      <c r="A616" s="82"/>
      <c r="B616" s="82"/>
      <c r="C616" s="82"/>
      <c r="D616" s="82"/>
      <c r="F616" s="82"/>
      <c r="G616" s="82"/>
    </row>
    <row r="617" ht="15.75" customHeight="1">
      <c r="A617" s="82"/>
      <c r="B617" s="82"/>
      <c r="C617" s="82"/>
      <c r="D617" s="82"/>
      <c r="F617" s="82"/>
      <c r="G617" s="82"/>
    </row>
    <row r="618" ht="15.75" customHeight="1">
      <c r="A618" s="82"/>
      <c r="B618" s="82"/>
      <c r="C618" s="82"/>
      <c r="D618" s="82"/>
      <c r="F618" s="82"/>
      <c r="G618" s="82"/>
    </row>
    <row r="619" ht="15.75" customHeight="1">
      <c r="A619" s="82"/>
      <c r="B619" s="82"/>
      <c r="C619" s="82"/>
      <c r="D619" s="82"/>
      <c r="F619" s="82"/>
      <c r="G619" s="82"/>
    </row>
    <row r="620" ht="15.75" customHeight="1">
      <c r="A620" s="82"/>
      <c r="B620" s="82"/>
      <c r="C620" s="82"/>
      <c r="D620" s="82"/>
      <c r="F620" s="82"/>
      <c r="G620" s="82"/>
    </row>
    <row r="621" ht="15.75" customHeight="1">
      <c r="A621" s="82"/>
      <c r="B621" s="82"/>
      <c r="C621" s="82"/>
      <c r="D621" s="82"/>
      <c r="F621" s="82"/>
      <c r="G621" s="82"/>
    </row>
    <row r="622" ht="15.75" customHeight="1">
      <c r="A622" s="82"/>
      <c r="B622" s="82"/>
      <c r="C622" s="82"/>
      <c r="D622" s="82"/>
      <c r="F622" s="82"/>
      <c r="G622" s="82"/>
    </row>
    <row r="623" ht="15.75" customHeight="1">
      <c r="A623" s="82"/>
      <c r="B623" s="82"/>
      <c r="C623" s="82"/>
      <c r="D623" s="82"/>
      <c r="F623" s="82"/>
      <c r="G623" s="82"/>
    </row>
    <row r="624" ht="15.75" customHeight="1">
      <c r="A624" s="82"/>
      <c r="B624" s="82"/>
      <c r="C624" s="82"/>
      <c r="D624" s="82"/>
      <c r="F624" s="82"/>
      <c r="G624" s="82"/>
    </row>
    <row r="625" ht="15.75" customHeight="1">
      <c r="A625" s="82"/>
      <c r="B625" s="82"/>
      <c r="C625" s="82"/>
      <c r="D625" s="82"/>
      <c r="F625" s="82"/>
      <c r="G625" s="82"/>
    </row>
    <row r="626" ht="15.75" customHeight="1">
      <c r="A626" s="82"/>
      <c r="B626" s="82"/>
      <c r="C626" s="82"/>
      <c r="D626" s="82"/>
      <c r="F626" s="82"/>
      <c r="G626" s="82"/>
    </row>
    <row r="627" ht="15.75" customHeight="1">
      <c r="A627" s="82"/>
      <c r="B627" s="82"/>
      <c r="C627" s="82"/>
      <c r="D627" s="82"/>
      <c r="F627" s="82"/>
      <c r="G627" s="82"/>
    </row>
    <row r="628" ht="15.75" customHeight="1">
      <c r="A628" s="82"/>
      <c r="B628" s="82"/>
      <c r="C628" s="82"/>
      <c r="D628" s="82"/>
      <c r="F628" s="82"/>
      <c r="G628" s="82"/>
    </row>
    <row r="629" ht="15.75" customHeight="1">
      <c r="A629" s="82"/>
      <c r="B629" s="82"/>
      <c r="C629" s="82"/>
      <c r="D629" s="82"/>
      <c r="F629" s="82"/>
      <c r="G629" s="82"/>
    </row>
    <row r="630" ht="15.75" customHeight="1">
      <c r="A630" s="82"/>
      <c r="B630" s="82"/>
      <c r="C630" s="82"/>
      <c r="D630" s="82"/>
      <c r="F630" s="82"/>
      <c r="G630" s="82"/>
    </row>
    <row r="631" ht="15.75" customHeight="1">
      <c r="A631" s="82"/>
      <c r="B631" s="82"/>
      <c r="C631" s="82"/>
      <c r="D631" s="82"/>
      <c r="F631" s="82"/>
      <c r="G631" s="82"/>
    </row>
    <row r="632" ht="15.75" customHeight="1">
      <c r="A632" s="82"/>
      <c r="B632" s="82"/>
      <c r="C632" s="82"/>
      <c r="D632" s="82"/>
      <c r="F632" s="82"/>
      <c r="G632" s="82"/>
    </row>
    <row r="633" ht="15.75" customHeight="1">
      <c r="A633" s="82"/>
      <c r="B633" s="82"/>
      <c r="C633" s="82"/>
      <c r="D633" s="82"/>
      <c r="F633" s="82"/>
      <c r="G633" s="82"/>
    </row>
    <row r="634" ht="15.75" customHeight="1">
      <c r="A634" s="82"/>
      <c r="B634" s="82"/>
      <c r="C634" s="82"/>
      <c r="D634" s="82"/>
      <c r="F634" s="82"/>
      <c r="G634" s="82"/>
    </row>
    <row r="635" ht="15.75" customHeight="1">
      <c r="A635" s="82"/>
      <c r="B635" s="82"/>
      <c r="C635" s="82"/>
      <c r="D635" s="82"/>
      <c r="F635" s="82"/>
      <c r="G635" s="82"/>
    </row>
    <row r="636" ht="15.75" customHeight="1">
      <c r="A636" s="82"/>
      <c r="B636" s="82"/>
      <c r="C636" s="82"/>
      <c r="D636" s="82"/>
      <c r="F636" s="82"/>
      <c r="G636" s="82"/>
    </row>
    <row r="637" ht="15.75" customHeight="1">
      <c r="A637" s="82"/>
      <c r="B637" s="82"/>
      <c r="C637" s="82"/>
      <c r="D637" s="82"/>
      <c r="F637" s="82"/>
      <c r="G637" s="82"/>
    </row>
    <row r="638" ht="15.75" customHeight="1">
      <c r="A638" s="82"/>
      <c r="B638" s="82"/>
      <c r="C638" s="82"/>
      <c r="D638" s="82"/>
      <c r="F638" s="82"/>
      <c r="G638" s="82"/>
    </row>
    <row r="639" ht="15.75" customHeight="1">
      <c r="A639" s="82"/>
      <c r="B639" s="82"/>
      <c r="C639" s="82"/>
      <c r="D639" s="82"/>
      <c r="F639" s="82"/>
      <c r="G639" s="82"/>
    </row>
    <row r="640" ht="15.75" customHeight="1">
      <c r="A640" s="82"/>
      <c r="B640" s="82"/>
      <c r="C640" s="82"/>
      <c r="D640" s="82"/>
      <c r="F640" s="82"/>
      <c r="G640" s="82"/>
    </row>
    <row r="641" ht="15.75" customHeight="1">
      <c r="A641" s="82"/>
      <c r="B641" s="82"/>
      <c r="C641" s="82"/>
      <c r="D641" s="82"/>
      <c r="F641" s="82"/>
      <c r="G641" s="82"/>
    </row>
    <row r="642" ht="15.75" customHeight="1">
      <c r="A642" s="82"/>
      <c r="B642" s="82"/>
      <c r="C642" s="82"/>
      <c r="D642" s="82"/>
      <c r="F642" s="82"/>
      <c r="G642" s="82"/>
    </row>
    <row r="643" ht="15.75" customHeight="1">
      <c r="A643" s="82"/>
      <c r="B643" s="82"/>
      <c r="C643" s="82"/>
      <c r="D643" s="82"/>
      <c r="F643" s="82"/>
      <c r="G643" s="82"/>
    </row>
    <row r="644" ht="15.75" customHeight="1">
      <c r="A644" s="82"/>
      <c r="B644" s="82"/>
      <c r="C644" s="82"/>
      <c r="D644" s="82"/>
      <c r="F644" s="82"/>
      <c r="G644" s="82"/>
    </row>
    <row r="645" ht="15.75" customHeight="1">
      <c r="A645" s="82"/>
      <c r="B645" s="82"/>
      <c r="C645" s="82"/>
      <c r="D645" s="82"/>
      <c r="F645" s="82"/>
      <c r="G645" s="82"/>
    </row>
    <row r="646" ht="15.75" customHeight="1">
      <c r="A646" s="82"/>
      <c r="B646" s="82"/>
      <c r="C646" s="82"/>
      <c r="D646" s="82"/>
      <c r="F646" s="82"/>
      <c r="G646" s="82"/>
    </row>
    <row r="647" ht="15.75" customHeight="1">
      <c r="A647" s="82"/>
      <c r="B647" s="82"/>
      <c r="C647" s="82"/>
      <c r="D647" s="82"/>
      <c r="F647" s="82"/>
      <c r="G647" s="82"/>
    </row>
    <row r="648" ht="15.75" customHeight="1">
      <c r="A648" s="82"/>
      <c r="B648" s="82"/>
      <c r="C648" s="82"/>
      <c r="D648" s="82"/>
      <c r="F648" s="82"/>
      <c r="G648" s="82"/>
    </row>
    <row r="649" ht="15.75" customHeight="1">
      <c r="A649" s="82"/>
      <c r="B649" s="82"/>
      <c r="C649" s="82"/>
      <c r="D649" s="82"/>
      <c r="F649" s="82"/>
      <c r="G649" s="82"/>
    </row>
    <row r="650" ht="15.75" customHeight="1">
      <c r="A650" s="82"/>
      <c r="B650" s="82"/>
      <c r="C650" s="82"/>
      <c r="D650" s="82"/>
      <c r="F650" s="82"/>
      <c r="G650" s="82"/>
    </row>
    <row r="651" ht="15.75" customHeight="1">
      <c r="A651" s="82"/>
      <c r="B651" s="82"/>
      <c r="C651" s="82"/>
      <c r="D651" s="82"/>
      <c r="F651" s="82"/>
      <c r="G651" s="82"/>
    </row>
    <row r="652" ht="15.75" customHeight="1">
      <c r="A652" s="82"/>
      <c r="B652" s="82"/>
      <c r="C652" s="82"/>
      <c r="D652" s="82"/>
      <c r="F652" s="82"/>
      <c r="G652" s="82"/>
    </row>
    <row r="653" ht="15.75" customHeight="1">
      <c r="A653" s="82"/>
      <c r="B653" s="82"/>
      <c r="C653" s="82"/>
      <c r="D653" s="82"/>
      <c r="F653" s="82"/>
      <c r="G653" s="82"/>
    </row>
    <row r="654" ht="15.75" customHeight="1">
      <c r="A654" s="82"/>
      <c r="B654" s="82"/>
      <c r="C654" s="82"/>
      <c r="D654" s="82"/>
      <c r="F654" s="82"/>
      <c r="G654" s="82"/>
    </row>
    <row r="655" ht="15.75" customHeight="1">
      <c r="A655" s="82"/>
      <c r="B655" s="82"/>
      <c r="C655" s="82"/>
      <c r="D655" s="82"/>
      <c r="F655" s="82"/>
      <c r="G655" s="82"/>
    </row>
    <row r="656" ht="15.75" customHeight="1">
      <c r="A656" s="82"/>
      <c r="B656" s="82"/>
      <c r="C656" s="82"/>
      <c r="D656" s="82"/>
      <c r="F656" s="82"/>
      <c r="G656" s="82"/>
    </row>
    <row r="657" ht="15.75" customHeight="1">
      <c r="A657" s="82"/>
      <c r="B657" s="82"/>
      <c r="C657" s="82"/>
      <c r="D657" s="82"/>
      <c r="F657" s="82"/>
      <c r="G657" s="82"/>
    </row>
    <row r="658" ht="15.75" customHeight="1">
      <c r="A658" s="82"/>
      <c r="B658" s="82"/>
      <c r="C658" s="82"/>
      <c r="D658" s="82"/>
      <c r="F658" s="82"/>
      <c r="G658" s="82"/>
    </row>
    <row r="659" ht="15.75" customHeight="1">
      <c r="A659" s="82"/>
      <c r="B659" s="82"/>
      <c r="C659" s="82"/>
      <c r="D659" s="82"/>
      <c r="F659" s="82"/>
      <c r="G659" s="82"/>
    </row>
    <row r="660" ht="15.75" customHeight="1">
      <c r="A660" s="82"/>
      <c r="B660" s="82"/>
      <c r="C660" s="82"/>
      <c r="D660" s="82"/>
      <c r="F660" s="82"/>
      <c r="G660" s="82"/>
    </row>
    <row r="661" ht="15.75" customHeight="1">
      <c r="A661" s="82"/>
      <c r="B661" s="82"/>
      <c r="C661" s="82"/>
      <c r="D661" s="82"/>
      <c r="F661" s="82"/>
      <c r="G661" s="82"/>
    </row>
    <row r="662" ht="15.75" customHeight="1">
      <c r="A662" s="82"/>
      <c r="B662" s="82"/>
      <c r="C662" s="82"/>
      <c r="D662" s="82"/>
      <c r="F662" s="82"/>
      <c r="G662" s="82"/>
    </row>
    <row r="663" ht="15.75" customHeight="1">
      <c r="A663" s="82"/>
      <c r="B663" s="82"/>
      <c r="C663" s="82"/>
      <c r="D663" s="82"/>
      <c r="F663" s="82"/>
      <c r="G663" s="82"/>
    </row>
    <row r="664" ht="15.75" customHeight="1">
      <c r="A664" s="82"/>
      <c r="B664" s="82"/>
      <c r="C664" s="82"/>
      <c r="D664" s="82"/>
      <c r="F664" s="82"/>
      <c r="G664" s="82"/>
    </row>
    <row r="665" ht="15.75" customHeight="1">
      <c r="A665" s="82"/>
      <c r="B665" s="82"/>
      <c r="C665" s="82"/>
      <c r="D665" s="82"/>
      <c r="F665" s="82"/>
      <c r="G665" s="82"/>
    </row>
    <row r="666" ht="15.75" customHeight="1">
      <c r="A666" s="82"/>
      <c r="B666" s="82"/>
      <c r="C666" s="82"/>
      <c r="D666" s="82"/>
      <c r="F666" s="82"/>
      <c r="G666" s="82"/>
    </row>
    <row r="667" ht="15.75" customHeight="1">
      <c r="A667" s="82"/>
      <c r="B667" s="82"/>
      <c r="C667" s="82"/>
      <c r="D667" s="82"/>
      <c r="F667" s="82"/>
      <c r="G667" s="82"/>
    </row>
    <row r="668" ht="15.75" customHeight="1">
      <c r="A668" s="82"/>
      <c r="B668" s="82"/>
      <c r="C668" s="82"/>
      <c r="D668" s="82"/>
      <c r="F668" s="82"/>
      <c r="G668" s="82"/>
    </row>
    <row r="669" ht="15.75" customHeight="1">
      <c r="A669" s="82"/>
      <c r="B669" s="82"/>
      <c r="C669" s="82"/>
      <c r="D669" s="82"/>
      <c r="F669" s="82"/>
      <c r="G669" s="82"/>
    </row>
    <row r="670" ht="15.75" customHeight="1">
      <c r="A670" s="82"/>
      <c r="B670" s="82"/>
      <c r="C670" s="82"/>
      <c r="D670" s="82"/>
      <c r="F670" s="82"/>
      <c r="G670" s="82"/>
    </row>
    <row r="671" ht="15.75" customHeight="1">
      <c r="A671" s="82"/>
      <c r="B671" s="82"/>
      <c r="C671" s="82"/>
      <c r="D671" s="82"/>
      <c r="F671" s="82"/>
      <c r="G671" s="82"/>
    </row>
    <row r="672" ht="15.75" customHeight="1">
      <c r="A672" s="82"/>
      <c r="B672" s="82"/>
      <c r="C672" s="82"/>
      <c r="D672" s="82"/>
      <c r="F672" s="82"/>
      <c r="G672" s="82"/>
    </row>
    <row r="673" ht="15.75" customHeight="1">
      <c r="A673" s="82"/>
      <c r="B673" s="82"/>
      <c r="C673" s="82"/>
      <c r="D673" s="82"/>
      <c r="F673" s="82"/>
      <c r="G673" s="82"/>
    </row>
    <row r="674" ht="15.75" customHeight="1">
      <c r="A674" s="82"/>
      <c r="B674" s="82"/>
      <c r="C674" s="82"/>
      <c r="D674" s="82"/>
      <c r="F674" s="82"/>
      <c r="G674" s="82"/>
    </row>
    <row r="675" ht="15.75" customHeight="1">
      <c r="A675" s="82"/>
      <c r="B675" s="82"/>
      <c r="C675" s="82"/>
      <c r="D675" s="82"/>
      <c r="F675" s="82"/>
      <c r="G675" s="82"/>
    </row>
    <row r="676" ht="15.75" customHeight="1">
      <c r="A676" s="82"/>
      <c r="B676" s="82"/>
      <c r="C676" s="82"/>
      <c r="D676" s="82"/>
      <c r="F676" s="82"/>
      <c r="G676" s="82"/>
    </row>
    <row r="677" ht="15.75" customHeight="1">
      <c r="A677" s="82"/>
      <c r="B677" s="82"/>
      <c r="C677" s="82"/>
      <c r="D677" s="82"/>
      <c r="F677" s="82"/>
      <c r="G677" s="82"/>
    </row>
    <row r="678" ht="15.75" customHeight="1">
      <c r="A678" s="82"/>
      <c r="B678" s="82"/>
      <c r="C678" s="82"/>
      <c r="D678" s="82"/>
      <c r="F678" s="82"/>
      <c r="G678" s="82"/>
    </row>
    <row r="679" ht="15.75" customHeight="1">
      <c r="A679" s="82"/>
      <c r="B679" s="82"/>
      <c r="C679" s="82"/>
      <c r="D679" s="82"/>
      <c r="F679" s="82"/>
      <c r="G679" s="82"/>
    </row>
    <row r="680" ht="15.75" customHeight="1">
      <c r="A680" s="82"/>
      <c r="B680" s="82"/>
      <c r="C680" s="82"/>
      <c r="D680" s="82"/>
      <c r="F680" s="82"/>
      <c r="G680" s="82"/>
    </row>
    <row r="681" ht="15.75" customHeight="1">
      <c r="A681" s="82"/>
      <c r="B681" s="82"/>
      <c r="C681" s="82"/>
      <c r="D681" s="82"/>
      <c r="F681" s="82"/>
      <c r="G681" s="82"/>
    </row>
    <row r="682" ht="15.75" customHeight="1">
      <c r="A682" s="82"/>
      <c r="B682" s="82"/>
      <c r="C682" s="82"/>
      <c r="D682" s="82"/>
      <c r="F682" s="82"/>
      <c r="G682" s="82"/>
    </row>
    <row r="683" ht="15.75" customHeight="1">
      <c r="A683" s="82"/>
      <c r="B683" s="82"/>
      <c r="C683" s="82"/>
      <c r="D683" s="82"/>
      <c r="F683" s="82"/>
      <c r="G683" s="82"/>
    </row>
    <row r="684" ht="15.75" customHeight="1">
      <c r="A684" s="82"/>
      <c r="B684" s="82"/>
      <c r="C684" s="82"/>
      <c r="D684" s="82"/>
      <c r="F684" s="82"/>
      <c r="G684" s="82"/>
    </row>
    <row r="685" ht="15.75" customHeight="1">
      <c r="A685" s="82"/>
      <c r="B685" s="82"/>
      <c r="C685" s="82"/>
      <c r="D685" s="82"/>
      <c r="F685" s="82"/>
      <c r="G685" s="82"/>
    </row>
    <row r="686" ht="15.75" customHeight="1">
      <c r="A686" s="82"/>
      <c r="B686" s="82"/>
      <c r="C686" s="82"/>
      <c r="D686" s="82"/>
      <c r="F686" s="82"/>
      <c r="G686" s="82"/>
    </row>
    <row r="687" ht="15.75" customHeight="1">
      <c r="A687" s="82"/>
      <c r="B687" s="82"/>
      <c r="C687" s="82"/>
      <c r="D687" s="82"/>
      <c r="F687" s="82"/>
      <c r="G687" s="82"/>
    </row>
    <row r="688" ht="15.75" customHeight="1">
      <c r="A688" s="82"/>
      <c r="B688" s="82"/>
      <c r="C688" s="82"/>
      <c r="D688" s="82"/>
      <c r="F688" s="82"/>
      <c r="G688" s="82"/>
    </row>
    <row r="689" ht="15.75" customHeight="1">
      <c r="A689" s="82"/>
      <c r="B689" s="82"/>
      <c r="C689" s="82"/>
      <c r="D689" s="82"/>
      <c r="F689" s="82"/>
      <c r="G689" s="82"/>
    </row>
    <row r="690" ht="15.75" customHeight="1">
      <c r="A690" s="82"/>
      <c r="B690" s="82"/>
      <c r="C690" s="82"/>
      <c r="D690" s="82"/>
      <c r="F690" s="82"/>
      <c r="G690" s="82"/>
    </row>
    <row r="691" ht="15.75" customHeight="1">
      <c r="A691" s="82"/>
      <c r="B691" s="82"/>
      <c r="C691" s="82"/>
      <c r="D691" s="82"/>
      <c r="F691" s="82"/>
      <c r="G691" s="82"/>
    </row>
    <row r="692" ht="15.75" customHeight="1">
      <c r="A692" s="82"/>
      <c r="B692" s="82"/>
      <c r="C692" s="82"/>
      <c r="D692" s="82"/>
      <c r="F692" s="82"/>
      <c r="G692" s="82"/>
    </row>
    <row r="693" ht="15.75" customHeight="1">
      <c r="A693" s="82"/>
      <c r="B693" s="82"/>
      <c r="C693" s="82"/>
      <c r="D693" s="82"/>
      <c r="F693" s="82"/>
      <c r="G693" s="82"/>
    </row>
    <row r="694" ht="15.75" customHeight="1">
      <c r="A694" s="82"/>
      <c r="B694" s="82"/>
      <c r="C694" s="82"/>
      <c r="D694" s="82"/>
      <c r="F694" s="82"/>
      <c r="G694" s="82"/>
    </row>
    <row r="695" ht="15.75" customHeight="1">
      <c r="A695" s="82"/>
      <c r="B695" s="82"/>
      <c r="C695" s="82"/>
      <c r="D695" s="82"/>
      <c r="F695" s="82"/>
      <c r="G695" s="82"/>
    </row>
    <row r="696" ht="15.75" customHeight="1">
      <c r="A696" s="82"/>
      <c r="B696" s="82"/>
      <c r="C696" s="82"/>
      <c r="D696" s="82"/>
      <c r="F696" s="82"/>
      <c r="G696" s="82"/>
    </row>
    <row r="697" ht="15.75" customHeight="1">
      <c r="A697" s="82"/>
      <c r="B697" s="82"/>
      <c r="C697" s="82"/>
      <c r="D697" s="82"/>
      <c r="F697" s="82"/>
      <c r="G697" s="82"/>
    </row>
    <row r="698" ht="15.75" customHeight="1">
      <c r="A698" s="82"/>
      <c r="B698" s="82"/>
      <c r="C698" s="82"/>
      <c r="D698" s="82"/>
      <c r="F698" s="82"/>
      <c r="G698" s="82"/>
    </row>
    <row r="699" ht="15.75" customHeight="1">
      <c r="A699" s="82"/>
      <c r="B699" s="82"/>
      <c r="C699" s="82"/>
      <c r="D699" s="82"/>
      <c r="F699" s="82"/>
      <c r="G699" s="82"/>
    </row>
    <row r="700" ht="15.75" customHeight="1">
      <c r="A700" s="82"/>
      <c r="B700" s="82"/>
      <c r="C700" s="82"/>
      <c r="D700" s="82"/>
      <c r="F700" s="82"/>
      <c r="G700" s="82"/>
    </row>
    <row r="701" ht="15.75" customHeight="1">
      <c r="A701" s="82"/>
      <c r="B701" s="82"/>
      <c r="C701" s="82"/>
      <c r="D701" s="82"/>
      <c r="F701" s="82"/>
      <c r="G701" s="82"/>
    </row>
    <row r="702" ht="15.75" customHeight="1">
      <c r="A702" s="82"/>
      <c r="B702" s="82"/>
      <c r="C702" s="82"/>
      <c r="D702" s="82"/>
      <c r="F702" s="82"/>
      <c r="G702" s="82"/>
    </row>
    <row r="703" ht="15.75" customHeight="1">
      <c r="A703" s="82"/>
      <c r="B703" s="82"/>
      <c r="C703" s="82"/>
      <c r="D703" s="82"/>
      <c r="F703" s="82"/>
      <c r="G703" s="82"/>
    </row>
    <row r="704" ht="15.75" customHeight="1">
      <c r="A704" s="82"/>
      <c r="B704" s="82"/>
      <c r="C704" s="82"/>
      <c r="D704" s="82"/>
      <c r="F704" s="82"/>
      <c r="G704" s="82"/>
    </row>
    <row r="705" ht="15.75" customHeight="1">
      <c r="A705" s="82"/>
      <c r="B705" s="82"/>
      <c r="C705" s="82"/>
      <c r="D705" s="82"/>
      <c r="F705" s="82"/>
      <c r="G705" s="82"/>
    </row>
    <row r="706" ht="15.75" customHeight="1">
      <c r="A706" s="82"/>
      <c r="B706" s="82"/>
      <c r="C706" s="82"/>
      <c r="D706" s="82"/>
      <c r="F706" s="82"/>
      <c r="G706" s="82"/>
    </row>
    <row r="707" ht="15.75" customHeight="1">
      <c r="A707" s="82"/>
      <c r="B707" s="82"/>
      <c r="C707" s="82"/>
      <c r="D707" s="82"/>
      <c r="F707" s="82"/>
      <c r="G707" s="82"/>
    </row>
    <row r="708" ht="15.75" customHeight="1">
      <c r="A708" s="82"/>
      <c r="B708" s="82"/>
      <c r="C708" s="82"/>
      <c r="D708" s="82"/>
      <c r="F708" s="82"/>
      <c r="G708" s="82"/>
    </row>
    <row r="709" ht="15.75" customHeight="1">
      <c r="A709" s="82"/>
      <c r="B709" s="82"/>
      <c r="C709" s="82"/>
      <c r="D709" s="82"/>
      <c r="F709" s="82"/>
      <c r="G709" s="82"/>
    </row>
    <row r="710" ht="15.75" customHeight="1">
      <c r="A710" s="82"/>
      <c r="B710" s="82"/>
      <c r="C710" s="82"/>
      <c r="D710" s="82"/>
      <c r="F710" s="82"/>
      <c r="G710" s="82"/>
    </row>
    <row r="711" ht="15.75" customHeight="1">
      <c r="A711" s="82"/>
      <c r="B711" s="82"/>
      <c r="C711" s="82"/>
      <c r="D711" s="82"/>
      <c r="F711" s="82"/>
      <c r="G711" s="82"/>
    </row>
    <row r="712" ht="15.75" customHeight="1">
      <c r="A712" s="82"/>
      <c r="B712" s="82"/>
      <c r="C712" s="82"/>
      <c r="D712" s="82"/>
      <c r="F712" s="82"/>
      <c r="G712" s="82"/>
    </row>
    <row r="713" ht="15.75" customHeight="1">
      <c r="A713" s="82"/>
      <c r="B713" s="82"/>
      <c r="C713" s="82"/>
      <c r="D713" s="82"/>
      <c r="F713" s="82"/>
      <c r="G713" s="82"/>
    </row>
    <row r="714" ht="15.75" customHeight="1">
      <c r="A714" s="82"/>
      <c r="B714" s="82"/>
      <c r="C714" s="82"/>
      <c r="D714" s="82"/>
      <c r="F714" s="82"/>
      <c r="G714" s="82"/>
    </row>
    <row r="715" ht="15.75" customHeight="1">
      <c r="A715" s="82"/>
      <c r="B715" s="82"/>
      <c r="C715" s="82"/>
      <c r="D715" s="82"/>
      <c r="F715" s="82"/>
      <c r="G715" s="82"/>
    </row>
    <row r="716" ht="15.75" customHeight="1">
      <c r="A716" s="82"/>
      <c r="B716" s="82"/>
      <c r="C716" s="82"/>
      <c r="D716" s="82"/>
      <c r="F716" s="82"/>
      <c r="G716" s="82"/>
    </row>
    <row r="717" ht="15.75" customHeight="1">
      <c r="A717" s="82"/>
      <c r="B717" s="82"/>
      <c r="C717" s="82"/>
      <c r="D717" s="82"/>
      <c r="F717" s="82"/>
      <c r="G717" s="82"/>
    </row>
    <row r="718" ht="15.75" customHeight="1">
      <c r="A718" s="82"/>
      <c r="B718" s="82"/>
      <c r="C718" s="82"/>
      <c r="D718" s="82"/>
      <c r="F718" s="82"/>
      <c r="G718" s="82"/>
    </row>
    <row r="719" ht="15.75" customHeight="1">
      <c r="A719" s="82"/>
      <c r="B719" s="82"/>
      <c r="C719" s="82"/>
      <c r="D719" s="82"/>
      <c r="F719" s="82"/>
      <c r="G719" s="82"/>
    </row>
    <row r="720" ht="15.75" customHeight="1">
      <c r="A720" s="82"/>
      <c r="B720" s="82"/>
      <c r="C720" s="82"/>
      <c r="D720" s="82"/>
      <c r="F720" s="82"/>
      <c r="G720" s="82"/>
    </row>
    <row r="721" ht="15.75" customHeight="1">
      <c r="A721" s="82"/>
      <c r="B721" s="82"/>
      <c r="C721" s="82"/>
      <c r="D721" s="82"/>
      <c r="F721" s="82"/>
      <c r="G721" s="82"/>
    </row>
    <row r="722" ht="15.75" customHeight="1">
      <c r="A722" s="82"/>
      <c r="B722" s="82"/>
      <c r="C722" s="82"/>
      <c r="D722" s="82"/>
      <c r="F722" s="82"/>
      <c r="G722" s="82"/>
    </row>
    <row r="723" ht="15.75" customHeight="1">
      <c r="A723" s="82"/>
      <c r="B723" s="82"/>
      <c r="C723" s="82"/>
      <c r="D723" s="82"/>
      <c r="F723" s="82"/>
      <c r="G723" s="82"/>
    </row>
    <row r="724" ht="15.75" customHeight="1">
      <c r="A724" s="82"/>
      <c r="B724" s="82"/>
      <c r="C724" s="82"/>
      <c r="D724" s="82"/>
      <c r="F724" s="82"/>
      <c r="G724" s="82"/>
    </row>
    <row r="725" ht="15.75" customHeight="1">
      <c r="A725" s="82"/>
      <c r="B725" s="82"/>
      <c r="C725" s="82"/>
      <c r="D725" s="82"/>
      <c r="F725" s="82"/>
      <c r="G725" s="82"/>
    </row>
    <row r="726" ht="15.75" customHeight="1">
      <c r="A726" s="82"/>
      <c r="B726" s="82"/>
      <c r="C726" s="82"/>
      <c r="D726" s="82"/>
      <c r="F726" s="82"/>
      <c r="G726" s="82"/>
    </row>
    <row r="727" ht="15.75" customHeight="1">
      <c r="A727" s="82"/>
      <c r="B727" s="82"/>
      <c r="C727" s="82"/>
      <c r="D727" s="82"/>
      <c r="F727" s="82"/>
      <c r="G727" s="82"/>
    </row>
    <row r="728" ht="15.75" customHeight="1">
      <c r="A728" s="82"/>
      <c r="B728" s="82"/>
      <c r="C728" s="82"/>
      <c r="D728" s="82"/>
      <c r="F728" s="82"/>
      <c r="G728" s="82"/>
    </row>
    <row r="729" ht="15.75" customHeight="1">
      <c r="A729" s="82"/>
      <c r="B729" s="82"/>
      <c r="C729" s="82"/>
      <c r="D729" s="82"/>
      <c r="F729" s="82"/>
      <c r="G729" s="82"/>
    </row>
    <row r="730" ht="15.75" customHeight="1">
      <c r="A730" s="82"/>
      <c r="B730" s="82"/>
      <c r="C730" s="82"/>
      <c r="D730" s="82"/>
      <c r="F730" s="82"/>
      <c r="G730" s="82"/>
    </row>
    <row r="731" ht="15.75" customHeight="1">
      <c r="A731" s="82"/>
      <c r="B731" s="82"/>
      <c r="C731" s="82"/>
      <c r="D731" s="82"/>
      <c r="F731" s="82"/>
      <c r="G731" s="82"/>
    </row>
    <row r="732" ht="15.75" customHeight="1">
      <c r="A732" s="82"/>
      <c r="B732" s="82"/>
      <c r="C732" s="82"/>
      <c r="D732" s="82"/>
      <c r="F732" s="82"/>
      <c r="G732" s="82"/>
    </row>
    <row r="733" ht="15.75" customHeight="1">
      <c r="A733" s="82"/>
      <c r="B733" s="82"/>
      <c r="C733" s="82"/>
      <c r="D733" s="82"/>
      <c r="F733" s="82"/>
      <c r="G733" s="82"/>
    </row>
    <row r="734" ht="15.75" customHeight="1">
      <c r="A734" s="82"/>
      <c r="B734" s="82"/>
      <c r="C734" s="82"/>
      <c r="D734" s="82"/>
      <c r="F734" s="82"/>
      <c r="G734" s="82"/>
    </row>
    <row r="735" ht="15.75" customHeight="1">
      <c r="A735" s="82"/>
      <c r="B735" s="82"/>
      <c r="C735" s="82"/>
      <c r="D735" s="82"/>
      <c r="F735" s="82"/>
      <c r="G735" s="82"/>
    </row>
    <row r="736" ht="15.75" customHeight="1">
      <c r="A736" s="82"/>
      <c r="B736" s="82"/>
      <c r="C736" s="82"/>
      <c r="D736" s="82"/>
      <c r="F736" s="82"/>
      <c r="G736" s="82"/>
    </row>
    <row r="737" ht="15.75" customHeight="1">
      <c r="A737" s="82"/>
      <c r="B737" s="82"/>
      <c r="C737" s="82"/>
      <c r="D737" s="82"/>
      <c r="F737" s="82"/>
      <c r="G737" s="82"/>
    </row>
    <row r="738" ht="15.75" customHeight="1">
      <c r="A738" s="82"/>
      <c r="B738" s="82"/>
      <c r="C738" s="82"/>
      <c r="D738" s="82"/>
      <c r="F738" s="82"/>
      <c r="G738" s="82"/>
    </row>
    <row r="739" ht="15.75" customHeight="1">
      <c r="A739" s="82"/>
      <c r="B739" s="82"/>
      <c r="C739" s="82"/>
      <c r="D739" s="82"/>
      <c r="F739" s="82"/>
      <c r="G739" s="82"/>
    </row>
    <row r="740" ht="15.75" customHeight="1">
      <c r="A740" s="82"/>
      <c r="B740" s="82"/>
      <c r="C740" s="82"/>
      <c r="D740" s="82"/>
      <c r="F740" s="82"/>
      <c r="G740" s="82"/>
    </row>
    <row r="741" ht="15.75" customHeight="1">
      <c r="A741" s="82"/>
      <c r="B741" s="82"/>
      <c r="C741" s="82"/>
      <c r="D741" s="82"/>
      <c r="F741" s="82"/>
      <c r="G741" s="82"/>
    </row>
    <row r="742" ht="15.75" customHeight="1">
      <c r="A742" s="82"/>
      <c r="B742" s="82"/>
      <c r="C742" s="82"/>
      <c r="D742" s="82"/>
      <c r="F742" s="82"/>
      <c r="G742" s="82"/>
    </row>
    <row r="743" ht="15.75" customHeight="1">
      <c r="A743" s="82"/>
      <c r="B743" s="82"/>
      <c r="C743" s="82"/>
      <c r="D743" s="82"/>
      <c r="F743" s="82"/>
      <c r="G743" s="82"/>
    </row>
    <row r="744" ht="15.75" customHeight="1">
      <c r="A744" s="82"/>
      <c r="B744" s="82"/>
      <c r="C744" s="82"/>
      <c r="D744" s="82"/>
      <c r="F744" s="82"/>
      <c r="G744" s="82"/>
    </row>
    <row r="745" ht="15.75" customHeight="1">
      <c r="A745" s="82"/>
      <c r="B745" s="82"/>
      <c r="C745" s="82"/>
      <c r="D745" s="82"/>
      <c r="F745" s="82"/>
      <c r="G745" s="82"/>
    </row>
    <row r="746" ht="15.75" customHeight="1">
      <c r="A746" s="82"/>
      <c r="B746" s="82"/>
      <c r="C746" s="82"/>
      <c r="D746" s="82"/>
      <c r="F746" s="82"/>
      <c r="G746" s="82"/>
    </row>
    <row r="747" ht="15.75" customHeight="1">
      <c r="A747" s="82"/>
      <c r="B747" s="82"/>
      <c r="C747" s="82"/>
      <c r="D747" s="82"/>
      <c r="F747" s="82"/>
      <c r="G747" s="82"/>
    </row>
    <row r="748" ht="15.75" customHeight="1">
      <c r="A748" s="82"/>
      <c r="B748" s="82"/>
      <c r="C748" s="82"/>
      <c r="D748" s="82"/>
      <c r="F748" s="82"/>
      <c r="G748" s="82"/>
    </row>
    <row r="749" ht="15.75" customHeight="1">
      <c r="A749" s="82"/>
      <c r="B749" s="82"/>
      <c r="C749" s="82"/>
      <c r="D749" s="82"/>
      <c r="F749" s="82"/>
      <c r="G749" s="82"/>
    </row>
    <row r="750" ht="15.75" customHeight="1">
      <c r="A750" s="82"/>
      <c r="B750" s="82"/>
      <c r="C750" s="82"/>
      <c r="D750" s="82"/>
      <c r="F750" s="82"/>
      <c r="G750" s="82"/>
    </row>
    <row r="751" ht="15.75" customHeight="1">
      <c r="A751" s="82"/>
      <c r="B751" s="82"/>
      <c r="C751" s="82"/>
      <c r="D751" s="82"/>
      <c r="F751" s="82"/>
      <c r="G751" s="82"/>
    </row>
    <row r="752" ht="15.75" customHeight="1">
      <c r="A752" s="82"/>
      <c r="B752" s="82"/>
      <c r="C752" s="82"/>
      <c r="D752" s="82"/>
      <c r="F752" s="82"/>
      <c r="G752" s="82"/>
    </row>
    <row r="753" ht="15.75" customHeight="1">
      <c r="A753" s="82"/>
      <c r="B753" s="82"/>
      <c r="C753" s="82"/>
      <c r="D753" s="82"/>
      <c r="F753" s="82"/>
      <c r="G753" s="82"/>
    </row>
    <row r="754" ht="15.75" customHeight="1">
      <c r="A754" s="82"/>
      <c r="B754" s="82"/>
      <c r="C754" s="82"/>
      <c r="D754" s="82"/>
      <c r="F754" s="82"/>
      <c r="G754" s="82"/>
    </row>
    <row r="755" ht="15.75" customHeight="1">
      <c r="A755" s="82"/>
      <c r="B755" s="82"/>
      <c r="C755" s="82"/>
      <c r="D755" s="82"/>
      <c r="F755" s="82"/>
      <c r="G755" s="82"/>
    </row>
    <row r="756" ht="15.75" customHeight="1">
      <c r="A756" s="82"/>
      <c r="B756" s="82"/>
      <c r="C756" s="82"/>
      <c r="D756" s="82"/>
      <c r="F756" s="82"/>
      <c r="G756" s="82"/>
    </row>
    <row r="757" ht="15.75" customHeight="1">
      <c r="A757" s="82"/>
      <c r="B757" s="82"/>
      <c r="C757" s="82"/>
      <c r="D757" s="82"/>
      <c r="F757" s="82"/>
      <c r="G757" s="82"/>
    </row>
    <row r="758" ht="15.75" customHeight="1">
      <c r="A758" s="82"/>
      <c r="B758" s="82"/>
      <c r="C758" s="82"/>
      <c r="D758" s="82"/>
      <c r="F758" s="82"/>
      <c r="G758" s="82"/>
    </row>
    <row r="759" ht="15.75" customHeight="1">
      <c r="A759" s="82"/>
      <c r="B759" s="82"/>
      <c r="C759" s="82"/>
      <c r="D759" s="82"/>
      <c r="F759" s="82"/>
      <c r="G759" s="82"/>
    </row>
    <row r="760" ht="15.75" customHeight="1">
      <c r="A760" s="82"/>
      <c r="B760" s="82"/>
      <c r="C760" s="82"/>
      <c r="D760" s="82"/>
      <c r="F760" s="82"/>
      <c r="G760" s="82"/>
    </row>
    <row r="761" ht="15.75" customHeight="1">
      <c r="A761" s="82"/>
      <c r="B761" s="82"/>
      <c r="C761" s="82"/>
      <c r="D761" s="82"/>
      <c r="F761" s="82"/>
      <c r="G761" s="82"/>
    </row>
    <row r="762" ht="15.75" customHeight="1">
      <c r="A762" s="82"/>
      <c r="B762" s="82"/>
      <c r="C762" s="82"/>
      <c r="D762" s="82"/>
      <c r="F762" s="82"/>
      <c r="G762" s="82"/>
    </row>
    <row r="763" ht="15.75" customHeight="1">
      <c r="A763" s="82"/>
      <c r="B763" s="82"/>
      <c r="C763" s="82"/>
      <c r="D763" s="82"/>
      <c r="F763" s="82"/>
      <c r="G763" s="82"/>
    </row>
    <row r="764" ht="15.75" customHeight="1">
      <c r="A764" s="82"/>
      <c r="B764" s="82"/>
      <c r="C764" s="82"/>
      <c r="D764" s="82"/>
      <c r="F764" s="82"/>
      <c r="G764" s="82"/>
    </row>
    <row r="765" ht="15.75" customHeight="1">
      <c r="A765" s="82"/>
      <c r="B765" s="82"/>
      <c r="C765" s="82"/>
      <c r="D765" s="82"/>
      <c r="F765" s="82"/>
      <c r="G765" s="82"/>
    </row>
    <row r="766" ht="15.75" customHeight="1">
      <c r="A766" s="82"/>
      <c r="B766" s="82"/>
      <c r="C766" s="82"/>
      <c r="D766" s="82"/>
      <c r="F766" s="82"/>
      <c r="G766" s="82"/>
    </row>
    <row r="767" ht="15.75" customHeight="1">
      <c r="A767" s="82"/>
      <c r="B767" s="82"/>
      <c r="C767" s="82"/>
      <c r="D767" s="82"/>
      <c r="F767" s="82"/>
      <c r="G767" s="82"/>
    </row>
    <row r="768" ht="15.75" customHeight="1">
      <c r="A768" s="82"/>
      <c r="B768" s="82"/>
      <c r="C768" s="82"/>
      <c r="D768" s="82"/>
      <c r="F768" s="82"/>
      <c r="G768" s="82"/>
    </row>
    <row r="769" ht="15.75" customHeight="1">
      <c r="A769" s="82"/>
      <c r="B769" s="82"/>
      <c r="C769" s="82"/>
      <c r="D769" s="82"/>
      <c r="F769" s="82"/>
      <c r="G769" s="82"/>
    </row>
    <row r="770" ht="15.75" customHeight="1">
      <c r="A770" s="82"/>
      <c r="B770" s="82"/>
      <c r="C770" s="82"/>
      <c r="D770" s="82"/>
      <c r="F770" s="82"/>
      <c r="G770" s="82"/>
    </row>
    <row r="771" ht="15.75" customHeight="1">
      <c r="A771" s="82"/>
      <c r="B771" s="82"/>
      <c r="C771" s="82"/>
      <c r="D771" s="82"/>
      <c r="F771" s="82"/>
      <c r="G771" s="82"/>
    </row>
    <row r="772" ht="15.75" customHeight="1">
      <c r="A772" s="82"/>
      <c r="B772" s="82"/>
      <c r="C772" s="82"/>
      <c r="D772" s="82"/>
      <c r="F772" s="82"/>
      <c r="G772" s="82"/>
    </row>
    <row r="773" ht="15.75" customHeight="1">
      <c r="A773" s="82"/>
      <c r="B773" s="82"/>
      <c r="C773" s="82"/>
      <c r="D773" s="82"/>
      <c r="F773" s="82"/>
      <c r="G773" s="82"/>
    </row>
    <row r="774" ht="15.75" customHeight="1">
      <c r="A774" s="82"/>
      <c r="B774" s="82"/>
      <c r="C774" s="82"/>
      <c r="D774" s="82"/>
      <c r="F774" s="82"/>
      <c r="G774" s="82"/>
    </row>
    <row r="775" ht="15.75" customHeight="1">
      <c r="A775" s="82"/>
      <c r="B775" s="82"/>
      <c r="C775" s="82"/>
      <c r="D775" s="82"/>
      <c r="F775" s="82"/>
      <c r="G775" s="82"/>
    </row>
    <row r="776" ht="15.75" customHeight="1">
      <c r="A776" s="82"/>
      <c r="B776" s="82"/>
      <c r="C776" s="82"/>
      <c r="D776" s="82"/>
      <c r="F776" s="82"/>
      <c r="G776" s="82"/>
    </row>
    <row r="777" ht="15.75" customHeight="1">
      <c r="A777" s="82"/>
      <c r="B777" s="82"/>
      <c r="C777" s="82"/>
      <c r="D777" s="82"/>
      <c r="F777" s="82"/>
      <c r="G777" s="82"/>
    </row>
    <row r="778" ht="15.75" customHeight="1">
      <c r="A778" s="82"/>
      <c r="B778" s="82"/>
      <c r="C778" s="82"/>
      <c r="D778" s="82"/>
      <c r="F778" s="82"/>
      <c r="G778" s="82"/>
    </row>
    <row r="779" ht="15.75" customHeight="1">
      <c r="A779" s="82"/>
      <c r="B779" s="82"/>
      <c r="C779" s="82"/>
      <c r="D779" s="82"/>
      <c r="F779" s="82"/>
      <c r="G779" s="82"/>
    </row>
    <row r="780" ht="15.75" customHeight="1">
      <c r="A780" s="82"/>
      <c r="B780" s="82"/>
      <c r="C780" s="82"/>
      <c r="D780" s="82"/>
      <c r="F780" s="82"/>
      <c r="G780" s="82"/>
    </row>
    <row r="781" ht="15.75" customHeight="1">
      <c r="A781" s="82"/>
      <c r="B781" s="82"/>
      <c r="C781" s="82"/>
      <c r="D781" s="82"/>
      <c r="F781" s="82"/>
      <c r="G781" s="82"/>
    </row>
    <row r="782" ht="15.75" customHeight="1">
      <c r="A782" s="82"/>
      <c r="B782" s="82"/>
      <c r="C782" s="82"/>
      <c r="D782" s="82"/>
      <c r="F782" s="82"/>
      <c r="G782" s="82"/>
    </row>
    <row r="783" ht="15.75" customHeight="1">
      <c r="A783" s="82"/>
      <c r="B783" s="82"/>
      <c r="C783" s="82"/>
      <c r="D783" s="82"/>
      <c r="F783" s="82"/>
      <c r="G783" s="82"/>
    </row>
    <row r="784" ht="15.75" customHeight="1">
      <c r="A784" s="82"/>
      <c r="B784" s="82"/>
      <c r="C784" s="82"/>
      <c r="D784" s="82"/>
      <c r="F784" s="82"/>
      <c r="G784" s="82"/>
    </row>
    <row r="785" ht="15.75" customHeight="1">
      <c r="A785" s="82"/>
      <c r="B785" s="82"/>
      <c r="C785" s="82"/>
      <c r="D785" s="82"/>
      <c r="F785" s="82"/>
      <c r="G785" s="82"/>
    </row>
    <row r="786" ht="15.75" customHeight="1">
      <c r="A786" s="82"/>
      <c r="B786" s="82"/>
      <c r="C786" s="82"/>
      <c r="D786" s="82"/>
      <c r="F786" s="82"/>
      <c r="G786" s="82"/>
    </row>
    <row r="787" ht="15.75" customHeight="1">
      <c r="A787" s="82"/>
      <c r="B787" s="82"/>
      <c r="C787" s="82"/>
      <c r="D787" s="82"/>
      <c r="F787" s="82"/>
      <c r="G787" s="82"/>
    </row>
    <row r="788" ht="15.75" customHeight="1">
      <c r="A788" s="82"/>
      <c r="B788" s="82"/>
      <c r="C788" s="82"/>
      <c r="D788" s="82"/>
      <c r="F788" s="82"/>
      <c r="G788" s="82"/>
    </row>
    <row r="789" ht="15.75" customHeight="1">
      <c r="A789" s="82"/>
      <c r="B789" s="82"/>
      <c r="C789" s="82"/>
      <c r="D789" s="82"/>
      <c r="F789" s="82"/>
      <c r="G789" s="82"/>
    </row>
    <row r="790" ht="15.75" customHeight="1">
      <c r="A790" s="82"/>
      <c r="B790" s="82"/>
      <c r="C790" s="82"/>
      <c r="D790" s="82"/>
      <c r="F790" s="82"/>
      <c r="G790" s="82"/>
    </row>
    <row r="791" ht="15.75" customHeight="1">
      <c r="A791" s="82"/>
      <c r="B791" s="82"/>
      <c r="C791" s="82"/>
      <c r="D791" s="82"/>
      <c r="F791" s="82"/>
      <c r="G791" s="82"/>
    </row>
    <row r="792" ht="15.75" customHeight="1">
      <c r="A792" s="82"/>
      <c r="B792" s="82"/>
      <c r="C792" s="82"/>
      <c r="D792" s="82"/>
      <c r="F792" s="82"/>
      <c r="G792" s="82"/>
    </row>
    <row r="793" ht="15.75" customHeight="1">
      <c r="A793" s="82"/>
      <c r="B793" s="82"/>
      <c r="C793" s="82"/>
      <c r="D793" s="82"/>
      <c r="F793" s="82"/>
      <c r="G793" s="82"/>
    </row>
    <row r="794" ht="15.75" customHeight="1">
      <c r="A794" s="82"/>
      <c r="B794" s="82"/>
      <c r="C794" s="82"/>
      <c r="D794" s="82"/>
      <c r="F794" s="82"/>
      <c r="G794" s="82"/>
    </row>
    <row r="795" ht="15.75" customHeight="1">
      <c r="A795" s="82"/>
      <c r="B795" s="82"/>
      <c r="C795" s="82"/>
      <c r="D795" s="82"/>
      <c r="F795" s="82"/>
      <c r="G795" s="82"/>
    </row>
    <row r="796" ht="15.75" customHeight="1">
      <c r="A796" s="82"/>
      <c r="B796" s="82"/>
      <c r="C796" s="82"/>
      <c r="D796" s="82"/>
      <c r="F796" s="82"/>
      <c r="G796" s="82"/>
    </row>
    <row r="797" ht="15.75" customHeight="1">
      <c r="A797" s="82"/>
      <c r="B797" s="82"/>
      <c r="C797" s="82"/>
      <c r="D797" s="82"/>
      <c r="F797" s="82"/>
      <c r="G797" s="82"/>
    </row>
    <row r="798" ht="15.75" customHeight="1">
      <c r="A798" s="82"/>
      <c r="B798" s="82"/>
      <c r="C798" s="82"/>
      <c r="D798" s="82"/>
      <c r="F798" s="82"/>
      <c r="G798" s="82"/>
    </row>
    <row r="799" ht="15.75" customHeight="1">
      <c r="A799" s="82"/>
      <c r="B799" s="82"/>
      <c r="C799" s="82"/>
      <c r="D799" s="82"/>
      <c r="F799" s="82"/>
      <c r="G799" s="82"/>
    </row>
    <row r="800" ht="15.75" customHeight="1">
      <c r="A800" s="82"/>
      <c r="B800" s="82"/>
      <c r="C800" s="82"/>
      <c r="D800" s="82"/>
      <c r="F800" s="82"/>
      <c r="G800" s="82"/>
    </row>
    <row r="801" ht="15.75" customHeight="1">
      <c r="A801" s="82"/>
      <c r="B801" s="82"/>
      <c r="C801" s="82"/>
      <c r="D801" s="82"/>
      <c r="F801" s="82"/>
      <c r="G801" s="82"/>
    </row>
    <row r="802" ht="15.75" customHeight="1">
      <c r="A802" s="82"/>
      <c r="B802" s="82"/>
      <c r="C802" s="82"/>
      <c r="D802" s="82"/>
      <c r="F802" s="82"/>
      <c r="G802" s="82"/>
    </row>
    <row r="803" ht="15.75" customHeight="1">
      <c r="A803" s="82"/>
      <c r="B803" s="82"/>
      <c r="C803" s="82"/>
      <c r="D803" s="82"/>
      <c r="F803" s="82"/>
      <c r="G803" s="82"/>
    </row>
    <row r="804" ht="15.75" customHeight="1">
      <c r="A804" s="82"/>
      <c r="B804" s="82"/>
      <c r="C804" s="82"/>
      <c r="D804" s="82"/>
      <c r="F804" s="82"/>
      <c r="G804" s="82"/>
    </row>
    <row r="805" ht="15.75" customHeight="1">
      <c r="A805" s="82"/>
      <c r="B805" s="82"/>
      <c r="C805" s="82"/>
      <c r="D805" s="82"/>
      <c r="F805" s="82"/>
      <c r="G805" s="82"/>
    </row>
    <row r="806" ht="15.75" customHeight="1">
      <c r="A806" s="82"/>
      <c r="B806" s="82"/>
      <c r="C806" s="82"/>
      <c r="D806" s="82"/>
      <c r="F806" s="82"/>
      <c r="G806" s="82"/>
    </row>
    <row r="807" ht="15.75" customHeight="1">
      <c r="A807" s="82"/>
      <c r="B807" s="82"/>
      <c r="C807" s="82"/>
      <c r="D807" s="82"/>
      <c r="F807" s="82"/>
      <c r="G807" s="82"/>
    </row>
    <row r="808" ht="15.75" customHeight="1">
      <c r="A808" s="82"/>
      <c r="B808" s="82"/>
      <c r="C808" s="82"/>
      <c r="D808" s="82"/>
      <c r="F808" s="82"/>
      <c r="G808" s="82"/>
    </row>
    <row r="809" ht="15.75" customHeight="1">
      <c r="A809" s="82"/>
      <c r="B809" s="82"/>
      <c r="C809" s="82"/>
      <c r="D809" s="82"/>
      <c r="F809" s="82"/>
      <c r="G809" s="82"/>
    </row>
    <row r="810" ht="15.75" customHeight="1">
      <c r="A810" s="82"/>
      <c r="B810" s="82"/>
      <c r="C810" s="82"/>
      <c r="D810" s="82"/>
      <c r="F810" s="82"/>
      <c r="G810" s="82"/>
    </row>
    <row r="811" ht="15.75" customHeight="1">
      <c r="A811" s="82"/>
      <c r="B811" s="82"/>
      <c r="C811" s="82"/>
      <c r="D811" s="82"/>
      <c r="F811" s="82"/>
      <c r="G811" s="82"/>
    </row>
    <row r="812" ht="15.75" customHeight="1">
      <c r="A812" s="82"/>
      <c r="B812" s="82"/>
      <c r="C812" s="82"/>
      <c r="D812" s="82"/>
      <c r="F812" s="82"/>
      <c r="G812" s="82"/>
    </row>
    <row r="813" ht="15.75" customHeight="1">
      <c r="A813" s="82"/>
      <c r="B813" s="82"/>
      <c r="C813" s="82"/>
      <c r="D813" s="82"/>
      <c r="F813" s="82"/>
      <c r="G813" s="82"/>
    </row>
    <row r="814" ht="15.75" customHeight="1">
      <c r="A814" s="82"/>
      <c r="B814" s="82"/>
      <c r="C814" s="82"/>
      <c r="D814" s="82"/>
      <c r="F814" s="82"/>
      <c r="G814" s="82"/>
    </row>
    <row r="815" ht="15.75" customHeight="1">
      <c r="A815" s="82"/>
      <c r="B815" s="82"/>
      <c r="C815" s="82"/>
      <c r="D815" s="82"/>
      <c r="F815" s="82"/>
      <c r="G815" s="82"/>
    </row>
    <row r="816" ht="15.75" customHeight="1">
      <c r="A816" s="82"/>
      <c r="B816" s="82"/>
      <c r="C816" s="82"/>
      <c r="D816" s="82"/>
      <c r="F816" s="82"/>
      <c r="G816" s="82"/>
    </row>
    <row r="817" ht="15.75" customHeight="1">
      <c r="A817" s="82"/>
      <c r="B817" s="82"/>
      <c r="C817" s="82"/>
      <c r="D817" s="82"/>
      <c r="F817" s="82"/>
      <c r="G817" s="82"/>
    </row>
    <row r="818" ht="15.75" customHeight="1">
      <c r="A818" s="82"/>
      <c r="B818" s="82"/>
      <c r="C818" s="82"/>
      <c r="D818" s="82"/>
      <c r="F818" s="82"/>
      <c r="G818" s="82"/>
    </row>
    <row r="819" ht="15.75" customHeight="1">
      <c r="A819" s="82"/>
      <c r="B819" s="82"/>
      <c r="C819" s="82"/>
      <c r="D819" s="82"/>
      <c r="F819" s="82"/>
      <c r="G819" s="82"/>
    </row>
    <row r="820" ht="15.75" customHeight="1">
      <c r="A820" s="82"/>
      <c r="B820" s="82"/>
      <c r="C820" s="82"/>
      <c r="D820" s="82"/>
      <c r="F820" s="82"/>
      <c r="G820" s="82"/>
    </row>
    <row r="821" ht="15.75" customHeight="1">
      <c r="A821" s="82"/>
      <c r="B821" s="82"/>
      <c r="C821" s="82"/>
      <c r="D821" s="82"/>
      <c r="F821" s="82"/>
      <c r="G821" s="82"/>
    </row>
    <row r="822" ht="15.75" customHeight="1">
      <c r="A822" s="82"/>
      <c r="B822" s="82"/>
      <c r="C822" s="82"/>
      <c r="D822" s="82"/>
      <c r="F822" s="82"/>
      <c r="G822" s="82"/>
    </row>
    <row r="823" ht="15.75" customHeight="1">
      <c r="A823" s="82"/>
      <c r="B823" s="82"/>
      <c r="C823" s="82"/>
      <c r="D823" s="82"/>
      <c r="F823" s="82"/>
      <c r="G823" s="82"/>
    </row>
    <row r="824" ht="15.75" customHeight="1">
      <c r="A824" s="82"/>
      <c r="B824" s="82"/>
      <c r="C824" s="82"/>
      <c r="D824" s="82"/>
      <c r="F824" s="82"/>
      <c r="G824" s="82"/>
    </row>
    <row r="825" ht="15.75" customHeight="1">
      <c r="A825" s="82"/>
      <c r="B825" s="82"/>
      <c r="C825" s="82"/>
      <c r="D825" s="82"/>
      <c r="F825" s="82"/>
      <c r="G825" s="82"/>
    </row>
    <row r="826" ht="15.75" customHeight="1">
      <c r="A826" s="82"/>
      <c r="B826" s="82"/>
      <c r="C826" s="82"/>
      <c r="D826" s="82"/>
      <c r="F826" s="82"/>
      <c r="G826" s="82"/>
    </row>
    <row r="827" ht="15.75" customHeight="1">
      <c r="A827" s="82"/>
      <c r="B827" s="82"/>
      <c r="C827" s="82"/>
      <c r="D827" s="82"/>
      <c r="F827" s="82"/>
      <c r="G827" s="82"/>
    </row>
    <row r="828" ht="15.75" customHeight="1">
      <c r="A828" s="82"/>
      <c r="B828" s="82"/>
      <c r="C828" s="82"/>
      <c r="D828" s="82"/>
      <c r="F828" s="82"/>
      <c r="G828" s="82"/>
    </row>
    <row r="829" ht="15.75" customHeight="1">
      <c r="A829" s="82"/>
      <c r="B829" s="82"/>
      <c r="C829" s="82"/>
      <c r="D829" s="82"/>
      <c r="F829" s="82"/>
      <c r="G829" s="82"/>
    </row>
    <row r="830" ht="15.75" customHeight="1">
      <c r="A830" s="82"/>
      <c r="B830" s="82"/>
      <c r="C830" s="82"/>
      <c r="D830" s="82"/>
      <c r="F830" s="82"/>
      <c r="G830" s="82"/>
    </row>
    <row r="831" ht="15.75" customHeight="1">
      <c r="A831" s="82"/>
      <c r="B831" s="82"/>
      <c r="C831" s="82"/>
      <c r="D831" s="82"/>
      <c r="F831" s="82"/>
      <c r="G831" s="82"/>
    </row>
    <row r="832" ht="15.75" customHeight="1">
      <c r="A832" s="82"/>
      <c r="B832" s="82"/>
      <c r="C832" s="82"/>
      <c r="D832" s="82"/>
      <c r="F832" s="82"/>
      <c r="G832" s="82"/>
    </row>
    <row r="833" ht="15.75" customHeight="1">
      <c r="A833" s="82"/>
      <c r="B833" s="82"/>
      <c r="C833" s="82"/>
      <c r="D833" s="82"/>
      <c r="F833" s="82"/>
      <c r="G833" s="82"/>
    </row>
    <row r="834" ht="15.75" customHeight="1">
      <c r="A834" s="82"/>
      <c r="B834" s="82"/>
      <c r="C834" s="82"/>
      <c r="D834" s="82"/>
      <c r="F834" s="82"/>
      <c r="G834" s="82"/>
    </row>
    <row r="835" ht="15.75" customHeight="1">
      <c r="A835" s="82"/>
      <c r="B835" s="82"/>
      <c r="C835" s="82"/>
      <c r="D835" s="82"/>
      <c r="F835" s="82"/>
      <c r="G835" s="82"/>
    </row>
    <row r="836" ht="15.75" customHeight="1">
      <c r="A836" s="82"/>
      <c r="B836" s="82"/>
      <c r="C836" s="82"/>
      <c r="D836" s="82"/>
      <c r="F836" s="82"/>
      <c r="G836" s="82"/>
    </row>
    <row r="837" ht="15.75" customHeight="1">
      <c r="A837" s="82"/>
      <c r="B837" s="82"/>
      <c r="C837" s="82"/>
      <c r="D837" s="82"/>
      <c r="F837" s="82"/>
      <c r="G837" s="82"/>
    </row>
    <row r="838" ht="15.75" customHeight="1">
      <c r="A838" s="82"/>
      <c r="B838" s="82"/>
      <c r="C838" s="82"/>
      <c r="D838" s="82"/>
      <c r="F838" s="82"/>
      <c r="G838" s="82"/>
    </row>
    <row r="839" ht="15.75" customHeight="1">
      <c r="A839" s="82"/>
      <c r="B839" s="82"/>
      <c r="C839" s="82"/>
      <c r="D839" s="82"/>
      <c r="F839" s="82"/>
      <c r="G839" s="82"/>
    </row>
    <row r="840" ht="15.75" customHeight="1">
      <c r="A840" s="82"/>
      <c r="B840" s="82"/>
      <c r="C840" s="82"/>
      <c r="D840" s="82"/>
      <c r="F840" s="82"/>
      <c r="G840" s="82"/>
    </row>
    <row r="841" ht="15.75" customHeight="1">
      <c r="A841" s="82"/>
      <c r="B841" s="82"/>
      <c r="C841" s="82"/>
      <c r="D841" s="82"/>
      <c r="F841" s="82"/>
      <c r="G841" s="82"/>
    </row>
    <row r="842" ht="15.75" customHeight="1">
      <c r="A842" s="82"/>
      <c r="B842" s="82"/>
      <c r="C842" s="82"/>
      <c r="D842" s="82"/>
      <c r="F842" s="82"/>
      <c r="G842" s="82"/>
    </row>
    <row r="843" ht="15.75" customHeight="1">
      <c r="A843" s="82"/>
      <c r="B843" s="82"/>
      <c r="C843" s="82"/>
      <c r="D843" s="82"/>
      <c r="F843" s="82"/>
      <c r="G843" s="82"/>
    </row>
    <row r="844" ht="15.75" customHeight="1">
      <c r="A844" s="82"/>
      <c r="B844" s="82"/>
      <c r="C844" s="82"/>
      <c r="D844" s="82"/>
      <c r="F844" s="82"/>
      <c r="G844" s="82"/>
    </row>
    <row r="845" ht="15.75" customHeight="1">
      <c r="A845" s="82"/>
      <c r="B845" s="82"/>
      <c r="C845" s="82"/>
      <c r="D845" s="82"/>
      <c r="F845" s="82"/>
      <c r="G845" s="82"/>
    </row>
    <row r="846" ht="15.75" customHeight="1">
      <c r="A846" s="82"/>
      <c r="B846" s="82"/>
      <c r="C846" s="82"/>
      <c r="D846" s="82"/>
      <c r="F846" s="82"/>
      <c r="G846" s="82"/>
    </row>
    <row r="847" ht="15.75" customHeight="1">
      <c r="A847" s="82"/>
      <c r="B847" s="82"/>
      <c r="C847" s="82"/>
      <c r="D847" s="82"/>
      <c r="F847" s="82"/>
      <c r="G847" s="82"/>
    </row>
    <row r="848" ht="15.75" customHeight="1">
      <c r="A848" s="82"/>
      <c r="B848" s="82"/>
      <c r="C848" s="82"/>
      <c r="D848" s="82"/>
      <c r="F848" s="82"/>
      <c r="G848" s="82"/>
    </row>
    <row r="849" ht="15.75" customHeight="1">
      <c r="A849" s="82"/>
      <c r="B849" s="82"/>
      <c r="C849" s="82"/>
      <c r="D849" s="82"/>
      <c r="F849" s="82"/>
      <c r="G849" s="82"/>
    </row>
    <row r="850" ht="15.75" customHeight="1">
      <c r="A850" s="82"/>
      <c r="B850" s="82"/>
      <c r="C850" s="82"/>
      <c r="D850" s="82"/>
      <c r="F850" s="82"/>
      <c r="G850" s="82"/>
    </row>
    <row r="851" ht="15.75" customHeight="1">
      <c r="A851" s="82"/>
      <c r="B851" s="82"/>
      <c r="C851" s="82"/>
      <c r="D851" s="82"/>
      <c r="F851" s="82"/>
      <c r="G851" s="82"/>
    </row>
    <row r="852" ht="15.75" customHeight="1">
      <c r="A852" s="82"/>
      <c r="B852" s="82"/>
      <c r="C852" s="82"/>
      <c r="D852" s="82"/>
      <c r="F852" s="82"/>
      <c r="G852" s="82"/>
    </row>
    <row r="853" ht="15.75" customHeight="1">
      <c r="A853" s="82"/>
      <c r="B853" s="82"/>
      <c r="C853" s="82"/>
      <c r="D853" s="82"/>
      <c r="F853" s="82"/>
      <c r="G853" s="82"/>
    </row>
    <row r="854" ht="15.75" customHeight="1">
      <c r="A854" s="82"/>
      <c r="B854" s="82"/>
      <c r="C854" s="82"/>
      <c r="D854" s="82"/>
      <c r="F854" s="82"/>
      <c r="G854" s="82"/>
    </row>
    <row r="855" ht="15.75" customHeight="1">
      <c r="A855" s="82"/>
      <c r="B855" s="82"/>
      <c r="C855" s="82"/>
      <c r="D855" s="82"/>
      <c r="F855" s="82"/>
      <c r="G855" s="82"/>
    </row>
    <row r="856" ht="15.75" customHeight="1">
      <c r="A856" s="82"/>
      <c r="B856" s="82"/>
      <c r="C856" s="82"/>
      <c r="D856" s="82"/>
      <c r="F856" s="82"/>
      <c r="G856" s="82"/>
    </row>
    <row r="857" ht="15.75" customHeight="1">
      <c r="A857" s="82"/>
      <c r="B857" s="82"/>
      <c r="C857" s="82"/>
      <c r="D857" s="82"/>
      <c r="F857" s="82"/>
      <c r="G857" s="82"/>
    </row>
    <row r="858" ht="15.75" customHeight="1">
      <c r="A858" s="82"/>
      <c r="B858" s="82"/>
      <c r="C858" s="82"/>
      <c r="D858" s="82"/>
      <c r="F858" s="82"/>
      <c r="G858" s="82"/>
    </row>
    <row r="859" ht="15.75" customHeight="1">
      <c r="A859" s="82"/>
      <c r="B859" s="82"/>
      <c r="C859" s="82"/>
      <c r="D859" s="82"/>
      <c r="F859" s="82"/>
      <c r="G859" s="82"/>
    </row>
    <row r="860" ht="15.75" customHeight="1">
      <c r="A860" s="82"/>
      <c r="B860" s="82"/>
      <c r="C860" s="82"/>
      <c r="D860" s="82"/>
      <c r="F860" s="82"/>
      <c r="G860" s="82"/>
    </row>
    <row r="861" ht="15.75" customHeight="1">
      <c r="A861" s="82"/>
      <c r="B861" s="82"/>
      <c r="C861" s="82"/>
      <c r="D861" s="82"/>
      <c r="F861" s="82"/>
      <c r="G861" s="82"/>
    </row>
    <row r="862" ht="15.75" customHeight="1">
      <c r="A862" s="82"/>
      <c r="B862" s="82"/>
      <c r="C862" s="82"/>
      <c r="D862" s="82"/>
      <c r="F862" s="82"/>
      <c r="G862" s="82"/>
    </row>
    <row r="863" ht="15.75" customHeight="1">
      <c r="A863" s="82"/>
      <c r="B863" s="82"/>
      <c r="C863" s="82"/>
      <c r="D863" s="82"/>
      <c r="F863" s="82"/>
      <c r="G863" s="82"/>
    </row>
    <row r="864" ht="15.75" customHeight="1">
      <c r="A864" s="82"/>
      <c r="B864" s="82"/>
      <c r="C864" s="82"/>
      <c r="D864" s="82"/>
      <c r="F864" s="82"/>
      <c r="G864" s="82"/>
    </row>
    <row r="865" ht="15.75" customHeight="1">
      <c r="A865" s="82"/>
      <c r="B865" s="82"/>
      <c r="C865" s="82"/>
      <c r="D865" s="82"/>
      <c r="F865" s="82"/>
      <c r="G865" s="82"/>
    </row>
    <row r="866" ht="15.75" customHeight="1">
      <c r="A866" s="82"/>
      <c r="B866" s="82"/>
      <c r="C866" s="82"/>
      <c r="D866" s="82"/>
      <c r="F866" s="82"/>
      <c r="G866" s="82"/>
    </row>
    <row r="867" ht="15.75" customHeight="1">
      <c r="A867" s="82"/>
      <c r="B867" s="82"/>
      <c r="C867" s="82"/>
      <c r="D867" s="82"/>
      <c r="F867" s="82"/>
      <c r="G867" s="82"/>
    </row>
    <row r="868" ht="15.75" customHeight="1">
      <c r="A868" s="82"/>
      <c r="B868" s="82"/>
      <c r="C868" s="82"/>
      <c r="D868" s="82"/>
      <c r="F868" s="82"/>
      <c r="G868" s="82"/>
    </row>
    <row r="869" ht="15.75" customHeight="1">
      <c r="A869" s="82"/>
      <c r="B869" s="82"/>
      <c r="C869" s="82"/>
      <c r="D869" s="82"/>
      <c r="F869" s="82"/>
      <c r="G869" s="82"/>
    </row>
    <row r="870" ht="15.75" customHeight="1">
      <c r="A870" s="82"/>
      <c r="B870" s="82"/>
      <c r="C870" s="82"/>
      <c r="D870" s="82"/>
      <c r="F870" s="82"/>
      <c r="G870" s="82"/>
    </row>
    <row r="871" ht="15.75" customHeight="1">
      <c r="A871" s="82"/>
      <c r="B871" s="82"/>
      <c r="C871" s="82"/>
      <c r="D871" s="82"/>
      <c r="F871" s="82"/>
      <c r="G871" s="82"/>
    </row>
    <row r="872" ht="15.75" customHeight="1">
      <c r="A872" s="82"/>
      <c r="B872" s="82"/>
      <c r="C872" s="82"/>
      <c r="D872" s="82"/>
      <c r="F872" s="82"/>
      <c r="G872" s="82"/>
    </row>
    <row r="873" ht="15.75" customHeight="1">
      <c r="A873" s="82"/>
      <c r="B873" s="82"/>
      <c r="C873" s="82"/>
      <c r="D873" s="82"/>
      <c r="F873" s="82"/>
      <c r="G873" s="82"/>
    </row>
    <row r="874" ht="15.75" customHeight="1">
      <c r="A874" s="82"/>
      <c r="B874" s="82"/>
      <c r="C874" s="82"/>
      <c r="D874" s="82"/>
      <c r="F874" s="82"/>
      <c r="G874" s="82"/>
    </row>
    <row r="875" ht="15.75" customHeight="1">
      <c r="A875" s="82"/>
      <c r="B875" s="82"/>
      <c r="C875" s="82"/>
      <c r="D875" s="82"/>
      <c r="F875" s="82"/>
      <c r="G875" s="82"/>
    </row>
    <row r="876" ht="15.75" customHeight="1">
      <c r="A876" s="82"/>
      <c r="B876" s="82"/>
      <c r="C876" s="82"/>
      <c r="D876" s="82"/>
      <c r="F876" s="82"/>
      <c r="G876" s="82"/>
    </row>
    <row r="877" ht="15.75" customHeight="1">
      <c r="A877" s="82"/>
      <c r="B877" s="82"/>
      <c r="C877" s="82"/>
      <c r="D877" s="82"/>
      <c r="F877" s="82"/>
      <c r="G877" s="82"/>
    </row>
    <row r="878" ht="15.75" customHeight="1">
      <c r="A878" s="82"/>
      <c r="B878" s="82"/>
      <c r="C878" s="82"/>
      <c r="D878" s="82"/>
      <c r="F878" s="82"/>
      <c r="G878" s="82"/>
    </row>
    <row r="879" ht="15.75" customHeight="1">
      <c r="A879" s="82"/>
      <c r="B879" s="82"/>
      <c r="C879" s="82"/>
      <c r="D879" s="82"/>
      <c r="F879" s="82"/>
      <c r="G879" s="82"/>
    </row>
    <row r="880" ht="15.75" customHeight="1">
      <c r="A880" s="82"/>
      <c r="B880" s="82"/>
      <c r="C880" s="82"/>
      <c r="D880" s="82"/>
      <c r="F880" s="82"/>
      <c r="G880" s="82"/>
    </row>
    <row r="881" ht="15.75" customHeight="1">
      <c r="A881" s="82"/>
      <c r="B881" s="82"/>
      <c r="C881" s="82"/>
      <c r="D881" s="82"/>
      <c r="F881" s="82"/>
      <c r="G881" s="82"/>
    </row>
    <row r="882" ht="15.75" customHeight="1">
      <c r="A882" s="82"/>
      <c r="B882" s="82"/>
      <c r="C882" s="82"/>
      <c r="D882" s="82"/>
      <c r="F882" s="82"/>
      <c r="G882" s="82"/>
    </row>
    <row r="883" ht="15.75" customHeight="1">
      <c r="A883" s="82"/>
      <c r="B883" s="82"/>
      <c r="C883" s="82"/>
      <c r="D883" s="82"/>
      <c r="F883" s="82"/>
      <c r="G883" s="82"/>
    </row>
    <row r="884" ht="15.75" customHeight="1">
      <c r="A884" s="82"/>
      <c r="B884" s="82"/>
      <c r="C884" s="82"/>
      <c r="D884" s="82"/>
      <c r="F884" s="82"/>
      <c r="G884" s="82"/>
    </row>
    <row r="885" ht="15.75" customHeight="1">
      <c r="A885" s="82"/>
      <c r="B885" s="82"/>
      <c r="C885" s="82"/>
      <c r="D885" s="82"/>
      <c r="F885" s="82"/>
      <c r="G885" s="82"/>
    </row>
    <row r="886" ht="15.75" customHeight="1">
      <c r="A886" s="82"/>
      <c r="B886" s="82"/>
      <c r="C886" s="82"/>
      <c r="D886" s="82"/>
      <c r="F886" s="82"/>
      <c r="G886" s="82"/>
    </row>
    <row r="887" ht="15.75" customHeight="1">
      <c r="A887" s="82"/>
      <c r="B887" s="82"/>
      <c r="C887" s="82"/>
      <c r="D887" s="82"/>
      <c r="F887" s="82"/>
      <c r="G887" s="82"/>
    </row>
    <row r="888" ht="15.75" customHeight="1">
      <c r="A888" s="82"/>
      <c r="B888" s="82"/>
      <c r="C888" s="82"/>
      <c r="D888" s="82"/>
      <c r="F888" s="82"/>
      <c r="G888" s="82"/>
    </row>
    <row r="889" ht="15.75" customHeight="1">
      <c r="A889" s="82"/>
      <c r="B889" s="82"/>
      <c r="C889" s="82"/>
      <c r="D889" s="82"/>
      <c r="F889" s="82"/>
      <c r="G889" s="82"/>
    </row>
    <row r="890" ht="15.75" customHeight="1">
      <c r="A890" s="82"/>
      <c r="B890" s="82"/>
      <c r="C890" s="82"/>
      <c r="D890" s="82"/>
      <c r="F890" s="82"/>
      <c r="G890" s="82"/>
    </row>
    <row r="891" ht="15.75" customHeight="1">
      <c r="A891" s="82"/>
      <c r="B891" s="82"/>
      <c r="C891" s="82"/>
      <c r="D891" s="82"/>
      <c r="F891" s="82"/>
      <c r="G891" s="82"/>
    </row>
    <row r="892" ht="15.75" customHeight="1">
      <c r="A892" s="82"/>
      <c r="B892" s="82"/>
      <c r="C892" s="82"/>
      <c r="D892" s="82"/>
      <c r="F892" s="82"/>
      <c r="G892" s="82"/>
    </row>
    <row r="893" ht="15.75" customHeight="1">
      <c r="A893" s="82"/>
      <c r="B893" s="82"/>
      <c r="C893" s="82"/>
      <c r="D893" s="82"/>
      <c r="F893" s="82"/>
      <c r="G893" s="82"/>
    </row>
    <row r="894" ht="15.75" customHeight="1">
      <c r="A894" s="82"/>
      <c r="B894" s="82"/>
      <c r="C894" s="82"/>
      <c r="D894" s="82"/>
      <c r="F894" s="82"/>
      <c r="G894" s="82"/>
    </row>
    <row r="895" ht="15.75" customHeight="1">
      <c r="A895" s="82"/>
      <c r="B895" s="82"/>
      <c r="C895" s="82"/>
      <c r="D895" s="82"/>
      <c r="F895" s="82"/>
      <c r="G895" s="82"/>
    </row>
    <row r="896" ht="15.75" customHeight="1">
      <c r="A896" s="82"/>
      <c r="B896" s="82"/>
      <c r="C896" s="82"/>
      <c r="D896" s="82"/>
      <c r="F896" s="82"/>
      <c r="G896" s="82"/>
    </row>
    <row r="897" ht="15.75" customHeight="1">
      <c r="A897" s="82"/>
      <c r="B897" s="82"/>
      <c r="C897" s="82"/>
      <c r="D897" s="82"/>
      <c r="F897" s="82"/>
      <c r="G897" s="82"/>
    </row>
    <row r="898" ht="15.75" customHeight="1">
      <c r="A898" s="82"/>
      <c r="B898" s="82"/>
      <c r="C898" s="82"/>
      <c r="D898" s="82"/>
      <c r="F898" s="82"/>
      <c r="G898" s="82"/>
    </row>
    <row r="899" ht="15.75" customHeight="1">
      <c r="A899" s="82"/>
      <c r="B899" s="82"/>
      <c r="C899" s="82"/>
      <c r="D899" s="82"/>
      <c r="F899" s="82"/>
      <c r="G899" s="82"/>
    </row>
    <row r="900" ht="15.75" customHeight="1">
      <c r="A900" s="82"/>
      <c r="B900" s="82"/>
      <c r="C900" s="82"/>
      <c r="D900" s="82"/>
      <c r="F900" s="82"/>
      <c r="G900" s="82"/>
    </row>
    <row r="901" ht="15.75" customHeight="1">
      <c r="A901" s="82"/>
      <c r="B901" s="82"/>
      <c r="C901" s="82"/>
      <c r="D901" s="82"/>
      <c r="F901" s="82"/>
      <c r="G901" s="82"/>
    </row>
    <row r="902" ht="15.75" customHeight="1">
      <c r="A902" s="82"/>
      <c r="B902" s="82"/>
      <c r="C902" s="82"/>
      <c r="D902" s="82"/>
      <c r="F902" s="82"/>
      <c r="G902" s="82"/>
    </row>
    <row r="903" ht="15.75" customHeight="1">
      <c r="A903" s="82"/>
      <c r="B903" s="82"/>
      <c r="C903" s="82"/>
      <c r="D903" s="82"/>
      <c r="F903" s="82"/>
      <c r="G903" s="82"/>
    </row>
    <row r="904" ht="15.75" customHeight="1">
      <c r="A904" s="82"/>
      <c r="B904" s="82"/>
      <c r="C904" s="82"/>
      <c r="D904" s="82"/>
      <c r="F904" s="82"/>
      <c r="G904" s="82"/>
    </row>
    <row r="905" ht="15.75" customHeight="1">
      <c r="A905" s="82"/>
      <c r="B905" s="82"/>
      <c r="C905" s="82"/>
      <c r="D905" s="82"/>
      <c r="F905" s="82"/>
      <c r="G905" s="82"/>
    </row>
    <row r="906" ht="15.75" customHeight="1">
      <c r="A906" s="82"/>
      <c r="B906" s="82"/>
      <c r="C906" s="82"/>
      <c r="D906" s="82"/>
      <c r="F906" s="82"/>
      <c r="G906" s="82"/>
    </row>
    <row r="907" ht="15.75" customHeight="1">
      <c r="A907" s="82"/>
      <c r="B907" s="82"/>
      <c r="C907" s="82"/>
      <c r="D907" s="82"/>
      <c r="F907" s="82"/>
      <c r="G907" s="82"/>
    </row>
    <row r="908" ht="15.75" customHeight="1">
      <c r="A908" s="82"/>
      <c r="B908" s="82"/>
      <c r="C908" s="82"/>
      <c r="D908" s="82"/>
      <c r="F908" s="82"/>
      <c r="G908" s="82"/>
    </row>
    <row r="909" ht="15.75" customHeight="1">
      <c r="A909" s="82"/>
      <c r="B909" s="82"/>
      <c r="C909" s="82"/>
      <c r="D909" s="82"/>
      <c r="F909" s="82"/>
      <c r="G909" s="82"/>
    </row>
    <row r="910" ht="15.75" customHeight="1">
      <c r="A910" s="82"/>
      <c r="B910" s="82"/>
      <c r="C910" s="82"/>
      <c r="D910" s="82"/>
      <c r="F910" s="82"/>
      <c r="G910" s="82"/>
    </row>
    <row r="911" ht="15.75" customHeight="1">
      <c r="A911" s="82"/>
      <c r="B911" s="82"/>
      <c r="C911" s="82"/>
      <c r="D911" s="82"/>
      <c r="F911" s="82"/>
      <c r="G911" s="82"/>
    </row>
    <row r="912" ht="15.75" customHeight="1">
      <c r="A912" s="82"/>
      <c r="B912" s="82"/>
      <c r="C912" s="82"/>
      <c r="D912" s="82"/>
      <c r="F912" s="82"/>
      <c r="G912" s="82"/>
    </row>
    <row r="913" ht="15.75" customHeight="1">
      <c r="A913" s="82"/>
      <c r="B913" s="82"/>
      <c r="C913" s="82"/>
      <c r="D913" s="82"/>
      <c r="F913" s="82"/>
      <c r="G913" s="82"/>
    </row>
    <row r="914" ht="15.75" customHeight="1">
      <c r="A914" s="82"/>
      <c r="B914" s="82"/>
      <c r="C914" s="82"/>
      <c r="D914" s="82"/>
      <c r="F914" s="82"/>
      <c r="G914" s="82"/>
    </row>
    <row r="915" ht="15.75" customHeight="1">
      <c r="A915" s="82"/>
      <c r="B915" s="82"/>
      <c r="C915" s="82"/>
      <c r="D915" s="82"/>
      <c r="F915" s="82"/>
      <c r="G915" s="82"/>
    </row>
    <row r="916" ht="15.75" customHeight="1">
      <c r="A916" s="82"/>
      <c r="B916" s="82"/>
      <c r="C916" s="82"/>
      <c r="D916" s="82"/>
      <c r="F916" s="82"/>
      <c r="G916" s="82"/>
    </row>
    <row r="917" ht="15.75" customHeight="1">
      <c r="A917" s="82"/>
      <c r="B917" s="82"/>
      <c r="C917" s="82"/>
      <c r="D917" s="82"/>
      <c r="F917" s="82"/>
      <c r="G917" s="82"/>
    </row>
    <row r="918" ht="15.75" customHeight="1">
      <c r="A918" s="82"/>
      <c r="B918" s="82"/>
      <c r="C918" s="82"/>
      <c r="D918" s="82"/>
      <c r="F918" s="82"/>
      <c r="G918" s="82"/>
    </row>
    <row r="919" ht="15.75" customHeight="1">
      <c r="A919" s="82"/>
      <c r="B919" s="82"/>
      <c r="C919" s="82"/>
      <c r="D919" s="82"/>
      <c r="F919" s="82"/>
      <c r="G919" s="82"/>
    </row>
    <row r="920" ht="15.75" customHeight="1">
      <c r="A920" s="82"/>
      <c r="B920" s="82"/>
      <c r="C920" s="82"/>
      <c r="D920" s="82"/>
      <c r="F920" s="82"/>
      <c r="G920" s="82"/>
    </row>
    <row r="921" ht="15.75" customHeight="1">
      <c r="A921" s="82"/>
      <c r="B921" s="82"/>
      <c r="C921" s="82"/>
      <c r="D921" s="82"/>
      <c r="F921" s="82"/>
      <c r="G921" s="82"/>
    </row>
    <row r="922" ht="15.75" customHeight="1">
      <c r="A922" s="82"/>
      <c r="B922" s="82"/>
      <c r="C922" s="82"/>
      <c r="D922" s="82"/>
      <c r="F922" s="82"/>
      <c r="G922" s="82"/>
    </row>
    <row r="923" ht="15.75" customHeight="1">
      <c r="A923" s="82"/>
      <c r="B923" s="82"/>
      <c r="C923" s="82"/>
      <c r="D923" s="82"/>
      <c r="F923" s="82"/>
      <c r="G923" s="82"/>
    </row>
    <row r="924" ht="15.75" customHeight="1">
      <c r="A924" s="82"/>
      <c r="B924" s="82"/>
      <c r="C924" s="82"/>
      <c r="D924" s="82"/>
      <c r="F924" s="82"/>
      <c r="G924" s="82"/>
    </row>
    <row r="925" ht="15.75" customHeight="1">
      <c r="A925" s="82"/>
      <c r="B925" s="82"/>
      <c r="C925" s="82"/>
      <c r="D925" s="82"/>
      <c r="F925" s="82"/>
      <c r="G925" s="82"/>
    </row>
    <row r="926" ht="15.75" customHeight="1">
      <c r="A926" s="82"/>
      <c r="B926" s="82"/>
      <c r="C926" s="82"/>
      <c r="D926" s="82"/>
      <c r="F926" s="82"/>
      <c r="G926" s="82"/>
    </row>
    <row r="927" ht="15.75" customHeight="1">
      <c r="A927" s="82"/>
      <c r="B927" s="82"/>
      <c r="C927" s="82"/>
      <c r="D927" s="82"/>
      <c r="F927" s="82"/>
      <c r="G927" s="82"/>
    </row>
    <row r="928" ht="15.75" customHeight="1">
      <c r="A928" s="82"/>
      <c r="B928" s="82"/>
      <c r="C928" s="82"/>
      <c r="D928" s="82"/>
      <c r="F928" s="82"/>
      <c r="G928" s="82"/>
    </row>
    <row r="929" ht="15.75" customHeight="1">
      <c r="A929" s="82"/>
      <c r="B929" s="82"/>
      <c r="C929" s="82"/>
      <c r="D929" s="82"/>
      <c r="F929" s="82"/>
      <c r="G929" s="82"/>
    </row>
    <row r="930" ht="15.75" customHeight="1">
      <c r="A930" s="82"/>
      <c r="B930" s="82"/>
      <c r="C930" s="82"/>
      <c r="D930" s="82"/>
      <c r="F930" s="82"/>
      <c r="G930" s="82"/>
    </row>
    <row r="931" ht="15.75" customHeight="1">
      <c r="A931" s="82"/>
      <c r="B931" s="82"/>
      <c r="C931" s="82"/>
      <c r="D931" s="82"/>
      <c r="F931" s="82"/>
      <c r="G931" s="82"/>
    </row>
    <row r="932" ht="15.75" customHeight="1">
      <c r="A932" s="82"/>
      <c r="B932" s="82"/>
      <c r="C932" s="82"/>
      <c r="D932" s="82"/>
      <c r="F932" s="82"/>
      <c r="G932" s="82"/>
    </row>
    <row r="933" ht="15.75" customHeight="1">
      <c r="A933" s="82"/>
      <c r="B933" s="82"/>
      <c r="C933" s="82"/>
      <c r="D933" s="82"/>
      <c r="F933" s="82"/>
      <c r="G933" s="82"/>
    </row>
    <row r="934" ht="15.75" customHeight="1">
      <c r="A934" s="82"/>
      <c r="B934" s="82"/>
      <c r="C934" s="82"/>
      <c r="D934" s="82"/>
      <c r="F934" s="82"/>
      <c r="G934" s="82"/>
    </row>
    <row r="935" ht="15.75" customHeight="1">
      <c r="A935" s="82"/>
      <c r="B935" s="82"/>
      <c r="C935" s="82"/>
      <c r="D935" s="82"/>
      <c r="F935" s="82"/>
      <c r="G935" s="82"/>
    </row>
    <row r="936" ht="15.75" customHeight="1">
      <c r="A936" s="82"/>
      <c r="B936" s="82"/>
      <c r="C936" s="82"/>
      <c r="D936" s="82"/>
      <c r="F936" s="82"/>
      <c r="G936" s="82"/>
    </row>
    <row r="937" ht="15.75" customHeight="1">
      <c r="A937" s="82"/>
      <c r="B937" s="82"/>
      <c r="C937" s="82"/>
      <c r="D937" s="82"/>
      <c r="F937" s="82"/>
      <c r="G937" s="82"/>
    </row>
    <row r="938" ht="15.75" customHeight="1">
      <c r="A938" s="82"/>
      <c r="B938" s="82"/>
      <c r="C938" s="82"/>
      <c r="D938" s="82"/>
      <c r="F938" s="82"/>
      <c r="G938" s="82"/>
    </row>
    <row r="939" ht="15.75" customHeight="1">
      <c r="A939" s="82"/>
      <c r="B939" s="82"/>
      <c r="C939" s="82"/>
      <c r="D939" s="82"/>
      <c r="F939" s="82"/>
      <c r="G939" s="82"/>
    </row>
    <row r="940" ht="15.75" customHeight="1">
      <c r="A940" s="82"/>
      <c r="B940" s="82"/>
      <c r="C940" s="82"/>
      <c r="D940" s="82"/>
      <c r="F940" s="82"/>
      <c r="G940" s="82"/>
    </row>
    <row r="941" ht="15.75" customHeight="1">
      <c r="A941" s="82"/>
      <c r="B941" s="82"/>
      <c r="C941" s="82"/>
      <c r="D941" s="82"/>
      <c r="F941" s="82"/>
      <c r="G941" s="82"/>
    </row>
    <row r="942" ht="15.75" customHeight="1">
      <c r="A942" s="82"/>
      <c r="B942" s="82"/>
      <c r="C942" s="82"/>
      <c r="D942" s="82"/>
      <c r="F942" s="82"/>
      <c r="G942" s="82"/>
    </row>
    <row r="943" ht="15.75" customHeight="1">
      <c r="A943" s="82"/>
      <c r="B943" s="82"/>
      <c r="C943" s="82"/>
      <c r="D943" s="82"/>
      <c r="F943" s="82"/>
      <c r="G943" s="82"/>
    </row>
    <row r="944" ht="15.75" customHeight="1">
      <c r="A944" s="82"/>
      <c r="B944" s="82"/>
      <c r="C944" s="82"/>
      <c r="D944" s="82"/>
      <c r="F944" s="82"/>
      <c r="G944" s="82"/>
    </row>
    <row r="945" ht="15.75" customHeight="1">
      <c r="A945" s="82"/>
      <c r="B945" s="82"/>
      <c r="C945" s="82"/>
      <c r="D945" s="82"/>
      <c r="F945" s="82"/>
      <c r="G945" s="82"/>
    </row>
    <row r="946" ht="15.75" customHeight="1">
      <c r="A946" s="82"/>
      <c r="B946" s="82"/>
      <c r="C946" s="82"/>
      <c r="D946" s="82"/>
      <c r="F946" s="82"/>
      <c r="G946" s="82"/>
    </row>
    <row r="947" ht="15.75" customHeight="1">
      <c r="A947" s="82"/>
      <c r="B947" s="82"/>
      <c r="C947" s="82"/>
      <c r="D947" s="82"/>
      <c r="F947" s="82"/>
      <c r="G947" s="82"/>
    </row>
    <row r="948" ht="15.75" customHeight="1">
      <c r="A948" s="82"/>
      <c r="B948" s="82"/>
      <c r="C948" s="82"/>
      <c r="D948" s="82"/>
      <c r="F948" s="82"/>
      <c r="G948" s="82"/>
    </row>
    <row r="949" ht="15.75" customHeight="1">
      <c r="A949" s="82"/>
      <c r="B949" s="82"/>
      <c r="C949" s="82"/>
      <c r="D949" s="82"/>
      <c r="F949" s="82"/>
      <c r="G949" s="82"/>
    </row>
    <row r="950" ht="15.75" customHeight="1">
      <c r="A950" s="82"/>
      <c r="B950" s="82"/>
      <c r="C950" s="82"/>
      <c r="D950" s="82"/>
      <c r="F950" s="82"/>
      <c r="G950" s="82"/>
    </row>
    <row r="951" ht="15.75" customHeight="1">
      <c r="A951" s="82"/>
      <c r="B951" s="82"/>
      <c r="C951" s="82"/>
      <c r="D951" s="82"/>
      <c r="F951" s="82"/>
      <c r="G951" s="82"/>
    </row>
    <row r="952" ht="15.75" customHeight="1">
      <c r="A952" s="82"/>
      <c r="B952" s="82"/>
      <c r="C952" s="82"/>
      <c r="D952" s="82"/>
      <c r="F952" s="82"/>
      <c r="G952" s="82"/>
    </row>
    <row r="953" ht="15.75" customHeight="1">
      <c r="A953" s="82"/>
      <c r="B953" s="82"/>
      <c r="C953" s="82"/>
      <c r="D953" s="82"/>
      <c r="F953" s="82"/>
      <c r="G953" s="82"/>
    </row>
    <row r="954" ht="15.75" customHeight="1">
      <c r="A954" s="82"/>
      <c r="B954" s="82"/>
      <c r="C954" s="82"/>
      <c r="D954" s="82"/>
      <c r="F954" s="82"/>
      <c r="G954" s="82"/>
    </row>
    <row r="955" ht="15.75" customHeight="1">
      <c r="A955" s="82"/>
      <c r="B955" s="82"/>
      <c r="C955" s="82"/>
      <c r="D955" s="82"/>
      <c r="F955" s="82"/>
      <c r="G955" s="82"/>
    </row>
    <row r="956" ht="15.75" customHeight="1">
      <c r="A956" s="82"/>
      <c r="B956" s="82"/>
      <c r="C956" s="82"/>
      <c r="D956" s="82"/>
      <c r="F956" s="82"/>
      <c r="G956" s="82"/>
    </row>
    <row r="957" ht="15.75" customHeight="1">
      <c r="A957" s="82"/>
      <c r="B957" s="82"/>
      <c r="C957" s="82"/>
      <c r="D957" s="82"/>
      <c r="F957" s="82"/>
      <c r="G957" s="82"/>
    </row>
    <row r="958" ht="15.75" customHeight="1">
      <c r="A958" s="82"/>
      <c r="B958" s="82"/>
      <c r="C958" s="82"/>
      <c r="D958" s="82"/>
      <c r="F958" s="82"/>
      <c r="G958" s="82"/>
    </row>
    <row r="959" ht="15.75" customHeight="1">
      <c r="A959" s="82"/>
      <c r="B959" s="82"/>
      <c r="C959" s="82"/>
      <c r="D959" s="82"/>
      <c r="F959" s="82"/>
      <c r="G959" s="82"/>
    </row>
    <row r="960" ht="15.75" customHeight="1">
      <c r="A960" s="82"/>
      <c r="B960" s="82"/>
      <c r="C960" s="82"/>
      <c r="D960" s="82"/>
      <c r="F960" s="82"/>
      <c r="G960" s="82"/>
    </row>
    <row r="961" ht="15.75" customHeight="1">
      <c r="A961" s="82"/>
      <c r="B961" s="82"/>
      <c r="C961" s="82"/>
      <c r="D961" s="82"/>
      <c r="F961" s="82"/>
      <c r="G961" s="82"/>
    </row>
    <row r="962" ht="15.75" customHeight="1">
      <c r="A962" s="82"/>
      <c r="B962" s="82"/>
      <c r="C962" s="82"/>
      <c r="D962" s="82"/>
      <c r="F962" s="82"/>
      <c r="G962" s="82"/>
    </row>
    <row r="963" ht="15.75" customHeight="1">
      <c r="A963" s="82"/>
      <c r="B963" s="82"/>
      <c r="C963" s="82"/>
      <c r="D963" s="82"/>
      <c r="F963" s="82"/>
      <c r="G963" s="82"/>
    </row>
    <row r="964" ht="15.75" customHeight="1">
      <c r="A964" s="82"/>
      <c r="B964" s="82"/>
      <c r="C964" s="82"/>
      <c r="D964" s="82"/>
      <c r="F964" s="82"/>
      <c r="G964" s="82"/>
    </row>
    <row r="965" ht="15.75" customHeight="1">
      <c r="A965" s="82"/>
      <c r="B965" s="82"/>
      <c r="C965" s="82"/>
      <c r="D965" s="82"/>
      <c r="F965" s="82"/>
      <c r="G965" s="82"/>
    </row>
    <row r="966" ht="15.75" customHeight="1">
      <c r="A966" s="82"/>
      <c r="B966" s="82"/>
      <c r="C966" s="82"/>
      <c r="D966" s="82"/>
      <c r="F966" s="82"/>
      <c r="G966" s="82"/>
    </row>
    <row r="967" ht="15.75" customHeight="1">
      <c r="A967" s="82"/>
      <c r="B967" s="82"/>
      <c r="C967" s="82"/>
      <c r="D967" s="82"/>
      <c r="F967" s="82"/>
      <c r="G967" s="82"/>
    </row>
    <row r="968" ht="15.75" customHeight="1">
      <c r="A968" s="82"/>
      <c r="B968" s="82"/>
      <c r="C968" s="82"/>
      <c r="D968" s="82"/>
      <c r="F968" s="82"/>
      <c r="G968" s="82"/>
    </row>
    <row r="969" ht="15.75" customHeight="1">
      <c r="A969" s="82"/>
      <c r="B969" s="82"/>
      <c r="C969" s="82"/>
      <c r="D969" s="82"/>
      <c r="F969" s="82"/>
      <c r="G969" s="82"/>
    </row>
    <row r="970" ht="15.75" customHeight="1">
      <c r="A970" s="82"/>
      <c r="B970" s="82"/>
      <c r="C970" s="82"/>
      <c r="D970" s="82"/>
      <c r="F970" s="82"/>
      <c r="G970" s="82"/>
    </row>
    <row r="971" ht="15.75" customHeight="1">
      <c r="A971" s="82"/>
      <c r="B971" s="82"/>
      <c r="C971" s="82"/>
      <c r="D971" s="82"/>
      <c r="F971" s="82"/>
      <c r="G971" s="82"/>
    </row>
    <row r="972" ht="15.75" customHeight="1">
      <c r="A972" s="82"/>
      <c r="B972" s="82"/>
      <c r="C972" s="82"/>
      <c r="D972" s="82"/>
      <c r="F972" s="82"/>
      <c r="G972" s="82"/>
    </row>
    <row r="973" ht="15.75" customHeight="1">
      <c r="A973" s="82"/>
      <c r="B973" s="82"/>
      <c r="C973" s="82"/>
      <c r="D973" s="82"/>
      <c r="F973" s="82"/>
      <c r="G973" s="82"/>
    </row>
    <row r="974" ht="15.75" customHeight="1">
      <c r="A974" s="82"/>
      <c r="B974" s="82"/>
      <c r="C974" s="82"/>
      <c r="D974" s="82"/>
      <c r="F974" s="82"/>
      <c r="G974" s="82"/>
    </row>
    <row r="975" ht="15.75" customHeight="1">
      <c r="A975" s="82"/>
      <c r="B975" s="82"/>
      <c r="C975" s="82"/>
      <c r="D975" s="82"/>
      <c r="F975" s="82"/>
      <c r="G975" s="82"/>
    </row>
    <row r="976" ht="15.75" customHeight="1">
      <c r="A976" s="82"/>
      <c r="B976" s="82"/>
      <c r="C976" s="82"/>
      <c r="D976" s="82"/>
      <c r="F976" s="82"/>
      <c r="G976" s="82"/>
    </row>
    <row r="977" ht="15.75" customHeight="1">
      <c r="A977" s="82"/>
      <c r="B977" s="82"/>
      <c r="C977" s="82"/>
      <c r="D977" s="82"/>
      <c r="F977" s="82"/>
      <c r="G977" s="82"/>
    </row>
    <row r="978" ht="15.75" customHeight="1">
      <c r="A978" s="82"/>
      <c r="B978" s="82"/>
      <c r="C978" s="82"/>
      <c r="D978" s="82"/>
      <c r="F978" s="82"/>
      <c r="G978" s="82"/>
    </row>
    <row r="979" ht="15.75" customHeight="1">
      <c r="A979" s="82"/>
      <c r="B979" s="82"/>
      <c r="C979" s="82"/>
      <c r="D979" s="82"/>
      <c r="F979" s="82"/>
      <c r="G979" s="82"/>
    </row>
    <row r="980" ht="15.75" customHeight="1">
      <c r="A980" s="82"/>
      <c r="B980" s="82"/>
      <c r="C980" s="82"/>
      <c r="D980" s="82"/>
      <c r="F980" s="82"/>
      <c r="G980" s="82"/>
    </row>
    <row r="981" ht="15.75" customHeight="1">
      <c r="A981" s="82"/>
      <c r="B981" s="82"/>
      <c r="C981" s="82"/>
      <c r="D981" s="82"/>
      <c r="F981" s="82"/>
      <c r="G981" s="82"/>
    </row>
    <row r="982" ht="15.75" customHeight="1">
      <c r="A982" s="82"/>
      <c r="B982" s="82"/>
      <c r="C982" s="82"/>
      <c r="D982" s="82"/>
      <c r="F982" s="82"/>
      <c r="G982" s="82"/>
    </row>
    <row r="983" ht="15.75" customHeight="1">
      <c r="A983" s="82"/>
      <c r="B983" s="82"/>
      <c r="C983" s="82"/>
      <c r="D983" s="82"/>
      <c r="F983" s="82"/>
      <c r="G983" s="82"/>
    </row>
    <row r="984" ht="15.75" customHeight="1">
      <c r="A984" s="82"/>
      <c r="B984" s="82"/>
      <c r="C984" s="82"/>
      <c r="D984" s="82"/>
      <c r="F984" s="82"/>
      <c r="G984" s="82"/>
    </row>
    <row r="985" ht="15.75" customHeight="1">
      <c r="A985" s="82"/>
      <c r="B985" s="82"/>
      <c r="C985" s="82"/>
      <c r="D985" s="82"/>
      <c r="F985" s="82"/>
      <c r="G985" s="82"/>
    </row>
    <row r="986" ht="15.75" customHeight="1">
      <c r="A986" s="82"/>
      <c r="B986" s="82"/>
      <c r="C986" s="82"/>
      <c r="D986" s="82"/>
      <c r="F986" s="82"/>
      <c r="G986" s="82"/>
    </row>
    <row r="987" ht="15.75" customHeight="1">
      <c r="A987" s="82"/>
      <c r="B987" s="82"/>
      <c r="C987" s="82"/>
      <c r="D987" s="82"/>
      <c r="F987" s="82"/>
      <c r="G987" s="82"/>
    </row>
    <row r="988" ht="15.75" customHeight="1">
      <c r="A988" s="82"/>
      <c r="B988" s="82"/>
      <c r="C988" s="82"/>
      <c r="D988" s="82"/>
      <c r="F988" s="82"/>
      <c r="G988" s="82"/>
    </row>
    <row r="989" ht="15.75" customHeight="1">
      <c r="A989" s="82"/>
      <c r="B989" s="82"/>
      <c r="C989" s="82"/>
      <c r="D989" s="82"/>
      <c r="F989" s="82"/>
      <c r="G989" s="82"/>
    </row>
    <row r="990" ht="15.75" customHeight="1">
      <c r="A990" s="82"/>
      <c r="B990" s="82"/>
      <c r="C990" s="82"/>
      <c r="D990" s="82"/>
      <c r="F990" s="82"/>
      <c r="G990" s="82"/>
    </row>
    <row r="991" ht="15.75" customHeight="1">
      <c r="A991" s="82"/>
      <c r="B991" s="82"/>
      <c r="C991" s="82"/>
      <c r="D991" s="82"/>
      <c r="F991" s="82"/>
      <c r="G991" s="82"/>
    </row>
    <row r="992" ht="15.75" customHeight="1">
      <c r="A992" s="82"/>
      <c r="B992" s="82"/>
      <c r="C992" s="82"/>
      <c r="D992" s="82"/>
      <c r="F992" s="82"/>
      <c r="G992" s="82"/>
    </row>
    <row r="993" ht="15.75" customHeight="1">
      <c r="A993" s="82"/>
      <c r="B993" s="82"/>
      <c r="C993" s="82"/>
      <c r="D993" s="82"/>
      <c r="F993" s="82"/>
      <c r="G993" s="82"/>
    </row>
    <row r="994" ht="15.75" customHeight="1">
      <c r="A994" s="82"/>
      <c r="B994" s="82"/>
      <c r="C994" s="82"/>
      <c r="D994" s="82"/>
      <c r="F994" s="82"/>
      <c r="G994" s="82"/>
    </row>
    <row r="995" ht="15.75" customHeight="1">
      <c r="A995" s="82"/>
      <c r="B995" s="82"/>
      <c r="C995" s="82"/>
      <c r="D995" s="82"/>
      <c r="F995" s="82"/>
      <c r="G995" s="82"/>
    </row>
    <row r="996" ht="15.75" customHeight="1">
      <c r="A996" s="82"/>
      <c r="B996" s="82"/>
      <c r="C996" s="82"/>
      <c r="D996" s="82"/>
      <c r="F996" s="82"/>
      <c r="G996" s="82"/>
    </row>
    <row r="997" ht="15.75" customHeight="1">
      <c r="A997" s="82"/>
      <c r="B997" s="82"/>
      <c r="C997" s="82"/>
      <c r="D997" s="82"/>
      <c r="F997" s="82"/>
      <c r="G997" s="82"/>
    </row>
    <row r="998" ht="15.75" customHeight="1">
      <c r="A998" s="82"/>
      <c r="B998" s="82"/>
      <c r="C998" s="82"/>
      <c r="D998" s="82"/>
      <c r="F998" s="82"/>
      <c r="G998" s="82"/>
    </row>
    <row r="999" ht="15.75" customHeight="1">
      <c r="A999" s="82"/>
      <c r="B999" s="82"/>
      <c r="C999" s="82"/>
      <c r="D999" s="82"/>
      <c r="F999" s="82"/>
      <c r="G999" s="82"/>
    </row>
    <row r="1000" ht="15.75" customHeight="1">
      <c r="A1000" s="82"/>
      <c r="B1000" s="82"/>
      <c r="C1000" s="82"/>
      <c r="D1000" s="82"/>
      <c r="F1000" s="82"/>
      <c r="G1000" s="82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10.13"/>
    <col customWidth="1" min="3" max="3" width="15.13"/>
    <col customWidth="1" min="4" max="4" width="12.63"/>
    <col customWidth="1" min="5" max="6" width="15.13"/>
  </cols>
  <sheetData>
    <row r="1">
      <c r="A1" s="210" t="s">
        <v>2061</v>
      </c>
      <c r="B1" s="210" t="s">
        <v>2265</v>
      </c>
      <c r="C1" s="210" t="s">
        <v>2266</v>
      </c>
      <c r="D1" s="210" t="s">
        <v>2267</v>
      </c>
      <c r="E1" s="210" t="s">
        <v>2268</v>
      </c>
      <c r="F1" s="210" t="s">
        <v>2269</v>
      </c>
    </row>
    <row r="2">
      <c r="A2" s="211">
        <v>46087.0</v>
      </c>
      <c r="B2" s="212">
        <v>0.041666666666666664</v>
      </c>
      <c r="C2" s="11" t="s">
        <v>17</v>
      </c>
      <c r="D2" s="11" t="s">
        <v>2270</v>
      </c>
      <c r="E2" s="11" t="s">
        <v>2271</v>
      </c>
      <c r="F2" s="11" t="s">
        <v>1406</v>
      </c>
    </row>
    <row r="3">
      <c r="A3" s="211">
        <v>46087.0</v>
      </c>
      <c r="B3" s="212">
        <v>0.041666666666666664</v>
      </c>
      <c r="C3" s="11" t="s">
        <v>2272</v>
      </c>
      <c r="D3" s="11" t="s">
        <v>2270</v>
      </c>
      <c r="E3" s="11" t="s">
        <v>2271</v>
      </c>
      <c r="F3" s="11" t="s">
        <v>1406</v>
      </c>
    </row>
    <row r="4">
      <c r="A4" s="211">
        <v>46087.0</v>
      </c>
      <c r="B4" s="212">
        <v>0.041666666666666664</v>
      </c>
      <c r="C4" s="11" t="s">
        <v>2273</v>
      </c>
      <c r="D4" s="11" t="s">
        <v>2270</v>
      </c>
      <c r="E4" s="11" t="s">
        <v>2271</v>
      </c>
      <c r="F4" s="11" t="s">
        <v>1406</v>
      </c>
    </row>
    <row r="5">
      <c r="A5" s="211">
        <v>46087.0</v>
      </c>
      <c r="B5" s="212">
        <v>0.04167824074074074</v>
      </c>
      <c r="C5" s="11" t="s">
        <v>2274</v>
      </c>
      <c r="D5" s="11" t="s">
        <v>2270</v>
      </c>
      <c r="E5" s="11" t="s">
        <v>2271</v>
      </c>
      <c r="F5" s="11" t="s">
        <v>1406</v>
      </c>
    </row>
    <row r="6">
      <c r="A6" s="211">
        <v>46087.0</v>
      </c>
      <c r="B6" s="212">
        <v>0.043402777777777776</v>
      </c>
      <c r="C6" s="11" t="s">
        <v>2274</v>
      </c>
      <c r="D6" s="11" t="s">
        <v>2270</v>
      </c>
      <c r="E6" s="11" t="s">
        <v>2271</v>
      </c>
      <c r="F6" s="11" t="s">
        <v>1406</v>
      </c>
    </row>
    <row r="7">
      <c r="A7" s="211">
        <v>46087.0</v>
      </c>
      <c r="B7" s="212">
        <v>0.04342592592592592</v>
      </c>
      <c r="C7" s="11" t="s">
        <v>2272</v>
      </c>
      <c r="D7" s="11" t="s">
        <v>2270</v>
      </c>
      <c r="E7" s="11" t="s">
        <v>2271</v>
      </c>
      <c r="F7" s="11" t="s">
        <v>1406</v>
      </c>
    </row>
    <row r="8">
      <c r="A8" s="211">
        <v>46087.0</v>
      </c>
      <c r="B8" s="212">
        <v>0.04342592592592592</v>
      </c>
      <c r="C8" s="11" t="s">
        <v>17</v>
      </c>
      <c r="D8" s="11" t="s">
        <v>2270</v>
      </c>
      <c r="E8" s="11" t="s">
        <v>2271</v>
      </c>
      <c r="F8" s="11" t="s">
        <v>1406</v>
      </c>
    </row>
    <row r="9">
      <c r="A9" s="211">
        <v>46087.0</v>
      </c>
      <c r="B9" s="212">
        <v>0.04342592592592592</v>
      </c>
      <c r="C9" s="11" t="s">
        <v>2273</v>
      </c>
      <c r="D9" s="11" t="s">
        <v>2270</v>
      </c>
      <c r="E9" s="11" t="s">
        <v>2271</v>
      </c>
      <c r="F9" s="11" t="s">
        <v>1406</v>
      </c>
    </row>
    <row r="10">
      <c r="A10" s="211">
        <v>46087.0</v>
      </c>
      <c r="B10" s="212">
        <v>0.06642361111111111</v>
      </c>
      <c r="C10" s="11" t="s">
        <v>2274</v>
      </c>
      <c r="D10" s="11" t="s">
        <v>2275</v>
      </c>
      <c r="E10" s="11" t="s">
        <v>2271</v>
      </c>
      <c r="F10" s="11" t="s">
        <v>1406</v>
      </c>
    </row>
    <row r="11">
      <c r="A11" s="211">
        <v>46087.0</v>
      </c>
      <c r="B11" s="212">
        <v>0.06643518518518518</v>
      </c>
      <c r="C11" s="11" t="s">
        <v>2272</v>
      </c>
      <c r="D11" s="11" t="s">
        <v>2275</v>
      </c>
      <c r="E11" s="11" t="s">
        <v>2271</v>
      </c>
      <c r="F11" s="11" t="s">
        <v>1406</v>
      </c>
    </row>
    <row r="12">
      <c r="A12" s="211">
        <v>46087.0</v>
      </c>
      <c r="B12" s="212">
        <v>0.06643518518518518</v>
      </c>
      <c r="C12" s="11" t="s">
        <v>2273</v>
      </c>
      <c r="D12" s="11" t="s">
        <v>2275</v>
      </c>
      <c r="E12" s="11" t="s">
        <v>2271</v>
      </c>
      <c r="F12" s="11" t="s">
        <v>1406</v>
      </c>
    </row>
    <row r="13">
      <c r="A13" s="211">
        <v>46087.0</v>
      </c>
      <c r="B13" s="212">
        <v>0.06646990740740741</v>
      </c>
      <c r="C13" s="11" t="s">
        <v>17</v>
      </c>
      <c r="D13" s="11" t="s">
        <v>2275</v>
      </c>
      <c r="E13" s="11" t="s">
        <v>2271</v>
      </c>
      <c r="F13" s="11" t="s">
        <v>1406</v>
      </c>
    </row>
    <row r="14">
      <c r="A14" s="211">
        <v>46087.0</v>
      </c>
      <c r="B14" s="212">
        <v>0.8736805555555556</v>
      </c>
      <c r="C14" s="11" t="s">
        <v>2272</v>
      </c>
      <c r="D14" s="11" t="s">
        <v>2270</v>
      </c>
      <c r="E14" s="11" t="s">
        <v>2271</v>
      </c>
      <c r="F14" s="11" t="s">
        <v>1406</v>
      </c>
    </row>
    <row r="15">
      <c r="A15" s="211">
        <v>46087.0</v>
      </c>
      <c r="B15" s="212">
        <v>0.9713310185185186</v>
      </c>
      <c r="C15" s="11" t="s">
        <v>2272</v>
      </c>
      <c r="D15" s="11" t="s">
        <v>2275</v>
      </c>
      <c r="E15" s="11" t="s">
        <v>2271</v>
      </c>
      <c r="F15" s="11" t="s">
        <v>1406</v>
      </c>
    </row>
    <row r="16">
      <c r="A16" s="211">
        <v>46087.0</v>
      </c>
      <c r="B16" s="212">
        <v>0.9715625</v>
      </c>
      <c r="C16" s="11" t="s">
        <v>2274</v>
      </c>
      <c r="D16" s="11" t="s">
        <v>2270</v>
      </c>
      <c r="E16" s="11" t="s">
        <v>2271</v>
      </c>
      <c r="F16" s="11" t="s">
        <v>1406</v>
      </c>
    </row>
    <row r="17">
      <c r="A17" s="211">
        <v>46087.0</v>
      </c>
      <c r="B17" s="212">
        <v>0.9715625</v>
      </c>
      <c r="C17" s="11" t="s">
        <v>2272</v>
      </c>
      <c r="D17" s="11" t="s">
        <v>2270</v>
      </c>
      <c r="E17" s="11" t="s">
        <v>2271</v>
      </c>
      <c r="F17" s="11" t="s">
        <v>1406</v>
      </c>
    </row>
    <row r="18">
      <c r="A18" s="211">
        <v>46087.0</v>
      </c>
      <c r="B18" s="212">
        <v>0.971574074074074</v>
      </c>
      <c r="C18" s="11" t="s">
        <v>2273</v>
      </c>
      <c r="D18" s="11" t="s">
        <v>2270</v>
      </c>
      <c r="E18" s="11" t="s">
        <v>2271</v>
      </c>
      <c r="F18" s="11" t="s">
        <v>1406</v>
      </c>
    </row>
    <row r="19">
      <c r="A19" s="211">
        <v>46087.0</v>
      </c>
      <c r="B19" s="212">
        <v>0.9715856481481482</v>
      </c>
      <c r="C19" s="11" t="s">
        <v>17</v>
      </c>
      <c r="D19" s="11" t="s">
        <v>2270</v>
      </c>
      <c r="E19" s="11" t="s">
        <v>2271</v>
      </c>
      <c r="F19" s="11" t="s">
        <v>1406</v>
      </c>
    </row>
    <row r="20">
      <c r="A20" s="211">
        <v>46089.0</v>
      </c>
      <c r="B20" s="212">
        <v>0.6313541666666667</v>
      </c>
      <c r="C20" s="11" t="s">
        <v>2272</v>
      </c>
      <c r="D20" s="11" t="s">
        <v>2270</v>
      </c>
      <c r="E20" s="11" t="s">
        <v>2276</v>
      </c>
      <c r="F20" s="11" t="s">
        <v>1406</v>
      </c>
    </row>
    <row r="21">
      <c r="A21" s="211">
        <v>46089.0</v>
      </c>
      <c r="B21" s="212">
        <v>0.6325115740740741</v>
      </c>
      <c r="C21" s="11" t="s">
        <v>2272</v>
      </c>
      <c r="D21" s="11" t="s">
        <v>2270</v>
      </c>
      <c r="E21" s="11" t="s">
        <v>2276</v>
      </c>
      <c r="F21" s="11" t="s">
        <v>1406</v>
      </c>
    </row>
    <row r="22">
      <c r="A22" s="211">
        <v>46089.0</v>
      </c>
      <c r="B22" s="212">
        <v>0.6327314814814815</v>
      </c>
      <c r="C22" s="11" t="s">
        <v>2272</v>
      </c>
      <c r="D22" s="11" t="s">
        <v>2275</v>
      </c>
      <c r="E22" s="11" t="s">
        <v>2276</v>
      </c>
      <c r="F22" s="11" t="s">
        <v>1406</v>
      </c>
    </row>
    <row r="23">
      <c r="A23" s="211">
        <v>46089.0</v>
      </c>
      <c r="B23" s="212">
        <v>0.7295486111111111</v>
      </c>
      <c r="C23" s="11" t="s">
        <v>17</v>
      </c>
      <c r="D23" s="11" t="s">
        <v>2270</v>
      </c>
      <c r="E23" s="11" t="s">
        <v>2276</v>
      </c>
      <c r="F23" s="11" t="s">
        <v>1406</v>
      </c>
    </row>
    <row r="24">
      <c r="A24" s="211">
        <v>46089.0</v>
      </c>
      <c r="B24" s="212">
        <v>0.7339236111111112</v>
      </c>
      <c r="C24" s="11" t="s">
        <v>2273</v>
      </c>
      <c r="D24" s="11" t="s">
        <v>2270</v>
      </c>
      <c r="E24" s="11" t="s">
        <v>2276</v>
      </c>
      <c r="F24" s="11" t="s">
        <v>1406</v>
      </c>
    </row>
    <row r="25">
      <c r="A25" s="211">
        <v>46089.0</v>
      </c>
      <c r="B25" s="212">
        <v>0.7340740740740741</v>
      </c>
      <c r="C25" s="11" t="s">
        <v>17</v>
      </c>
      <c r="D25" s="11" t="s">
        <v>2270</v>
      </c>
      <c r="E25" s="11" t="s">
        <v>2276</v>
      </c>
      <c r="F25" s="11" t="s">
        <v>1406</v>
      </c>
    </row>
    <row r="26">
      <c r="A26" s="211">
        <v>46089.0</v>
      </c>
      <c r="B26" s="212">
        <v>0.7860069444444444</v>
      </c>
      <c r="C26" s="11" t="s">
        <v>17</v>
      </c>
      <c r="D26" s="11" t="s">
        <v>2275</v>
      </c>
      <c r="E26" s="11" t="s">
        <v>2276</v>
      </c>
      <c r="F26" s="11" t="s">
        <v>1406</v>
      </c>
    </row>
    <row r="27">
      <c r="A27" s="211">
        <v>46089.0</v>
      </c>
      <c r="B27" s="212">
        <v>0.7860185185185186</v>
      </c>
      <c r="C27" s="11" t="s">
        <v>2273</v>
      </c>
      <c r="D27" s="11" t="s">
        <v>2275</v>
      </c>
      <c r="E27" s="11" t="s">
        <v>2276</v>
      </c>
      <c r="F27" s="11" t="s">
        <v>1406</v>
      </c>
    </row>
    <row r="28">
      <c r="A28" s="211">
        <v>46089.0</v>
      </c>
      <c r="B28" s="212">
        <v>0.7860416666666666</v>
      </c>
      <c r="C28" s="11" t="s">
        <v>2272</v>
      </c>
      <c r="D28" s="11" t="s">
        <v>2270</v>
      </c>
      <c r="E28" s="11" t="s">
        <v>2276</v>
      </c>
      <c r="F28" s="11" t="s">
        <v>1406</v>
      </c>
    </row>
    <row r="29">
      <c r="A29" s="211">
        <v>46089.0</v>
      </c>
      <c r="B29" s="212">
        <v>0.8403125</v>
      </c>
      <c r="C29" s="11" t="s">
        <v>2274</v>
      </c>
      <c r="D29" s="11" t="s">
        <v>2270</v>
      </c>
      <c r="E29" s="11" t="s">
        <v>2276</v>
      </c>
      <c r="F29" s="11" t="s">
        <v>1406</v>
      </c>
    </row>
    <row r="30">
      <c r="A30" s="211">
        <v>46089.0</v>
      </c>
      <c r="B30" s="212">
        <v>0.8403703703703703</v>
      </c>
      <c r="C30" s="11" t="s">
        <v>2273</v>
      </c>
      <c r="D30" s="11" t="s">
        <v>2270</v>
      </c>
      <c r="E30" s="11" t="s">
        <v>2276</v>
      </c>
      <c r="F30" s="11" t="s">
        <v>1406</v>
      </c>
    </row>
    <row r="31">
      <c r="A31" s="211">
        <v>46089.0</v>
      </c>
      <c r="B31" s="212">
        <v>0.8404050925925926</v>
      </c>
      <c r="C31" s="11" t="s">
        <v>17</v>
      </c>
      <c r="D31" s="11" t="s">
        <v>2270</v>
      </c>
      <c r="E31" s="11" t="s">
        <v>2276</v>
      </c>
      <c r="F31" s="11" t="s">
        <v>1406</v>
      </c>
    </row>
    <row r="32">
      <c r="A32" s="211">
        <v>46090.0</v>
      </c>
      <c r="B32" s="212">
        <v>0.002523148148148148</v>
      </c>
      <c r="C32" s="11" t="s">
        <v>2273</v>
      </c>
      <c r="D32" s="11" t="s">
        <v>2270</v>
      </c>
      <c r="E32" s="11" t="s">
        <v>2277</v>
      </c>
      <c r="F32" s="11" t="s">
        <v>1406</v>
      </c>
    </row>
    <row r="33">
      <c r="A33" s="211">
        <v>46090.0</v>
      </c>
      <c r="B33" s="212">
        <v>0.4797222222222222</v>
      </c>
      <c r="C33" s="11" t="s">
        <v>17</v>
      </c>
      <c r="D33" s="11" t="s">
        <v>2270</v>
      </c>
      <c r="E33" s="11" t="s">
        <v>2277</v>
      </c>
      <c r="F33" s="11" t="s">
        <v>1406</v>
      </c>
    </row>
    <row r="34">
      <c r="A34" s="211">
        <v>46090.0</v>
      </c>
      <c r="B34" s="212">
        <v>0.5105671296296296</v>
      </c>
      <c r="C34" s="11" t="s">
        <v>17</v>
      </c>
      <c r="D34" s="11" t="s">
        <v>2270</v>
      </c>
      <c r="E34" s="11" t="s">
        <v>2277</v>
      </c>
      <c r="F34" s="11" t="s">
        <v>1406</v>
      </c>
    </row>
    <row r="35">
      <c r="A35" s="211">
        <v>46091.0</v>
      </c>
      <c r="B35" s="212">
        <v>0.10806712962962962</v>
      </c>
      <c r="C35" s="11" t="s">
        <v>2273</v>
      </c>
      <c r="D35" s="11" t="s">
        <v>2270</v>
      </c>
      <c r="E35" s="11" t="s">
        <v>2278</v>
      </c>
      <c r="F35" s="11" t="s">
        <v>1406</v>
      </c>
    </row>
    <row r="36">
      <c r="A36" s="211">
        <v>46091.0</v>
      </c>
      <c r="B36" s="212">
        <v>0.21104166666666666</v>
      </c>
      <c r="C36" s="11" t="s">
        <v>2273</v>
      </c>
      <c r="D36" s="11" t="s">
        <v>2275</v>
      </c>
      <c r="E36" s="11" t="s">
        <v>2278</v>
      </c>
      <c r="F36" s="11" t="s">
        <v>1406</v>
      </c>
    </row>
    <row r="37">
      <c r="A37" s="211">
        <v>46091.0</v>
      </c>
      <c r="B37" s="212">
        <v>0.21107638888888888</v>
      </c>
      <c r="C37" s="11" t="s">
        <v>17</v>
      </c>
      <c r="D37" s="11" t="s">
        <v>2270</v>
      </c>
      <c r="E37" s="11" t="s">
        <v>2278</v>
      </c>
      <c r="F37" s="11" t="s">
        <v>1406</v>
      </c>
    </row>
    <row r="38">
      <c r="A38" s="211">
        <v>46091.0</v>
      </c>
      <c r="B38" s="212">
        <v>0.21113425925925927</v>
      </c>
      <c r="C38" s="11" t="s">
        <v>2273</v>
      </c>
      <c r="D38" s="11" t="s">
        <v>2270</v>
      </c>
      <c r="E38" s="11" t="s">
        <v>2278</v>
      </c>
      <c r="F38" s="11" t="s">
        <v>1406</v>
      </c>
    </row>
    <row r="39">
      <c r="A39" s="211">
        <v>46092.0</v>
      </c>
      <c r="B39" s="212">
        <v>0.20185185185185187</v>
      </c>
      <c r="C39" s="11" t="s">
        <v>2273</v>
      </c>
      <c r="D39" s="11" t="s">
        <v>2270</v>
      </c>
      <c r="E39" s="11" t="s">
        <v>2279</v>
      </c>
      <c r="F39" s="11" t="s">
        <v>1406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7.13"/>
    <col customWidth="1" min="2" max="2" width="7.38"/>
    <col customWidth="1" min="3" max="3" width="7.88"/>
    <col customWidth="1" min="4" max="4" width="10.25"/>
    <col customWidth="1" min="5" max="5" width="8.0"/>
    <col customWidth="1" min="6" max="6" width="16.13"/>
    <col customWidth="1" min="7" max="7" width="20.5"/>
  </cols>
  <sheetData>
    <row r="1" ht="15.75" customHeight="1">
      <c r="A1" s="213" t="str">
        <f>IFERROR(__xludf.DUMMYFUNCTION("IFERROR(
   {
      ""PRODUCTO"",""STOCK"",""MÍNIMO"",""FALTANTE"",""PRECIO"",""TOTAL"",""PROVEEDOR"";
      QUERY(
         inventario!A2:O503,
         ""SELECT A, F, N, (N - F), B, (B * (N - F)), E 
          WHERE F &lt; N 
          ORDER BY (N - F) DES"&amp;"C"",
         0
      )
   },
   ""✅ TODO OK - Stock suficiente""
)"),"PRODUCTO")</f>
        <v>PRODUCTO</v>
      </c>
      <c r="B1" s="213" t="str">
        <f>IFERROR(__xludf.DUMMYFUNCTION("""COMPUTED_VALUE"""),"STOCK")</f>
        <v>STOCK</v>
      </c>
      <c r="C1" s="213" t="str">
        <f>IFERROR(__xludf.DUMMYFUNCTION("""COMPUTED_VALUE"""),"MÍNIMO")</f>
        <v>MÍNIMO</v>
      </c>
      <c r="D1" s="213" t="str">
        <f>IFERROR(__xludf.DUMMYFUNCTION("""COMPUTED_VALUE"""),"FALTANTE")</f>
        <v>FALTANTE</v>
      </c>
      <c r="E1" s="213" t="str">
        <f>IFERROR(__xludf.DUMMYFUNCTION("""COMPUTED_VALUE"""),"PRECIO")</f>
        <v>PRECIO</v>
      </c>
      <c r="F1" s="213" t="str">
        <f>IFERROR(__xludf.DUMMYFUNCTION("""COMPUTED_VALUE"""),"TOTAL")</f>
        <v>TOTAL</v>
      </c>
      <c r="G1" s="213" t="str">
        <f>IFERROR(__xludf.DUMMYFUNCTION("""COMPUTED_VALUE"""),"PROVEEDOR")</f>
        <v>PROVEEDOR</v>
      </c>
    </row>
    <row r="2" ht="15.75" customHeight="1">
      <c r="A2" s="86" t="str">
        <f>IFERROR(__xludf.DUMMYFUNCTION("""COMPUTED_VALUE"""),"")</f>
        <v/>
      </c>
      <c r="B2" s="86" t="str">
        <f>IFERROR(__xludf.DUMMYFUNCTION("""COMPUTED_VALUE"""),"")</f>
        <v/>
      </c>
      <c r="C2" s="86" t="str">
        <f>IFERROR(__xludf.DUMMYFUNCTION("""COMPUTED_VALUE"""),"")</f>
        <v/>
      </c>
      <c r="D2" s="86" t="str">
        <f>IFERROR(__xludf.DUMMYFUNCTION("""COMPUTED_VALUE"""),"difference()")</f>
        <v>difference()</v>
      </c>
      <c r="E2" s="86" t="str">
        <f>IFERROR(__xludf.DUMMYFUNCTION("""COMPUTED_VALUE"""),"")</f>
        <v/>
      </c>
      <c r="F2" s="86" t="str">
        <f>IFERROR(__xludf.DUMMYFUNCTION("""COMPUTED_VALUE"""),"product(difference())")</f>
        <v>product(difference())</v>
      </c>
      <c r="G2" s="86" t="str">
        <f>IFERROR(__xludf.DUMMYFUNCTION("""COMPUTED_VALUE"""),"")</f>
        <v/>
      </c>
    </row>
    <row r="3" ht="15.75" customHeight="1">
      <c r="A3" s="86" t="str">
        <f>IFERROR(__xludf.DUMMYFUNCTION("""COMPUTED_VALUE"""),"GASEOSA TONICA 1.5L PASO LOS TOROS")</f>
        <v>GASEOSA TONICA 1.5L PASO LOS TOROS</v>
      </c>
      <c r="B3" s="86">
        <f>IFERROR(__xludf.DUMMYFUNCTION("""COMPUTED_VALUE"""),3.0)</f>
        <v>3</v>
      </c>
      <c r="C3" s="86">
        <f>IFERROR(__xludf.DUMMYFUNCTION("""COMPUTED_VALUE"""),7.0)</f>
        <v>7</v>
      </c>
      <c r="D3" s="86">
        <f>IFERROR(__xludf.DUMMYFUNCTION("""COMPUTED_VALUE"""),4.0)</f>
        <v>4</v>
      </c>
      <c r="E3" s="86">
        <f>IFERROR(__xludf.DUMMYFUNCTION("""COMPUTED_VALUE"""),4500.0)</f>
        <v>4500</v>
      </c>
      <c r="F3" s="86">
        <f>IFERROR(__xludf.DUMMYFUNCTION("""COMPUTED_VALUE"""),18000.0)</f>
        <v>18000</v>
      </c>
      <c r="G3" s="86" t="str">
        <f>IFERROR(__xludf.DUMMYFUNCTION("""COMPUTED_VALUE"""),"MAXICONSUMO")</f>
        <v>MAXICONSUMO</v>
      </c>
    </row>
    <row r="4" ht="15.75" customHeight="1">
      <c r="A4" s="86" t="str">
        <f>IFERROR(__xludf.DUMMYFUNCTION("""COMPUTED_VALUE"""),"GALLETITAS BIZCOCHITOS 9 DE ORO 200GR")</f>
        <v>GALLETITAS BIZCOCHITOS 9 DE ORO 200GR</v>
      </c>
      <c r="B4" s="86">
        <f>IFERROR(__xludf.DUMMYFUNCTION("""COMPUTED_VALUE"""),2.0)</f>
        <v>2</v>
      </c>
      <c r="C4" s="86">
        <f>IFERROR(__xludf.DUMMYFUNCTION("""COMPUTED_VALUE"""),5.0)</f>
        <v>5</v>
      </c>
      <c r="D4" s="86">
        <f>IFERROR(__xludf.DUMMYFUNCTION("""COMPUTED_VALUE"""),3.0)</f>
        <v>3</v>
      </c>
      <c r="E4" s="86">
        <f>IFERROR(__xludf.DUMMYFUNCTION("""COMPUTED_VALUE"""),1600.0)</f>
        <v>1600</v>
      </c>
      <c r="F4" s="86">
        <f>IFERROR(__xludf.DUMMYFUNCTION("""COMPUTED_VALUE"""),4800.0)</f>
        <v>4800</v>
      </c>
      <c r="G4" s="86" t="str">
        <f>IFERROR(__xludf.DUMMYFUNCTION("""COMPUTED_VALUE"""),"CARREFOUR")</f>
        <v>CARREFOUR</v>
      </c>
    </row>
    <row r="5" ht="15.75" customHeight="1">
      <c r="A5" s="86" t="str">
        <f>IFERROR(__xludf.DUMMYFUNCTION("""COMPUTED_VALUE"""),"GASEOSA CUNNINGTON 2,25L CLASICA POMELO")</f>
        <v>GASEOSA CUNNINGTON 2,25L CLASICA POMELO</v>
      </c>
      <c r="B5" s="86">
        <f>IFERROR(__xludf.DUMMYFUNCTION("""COMPUTED_VALUE"""),0.0)</f>
        <v>0</v>
      </c>
      <c r="C5" s="86">
        <f>IFERROR(__xludf.DUMMYFUNCTION("""COMPUTED_VALUE"""),3.0)</f>
        <v>3</v>
      </c>
      <c r="D5" s="86">
        <f>IFERROR(__xludf.DUMMYFUNCTION("""COMPUTED_VALUE"""),3.0)</f>
        <v>3</v>
      </c>
      <c r="E5" s="86">
        <f>IFERROR(__xludf.DUMMYFUNCTION("""COMPUTED_VALUE"""),4500.0)</f>
        <v>4500</v>
      </c>
      <c r="F5" s="86">
        <f>IFERROR(__xludf.DUMMYFUNCTION("""COMPUTED_VALUE"""),13500.0)</f>
        <v>13500</v>
      </c>
      <c r="G5" s="86"/>
    </row>
    <row r="6" ht="15.75" customHeight="1">
      <c r="A6" s="86" t="str">
        <f>IFERROR(__xludf.DUMMYFUNCTION("""COMPUTED_VALUE"""),"JUGO EN POLVO SABOR A MULTIFRUTA ARCOR 15G 1L")</f>
        <v>JUGO EN POLVO SABOR A MULTIFRUTA ARCOR 15G 1L</v>
      </c>
      <c r="B6" s="86">
        <f>IFERROR(__xludf.DUMMYFUNCTION("""COMPUTED_VALUE"""),0.0)</f>
        <v>0</v>
      </c>
      <c r="C6" s="86">
        <f>IFERROR(__xludf.DUMMYFUNCTION("""COMPUTED_VALUE"""),3.0)</f>
        <v>3</v>
      </c>
      <c r="D6" s="86">
        <f>IFERROR(__xludf.DUMMYFUNCTION("""COMPUTED_VALUE"""),3.0)</f>
        <v>3</v>
      </c>
      <c r="E6" s="86">
        <f>IFERROR(__xludf.DUMMYFUNCTION("""COMPUTED_VALUE"""),700.0)</f>
        <v>700</v>
      </c>
      <c r="F6" s="86">
        <f>IFERROR(__xludf.DUMMYFUNCTION("""COMPUTED_VALUE"""),2100.0)</f>
        <v>2100</v>
      </c>
      <c r="G6" s="86" t="str">
        <f>IFERROR(__xludf.DUMMYFUNCTION("""COMPUTED_VALUE"""),"SUPERMERCADO TODO")</f>
        <v>SUPERMERCADO TODO</v>
      </c>
    </row>
    <row r="7" ht="15.75" customHeight="1">
      <c r="A7" s="86" t="str">
        <f>IFERROR(__xludf.DUMMYFUNCTION("""COMPUTED_VALUE"""),"JUGO EN POLVO NARANJA DULCE TANG x 15GR")</f>
        <v>JUGO EN POLVO NARANJA DULCE TANG x 15GR</v>
      </c>
      <c r="B7" s="86">
        <f>IFERROR(__xludf.DUMMYFUNCTION("""COMPUTED_VALUE"""),0.0)</f>
        <v>0</v>
      </c>
      <c r="C7" s="86">
        <f>IFERROR(__xludf.DUMMYFUNCTION("""COMPUTED_VALUE"""),3.0)</f>
        <v>3</v>
      </c>
      <c r="D7" s="86">
        <f>IFERROR(__xludf.DUMMYFUNCTION("""COMPUTED_VALUE"""),3.0)</f>
        <v>3</v>
      </c>
      <c r="E7" s="86">
        <f>IFERROR(__xludf.DUMMYFUNCTION("""COMPUTED_VALUE"""),600.0)</f>
        <v>600</v>
      </c>
      <c r="F7" s="86">
        <f>IFERROR(__xludf.DUMMYFUNCTION("""COMPUTED_VALUE"""),1800.0)</f>
        <v>1800</v>
      </c>
      <c r="G7" s="86" t="str">
        <f>IFERROR(__xludf.DUMMYFUNCTION("""COMPUTED_VALUE"""),"CARREFOUR")</f>
        <v>CARREFOUR</v>
      </c>
    </row>
    <row r="8" ht="15.75" customHeight="1">
      <c r="A8" s="86" t="str">
        <f>IFERROR(__xludf.DUMMYFUNCTION("""COMPUTED_VALUE"""),"QUESO RALLADO LA PAULINA 40GR")</f>
        <v>QUESO RALLADO LA PAULINA 40GR</v>
      </c>
      <c r="B8" s="86">
        <f>IFERROR(__xludf.DUMMYFUNCTION("""COMPUTED_VALUE"""),0.0)</f>
        <v>0</v>
      </c>
      <c r="C8" s="86">
        <f>IFERROR(__xludf.DUMMYFUNCTION("""COMPUTED_VALUE"""),3.0)</f>
        <v>3</v>
      </c>
      <c r="D8" s="86">
        <f>IFERROR(__xludf.DUMMYFUNCTION("""COMPUTED_VALUE"""),3.0)</f>
        <v>3</v>
      </c>
      <c r="E8" s="86">
        <f>IFERROR(__xludf.DUMMYFUNCTION("""COMPUTED_VALUE"""),2500.0)</f>
        <v>2500</v>
      </c>
      <c r="F8" s="86">
        <f>IFERROR(__xludf.DUMMYFUNCTION("""COMPUTED_VALUE"""),7500.0)</f>
        <v>7500</v>
      </c>
      <c r="G8" s="86" t="str">
        <f>IFERROR(__xludf.DUMMYFUNCTION("""COMPUTED_VALUE"""),"SUPERMERCADO TODO")</f>
        <v>SUPERMERCADO TODO</v>
      </c>
    </row>
    <row r="9" ht="15.75" customHeight="1">
      <c r="A9" s="86" t="str">
        <f>IFERROR(__xludf.DUMMYFUNCTION("""COMPUTED_VALUE"""),"GALLETITAS GAONA PEPAS 300GR")</f>
        <v>GALLETITAS GAONA PEPAS 300GR</v>
      </c>
      <c r="B9" s="86">
        <f>IFERROR(__xludf.DUMMYFUNCTION("""COMPUTED_VALUE"""),3.0)</f>
        <v>3</v>
      </c>
      <c r="C9" s="86">
        <f>IFERROR(__xludf.DUMMYFUNCTION("""COMPUTED_VALUE"""),5.0)</f>
        <v>5</v>
      </c>
      <c r="D9" s="86">
        <f>IFERROR(__xludf.DUMMYFUNCTION("""COMPUTED_VALUE"""),2.0)</f>
        <v>2</v>
      </c>
      <c r="E9" s="86">
        <f>IFERROR(__xludf.DUMMYFUNCTION("""COMPUTED_VALUE"""),2500.0)</f>
        <v>2500</v>
      </c>
      <c r="F9" s="86">
        <f>IFERROR(__xludf.DUMMYFUNCTION("""COMPUTED_VALUE"""),5000.0)</f>
        <v>5000</v>
      </c>
      <c r="G9" s="86" t="str">
        <f>IFERROR(__xludf.DUMMYFUNCTION("""COMPUTED_VALUE"""),"PUELCHE")</f>
        <v>PUELCHE</v>
      </c>
    </row>
    <row r="10" ht="15.75" customHeight="1">
      <c r="A10" s="86" t="str">
        <f>IFERROR(__xludf.DUMMYFUNCTION("""COMPUTED_VALUE"""),"PAN PARA HAMBURGUESAS LACTAL 4U 210GR")</f>
        <v>PAN PARA HAMBURGUESAS LACTAL 4U 210GR</v>
      </c>
      <c r="B10" s="86">
        <f>IFERROR(__xludf.DUMMYFUNCTION("""COMPUTED_VALUE"""),1.0)</f>
        <v>1</v>
      </c>
      <c r="C10" s="86">
        <f>IFERROR(__xludf.DUMMYFUNCTION("""COMPUTED_VALUE"""),3.0)</f>
        <v>3</v>
      </c>
      <c r="D10" s="86">
        <f>IFERROR(__xludf.DUMMYFUNCTION("""COMPUTED_VALUE"""),2.0)</f>
        <v>2</v>
      </c>
      <c r="E10" s="86">
        <f>IFERROR(__xludf.DUMMYFUNCTION("""COMPUTED_VALUE"""),3300.0)</f>
        <v>3300</v>
      </c>
      <c r="F10" s="86">
        <f>IFERROR(__xludf.DUMMYFUNCTION("""COMPUTED_VALUE"""),6600.0)</f>
        <v>6600</v>
      </c>
      <c r="G10" s="86" t="str">
        <f>IFERROR(__xludf.DUMMYFUNCTION("""COMPUTED_VALUE"""),"MAXICONSUMO")</f>
        <v>MAXICONSUMO</v>
      </c>
    </row>
    <row r="11" ht="15.75" customHeight="1">
      <c r="A11" s="86" t="str">
        <f>IFERROR(__xludf.DUMMYFUNCTION("""COMPUTED_VALUE"""),"GALLETITAS 1/2 TARDE SANDWICH")</f>
        <v>GALLETITAS 1/2 TARDE SANDWICH</v>
      </c>
      <c r="B11" s="86">
        <f>IFERROR(__xludf.DUMMYFUNCTION("""COMPUTED_VALUE"""),3.0)</f>
        <v>3</v>
      </c>
      <c r="C11" s="86">
        <f>IFERROR(__xludf.DUMMYFUNCTION("""COMPUTED_VALUE"""),5.0)</f>
        <v>5</v>
      </c>
      <c r="D11" s="86">
        <f>IFERROR(__xludf.DUMMYFUNCTION("""COMPUTED_VALUE"""),2.0)</f>
        <v>2</v>
      </c>
      <c r="E11" s="86">
        <f>IFERROR(__xludf.DUMMYFUNCTION("""COMPUTED_VALUE"""),2500.0)</f>
        <v>2500</v>
      </c>
      <c r="F11" s="86">
        <f>IFERROR(__xludf.DUMMYFUNCTION("""COMPUTED_VALUE"""),5000.0)</f>
        <v>5000</v>
      </c>
      <c r="G11" s="86" t="str">
        <f>IFERROR(__xludf.DUMMYFUNCTION("""COMPUTED_VALUE"""),"MAXICONSUMO")</f>
        <v>MAXICONSUMO</v>
      </c>
    </row>
    <row r="12" ht="15.75" customHeight="1">
      <c r="A12" s="86" t="str">
        <f>IFERROR(__xludf.DUMMYFUNCTION("""COMPUTED_VALUE"""),"GALLETITAS 9 DE ORO PEPAS 350GR")</f>
        <v>GALLETITAS 9 DE ORO PEPAS 350GR</v>
      </c>
      <c r="B12" s="86">
        <f>IFERROR(__xludf.DUMMYFUNCTION("""COMPUTED_VALUE"""),1.0)</f>
        <v>1</v>
      </c>
      <c r="C12" s="86">
        <f>IFERROR(__xludf.DUMMYFUNCTION("""COMPUTED_VALUE"""),3.0)</f>
        <v>3</v>
      </c>
      <c r="D12" s="86">
        <f>IFERROR(__xludf.DUMMYFUNCTION("""COMPUTED_VALUE"""),2.0)</f>
        <v>2</v>
      </c>
      <c r="E12" s="86">
        <f>IFERROR(__xludf.DUMMYFUNCTION("""COMPUTED_VALUE"""),3000.0)</f>
        <v>3000</v>
      </c>
      <c r="F12" s="86">
        <f>IFERROR(__xludf.DUMMYFUNCTION("""COMPUTED_VALUE"""),6000.0)</f>
        <v>6000</v>
      </c>
      <c r="G12" s="86" t="str">
        <f>IFERROR(__xludf.DUMMYFUNCTION("""COMPUTED_VALUE"""),"PUELCHE")</f>
        <v>PUELCHE</v>
      </c>
    </row>
    <row r="13" ht="15.75" customHeight="1">
      <c r="A13" s="86" t="str">
        <f>IFERROR(__xludf.DUMMYFUNCTION("""COMPUTED_VALUE"""),"MILKA MOUSSE SABOR CHOCOLATE 124GR")</f>
        <v>MILKA MOUSSE SABOR CHOCOLATE 124GR</v>
      </c>
      <c r="B13" s="86">
        <f>IFERROR(__xludf.DUMMYFUNCTION("""COMPUTED_VALUE"""),1.0)</f>
        <v>1</v>
      </c>
      <c r="C13" s="86">
        <f>IFERROR(__xludf.DUMMYFUNCTION("""COMPUTED_VALUE"""),3.0)</f>
        <v>3</v>
      </c>
      <c r="D13" s="86">
        <f>IFERROR(__xludf.DUMMYFUNCTION("""COMPUTED_VALUE"""),2.0)</f>
        <v>2</v>
      </c>
      <c r="E13" s="86">
        <f>IFERROR(__xludf.DUMMYFUNCTION("""COMPUTED_VALUE"""),3000.0)</f>
        <v>3000</v>
      </c>
      <c r="F13" s="86">
        <f>IFERROR(__xludf.DUMMYFUNCTION("""COMPUTED_VALUE"""),6000.0)</f>
        <v>6000</v>
      </c>
      <c r="G13" s="86"/>
    </row>
    <row r="14" ht="15.75" customHeight="1">
      <c r="A14" s="86" t="str">
        <f>IFERROR(__xludf.DUMMYFUNCTION("""COMPUTED_VALUE"""),"GASEOSA COCA COLA 1,5L")</f>
        <v>GASEOSA COCA COLA 1,5L</v>
      </c>
      <c r="B14" s="86">
        <f>IFERROR(__xludf.DUMMYFUNCTION("""COMPUTED_VALUE"""),4.0)</f>
        <v>4</v>
      </c>
      <c r="C14" s="86">
        <f>IFERROR(__xludf.DUMMYFUNCTION("""COMPUTED_VALUE"""),6.0)</f>
        <v>6</v>
      </c>
      <c r="D14" s="86">
        <f>IFERROR(__xludf.DUMMYFUNCTION("""COMPUTED_VALUE"""),2.0)</f>
        <v>2</v>
      </c>
      <c r="E14" s="86">
        <f>IFERROR(__xludf.DUMMYFUNCTION("""COMPUTED_VALUE"""),5800.0)</f>
        <v>5800</v>
      </c>
      <c r="F14" s="86">
        <f>IFERROR(__xludf.DUMMYFUNCTION("""COMPUTED_VALUE"""),11600.0)</f>
        <v>11600</v>
      </c>
      <c r="G14" s="86" t="str">
        <f>IFERROR(__xludf.DUMMYFUNCTION("""COMPUTED_VALUE"""),"SUPERMERCADO TODO")</f>
        <v>SUPERMERCADO TODO</v>
      </c>
    </row>
    <row r="15" ht="15.75" customHeight="1">
      <c r="A15" s="86" t="str">
        <f>IFERROR(__xludf.DUMMYFUNCTION("""COMPUTED_VALUE"""),"CHOCOLATADA LAS TRES NIÑAS LECHE CON CACAO 200CC")</f>
        <v>CHOCOLATADA LAS TRES NIÑAS LECHE CON CACAO 200CC</v>
      </c>
      <c r="B15" s="86">
        <f>IFERROR(__xludf.DUMMYFUNCTION("""COMPUTED_VALUE"""),1.0)</f>
        <v>1</v>
      </c>
      <c r="C15" s="86">
        <f>IFERROR(__xludf.DUMMYFUNCTION("""COMPUTED_VALUE"""),3.0)</f>
        <v>3</v>
      </c>
      <c r="D15" s="86">
        <f>IFERROR(__xludf.DUMMYFUNCTION("""COMPUTED_VALUE"""),2.0)</f>
        <v>2</v>
      </c>
      <c r="E15" s="86">
        <f>IFERROR(__xludf.DUMMYFUNCTION("""COMPUTED_VALUE"""),1500.0)</f>
        <v>1500</v>
      </c>
      <c r="F15" s="86">
        <f>IFERROR(__xludf.DUMMYFUNCTION("""COMPUTED_VALUE"""),3000.0)</f>
        <v>3000</v>
      </c>
      <c r="G15" s="86" t="str">
        <f>IFERROR(__xludf.DUMMYFUNCTION("""COMPUTED_VALUE"""),"PUELCHE")</f>
        <v>PUELCHE</v>
      </c>
    </row>
    <row r="16" ht="15.75" customHeight="1">
      <c r="A16" s="86" t="str">
        <f>IFERROR(__xludf.DUMMYFUNCTION("""COMPUTED_VALUE"""),"RAZA COMIDA DE GATO 1KG")</f>
        <v>RAZA COMIDA DE GATO 1KG</v>
      </c>
      <c r="B16" s="86">
        <f>IFERROR(__xludf.DUMMYFUNCTION("""COMPUTED_VALUE"""),1.0)</f>
        <v>1</v>
      </c>
      <c r="C16" s="86">
        <f>IFERROR(__xludf.DUMMYFUNCTION("""COMPUTED_VALUE"""),3.0)</f>
        <v>3</v>
      </c>
      <c r="D16" s="86">
        <f>IFERROR(__xludf.DUMMYFUNCTION("""COMPUTED_VALUE"""),2.0)</f>
        <v>2</v>
      </c>
      <c r="E16" s="86">
        <f>IFERROR(__xludf.DUMMYFUNCTION("""COMPUTED_VALUE"""),6500.0)</f>
        <v>6500</v>
      </c>
      <c r="F16" s="86">
        <f>IFERROR(__xludf.DUMMYFUNCTION("""COMPUTED_VALUE"""),13000.0)</f>
        <v>13000</v>
      </c>
      <c r="G16" s="86"/>
    </row>
    <row r="17" ht="15.75" customHeight="1">
      <c r="A17" s="86" t="str">
        <f>IFERROR(__xludf.DUMMYFUNCTION("""COMPUTED_VALUE"""),"TERMA POMELO ROSADO 1,35L")</f>
        <v>TERMA POMELO ROSADO 1,35L</v>
      </c>
      <c r="B17" s="86">
        <f>IFERROR(__xludf.DUMMYFUNCTION("""COMPUTED_VALUE"""),0.0)</f>
        <v>0</v>
      </c>
      <c r="C17" s="86">
        <f>IFERROR(__xludf.DUMMYFUNCTION("""COMPUTED_VALUE"""),2.0)</f>
        <v>2</v>
      </c>
      <c r="D17" s="86">
        <f>IFERROR(__xludf.DUMMYFUNCTION("""COMPUTED_VALUE"""),2.0)</f>
        <v>2</v>
      </c>
      <c r="E17" s="86">
        <f>IFERROR(__xludf.DUMMYFUNCTION("""COMPUTED_VALUE"""),3000.0)</f>
        <v>3000</v>
      </c>
      <c r="F17" s="86">
        <f>IFERROR(__xludf.DUMMYFUNCTION("""COMPUTED_VALUE"""),6000.0)</f>
        <v>6000</v>
      </c>
      <c r="G17" s="86"/>
    </row>
    <row r="18" ht="15.75" customHeight="1">
      <c r="A18" s="86" t="str">
        <f>IFERROR(__xludf.DUMMYFUNCTION("""COMPUTED_VALUE"""),"DR LEMON CON VODKA BOLTELLA 1LT")</f>
        <v>DR LEMON CON VODKA BOLTELLA 1LT</v>
      </c>
      <c r="B18" s="86">
        <f>IFERROR(__xludf.DUMMYFUNCTION("""COMPUTED_VALUE"""),0.0)</f>
        <v>0</v>
      </c>
      <c r="C18" s="86">
        <f>IFERROR(__xludf.DUMMYFUNCTION("""COMPUTED_VALUE"""),2.0)</f>
        <v>2</v>
      </c>
      <c r="D18" s="86">
        <f>IFERROR(__xludf.DUMMYFUNCTION("""COMPUTED_VALUE"""),2.0)</f>
        <v>2</v>
      </c>
      <c r="E18" s="86">
        <f>IFERROR(__xludf.DUMMYFUNCTION("""COMPUTED_VALUE"""),6000.0)</f>
        <v>6000</v>
      </c>
      <c r="F18" s="86">
        <f>IFERROR(__xludf.DUMMYFUNCTION("""COMPUTED_VALUE"""),12000.0)</f>
        <v>12000</v>
      </c>
      <c r="G18" s="86"/>
    </row>
    <row r="19" ht="15.75" customHeight="1">
      <c r="A19" s="86" t="str">
        <f>IFERROR(__xludf.DUMMYFUNCTION("""COMPUTED_VALUE"""),"VINO TORO BOTELLA 750CC")</f>
        <v>VINO TORO BOTELLA 750CC</v>
      </c>
      <c r="B19" s="86">
        <f>IFERROR(__xludf.DUMMYFUNCTION("""COMPUTED_VALUE"""),3.0)</f>
        <v>3</v>
      </c>
      <c r="C19" s="86">
        <f>IFERROR(__xludf.DUMMYFUNCTION("""COMPUTED_VALUE"""),5.0)</f>
        <v>5</v>
      </c>
      <c r="D19" s="86">
        <f>IFERROR(__xludf.DUMMYFUNCTION("""COMPUTED_VALUE"""),2.0)</f>
        <v>2</v>
      </c>
      <c r="E19" s="86">
        <f>IFERROR(__xludf.DUMMYFUNCTION("""COMPUTED_VALUE"""),5000.0)</f>
        <v>5000</v>
      </c>
      <c r="F19" s="86">
        <f>IFERROR(__xludf.DUMMYFUNCTION("""COMPUTED_VALUE"""),10000.0)</f>
        <v>10000</v>
      </c>
      <c r="G19" s="86"/>
    </row>
    <row r="20" ht="15.75" customHeight="1">
      <c r="A20" s="86" t="str">
        <f>IFERROR(__xludf.DUMMYFUNCTION("""COMPUTED_VALUE"""),"GASEOSA MANAOS 3L (LIMA LIMON)")</f>
        <v>GASEOSA MANAOS 3L (LIMA LIMON)</v>
      </c>
      <c r="B20" s="86">
        <f>IFERROR(__xludf.DUMMYFUNCTION("""COMPUTED_VALUE"""),3.0)</f>
        <v>3</v>
      </c>
      <c r="C20" s="86">
        <f>IFERROR(__xludf.DUMMYFUNCTION("""COMPUTED_VALUE"""),5.0)</f>
        <v>5</v>
      </c>
      <c r="D20" s="86">
        <f>IFERROR(__xludf.DUMMYFUNCTION("""COMPUTED_VALUE"""),2.0)</f>
        <v>2</v>
      </c>
      <c r="E20" s="86">
        <f>IFERROR(__xludf.DUMMYFUNCTION("""COMPUTED_VALUE"""),4500.0)</f>
        <v>4500</v>
      </c>
      <c r="F20" s="86">
        <f>IFERROR(__xludf.DUMMYFUNCTION("""COMPUTED_VALUE"""),9000.0)</f>
        <v>9000</v>
      </c>
      <c r="G20" s="86" t="str">
        <f>IFERROR(__xludf.DUMMYFUNCTION("""COMPUTED_VALUE"""),"LA MAGDALENA")</f>
        <v>LA MAGDALENA</v>
      </c>
    </row>
    <row r="21" ht="15.75" customHeight="1">
      <c r="A21" s="86" t="str">
        <f>IFERROR(__xludf.DUMMYFUNCTION("""COMPUTED_VALUE"""),"VINO SUCESION ABEL MICHEL TORINO TINTO 1.125L")</f>
        <v>VINO SUCESION ABEL MICHEL TORINO TINTO 1.125L</v>
      </c>
      <c r="B21" s="86">
        <f>IFERROR(__xludf.DUMMYFUNCTION("""COMPUTED_VALUE"""),2.0)</f>
        <v>2</v>
      </c>
      <c r="C21" s="86">
        <f>IFERROR(__xludf.DUMMYFUNCTION("""COMPUTED_VALUE"""),4.0)</f>
        <v>4</v>
      </c>
      <c r="D21" s="86">
        <f>IFERROR(__xludf.DUMMYFUNCTION("""COMPUTED_VALUE"""),2.0)</f>
        <v>2</v>
      </c>
      <c r="E21" s="86">
        <f>IFERROR(__xludf.DUMMYFUNCTION("""COMPUTED_VALUE"""),5000.0)</f>
        <v>5000</v>
      </c>
      <c r="F21" s="86">
        <f>IFERROR(__xludf.DUMMYFUNCTION("""COMPUTED_VALUE"""),10000.0)</f>
        <v>10000</v>
      </c>
      <c r="G21" s="86" t="str">
        <f>IFERROR(__xludf.DUMMYFUNCTION("""COMPUTED_VALUE"""),"MAXICONSUMO")</f>
        <v>MAXICONSUMO</v>
      </c>
    </row>
    <row r="22" ht="15.75" customHeight="1">
      <c r="A22" s="86" t="str">
        <f>IFERROR(__xludf.DUMMYFUNCTION("""COMPUTED_VALUE"""),"FANTOCHE MINI BLANCO X6U")</f>
        <v>FANTOCHE MINI BLANCO X6U</v>
      </c>
      <c r="B22" s="86">
        <f>IFERROR(__xludf.DUMMYFUNCTION("""COMPUTED_VALUE"""),6.0)</f>
        <v>6</v>
      </c>
      <c r="C22" s="86">
        <f>IFERROR(__xludf.DUMMYFUNCTION("""COMPUTED_VALUE"""),7.0)</f>
        <v>7</v>
      </c>
      <c r="D22" s="86">
        <f>IFERROR(__xludf.DUMMYFUNCTION("""COMPUTED_VALUE"""),1.0)</f>
        <v>1</v>
      </c>
      <c r="E22" s="86">
        <f>IFERROR(__xludf.DUMMYFUNCTION("""COMPUTED_VALUE"""),3500.0)</f>
        <v>3500</v>
      </c>
      <c r="F22" s="86">
        <f>IFERROR(__xludf.DUMMYFUNCTION("""COMPUTED_VALUE"""),3500.0)</f>
        <v>3500</v>
      </c>
      <c r="G22" s="86" t="str">
        <f>IFERROR(__xludf.DUMMYFUNCTION("""COMPUTED_VALUE"""),"PUELCHE")</f>
        <v>PUELCHE</v>
      </c>
    </row>
    <row r="23" ht="15.75" customHeight="1">
      <c r="A23" s="86" t="str">
        <f>IFERROR(__xludf.DUMMYFUNCTION("""COMPUTED_VALUE"""),"CENTURION CONDIMENTO PARA ARROZ 25GR")</f>
        <v>CENTURION CONDIMENTO PARA ARROZ 25GR</v>
      </c>
      <c r="B23" s="86">
        <f>IFERROR(__xludf.DUMMYFUNCTION("""COMPUTED_VALUE"""),2.0)</f>
        <v>2</v>
      </c>
      <c r="C23" s="86">
        <f>IFERROR(__xludf.DUMMYFUNCTION("""COMPUTED_VALUE"""),3.0)</f>
        <v>3</v>
      </c>
      <c r="D23" s="86">
        <f>IFERROR(__xludf.DUMMYFUNCTION("""COMPUTED_VALUE"""),1.0)</f>
        <v>1</v>
      </c>
      <c r="E23" s="86">
        <f>IFERROR(__xludf.DUMMYFUNCTION("""COMPUTED_VALUE"""),1400.0)</f>
        <v>1400</v>
      </c>
      <c r="F23" s="86">
        <f>IFERROR(__xludf.DUMMYFUNCTION("""COMPUTED_VALUE"""),1400.0)</f>
        <v>1400</v>
      </c>
      <c r="G23" s="86"/>
    </row>
    <row r="24" ht="15.75" customHeight="1">
      <c r="A24" s="86" t="str">
        <f>IFERROR(__xludf.DUMMYFUNCTION("""COMPUTED_VALUE"""),"BUDIN ZUPAY SIN FRUTAS 170GR")</f>
        <v>BUDIN ZUPAY SIN FRUTAS 170GR</v>
      </c>
      <c r="B24" s="86">
        <f>IFERROR(__xludf.DUMMYFUNCTION("""COMPUTED_VALUE"""),2.0)</f>
        <v>2</v>
      </c>
      <c r="C24" s="86">
        <f>IFERROR(__xludf.DUMMYFUNCTION("""COMPUTED_VALUE"""),3.0)</f>
        <v>3</v>
      </c>
      <c r="D24" s="86">
        <f>IFERROR(__xludf.DUMMYFUNCTION("""COMPUTED_VALUE"""),1.0)</f>
        <v>1</v>
      </c>
      <c r="E24" s="86">
        <f>IFERROR(__xludf.DUMMYFUNCTION("""COMPUTED_VALUE"""),2500.0)</f>
        <v>2500</v>
      </c>
      <c r="F24" s="86">
        <f>IFERROR(__xludf.DUMMYFUNCTION("""COMPUTED_VALUE"""),2500.0)</f>
        <v>2500</v>
      </c>
      <c r="G24" s="86" t="str">
        <f>IFERROR(__xludf.DUMMYFUNCTION("""COMPUTED_VALUE"""),"PUELCHE")</f>
        <v>PUELCHE</v>
      </c>
    </row>
    <row r="25" ht="15.75" customHeight="1">
      <c r="A25" s="86" t="str">
        <f>IFERROR(__xludf.DUMMYFUNCTION("""COMPUTED_VALUE"""),"GALLETITAS SURTIDAS LIA SURTIDO 400GR")</f>
        <v>GALLETITAS SURTIDAS LIA SURTIDO 400GR</v>
      </c>
      <c r="B25" s="86">
        <f>IFERROR(__xludf.DUMMYFUNCTION("""COMPUTED_VALUE"""),2.0)</f>
        <v>2</v>
      </c>
      <c r="C25" s="86">
        <f>IFERROR(__xludf.DUMMYFUNCTION("""COMPUTED_VALUE"""),3.0)</f>
        <v>3</v>
      </c>
      <c r="D25" s="86">
        <f>IFERROR(__xludf.DUMMYFUNCTION("""COMPUTED_VALUE"""),1.0)</f>
        <v>1</v>
      </c>
      <c r="E25" s="86">
        <f>IFERROR(__xludf.DUMMYFUNCTION("""COMPUTED_VALUE"""),3000.0)</f>
        <v>3000</v>
      </c>
      <c r="F25" s="86">
        <f>IFERROR(__xludf.DUMMYFUNCTION("""COMPUTED_VALUE"""),3000.0)</f>
        <v>3000</v>
      </c>
      <c r="G25" s="86" t="str">
        <f>IFERROR(__xludf.DUMMYFUNCTION("""COMPUTED_VALUE"""),"PUELCHE")</f>
        <v>PUELCHE</v>
      </c>
    </row>
    <row r="26" ht="15.75" customHeight="1">
      <c r="A26" s="86" t="str">
        <f>IFERROR(__xludf.DUMMYFUNCTION("""COMPUTED_VALUE"""),"BOLSITA DE CARAMELOS")</f>
        <v>BOLSITA DE CARAMELOS</v>
      </c>
      <c r="B26" s="86">
        <f>IFERROR(__xludf.DUMMYFUNCTION("""COMPUTED_VALUE"""),5.0)</f>
        <v>5</v>
      </c>
      <c r="C26" s="86">
        <f>IFERROR(__xludf.DUMMYFUNCTION("""COMPUTED_VALUE"""),6.0)</f>
        <v>6</v>
      </c>
      <c r="D26" s="86">
        <f>IFERROR(__xludf.DUMMYFUNCTION("""COMPUTED_VALUE"""),1.0)</f>
        <v>1</v>
      </c>
      <c r="E26" s="86">
        <f>IFERROR(__xludf.DUMMYFUNCTION("""COMPUTED_VALUE"""),1000.0)</f>
        <v>1000</v>
      </c>
      <c r="F26" s="86">
        <f>IFERROR(__xludf.DUMMYFUNCTION("""COMPUTED_VALUE"""),1000.0)</f>
        <v>1000</v>
      </c>
      <c r="G26" s="86" t="str">
        <f>IFERROR(__xludf.DUMMYFUNCTION("""COMPUTED_VALUE"""),"PUELCHE")</f>
        <v>PUELCHE</v>
      </c>
    </row>
    <row r="27" ht="15.75" customHeight="1">
      <c r="A27" s="86" t="str">
        <f>IFERROR(__xludf.DUMMYFUNCTION("""COMPUTED_VALUE"""),"ATUN CHECK LOMITOS DE ATUN AL NATURAL 170GR")</f>
        <v>ATUN CHECK LOMITOS DE ATUN AL NATURAL 170GR</v>
      </c>
      <c r="B27" s="86">
        <f>IFERROR(__xludf.DUMMYFUNCTION("""COMPUTED_VALUE"""),0.0)</f>
        <v>0</v>
      </c>
      <c r="C27" s="86">
        <f>IFERROR(__xludf.DUMMYFUNCTION("""COMPUTED_VALUE"""),1.0)</f>
        <v>1</v>
      </c>
      <c r="D27" s="86">
        <f>IFERROR(__xludf.DUMMYFUNCTION("""COMPUTED_VALUE"""),1.0)</f>
        <v>1</v>
      </c>
      <c r="E27" s="86">
        <f>IFERROR(__xludf.DUMMYFUNCTION("""COMPUTED_VALUE"""),5000.0)</f>
        <v>5000</v>
      </c>
      <c r="F27" s="86">
        <f>IFERROR(__xludf.DUMMYFUNCTION("""COMPUTED_VALUE"""),5000.0)</f>
        <v>5000</v>
      </c>
      <c r="G27" s="86"/>
    </row>
    <row r="28" ht="15.75" customHeight="1">
      <c r="A28" s="86" t="str">
        <f>IFERROR(__xludf.DUMMYFUNCTION("""COMPUTED_VALUE"""),"FIDEOS TIRABUZON FAVORITA 500 GR")</f>
        <v>FIDEOS TIRABUZON FAVORITA 500 GR</v>
      </c>
      <c r="B28" s="86">
        <f>IFERROR(__xludf.DUMMYFUNCTION("""COMPUTED_VALUE"""),1.0)</f>
        <v>1</v>
      </c>
      <c r="C28" s="86">
        <f>IFERROR(__xludf.DUMMYFUNCTION("""COMPUTED_VALUE"""),2.0)</f>
        <v>2</v>
      </c>
      <c r="D28" s="86">
        <f>IFERROR(__xludf.DUMMYFUNCTION("""COMPUTED_VALUE"""),1.0)</f>
        <v>1</v>
      </c>
      <c r="E28" s="86">
        <f>IFERROR(__xludf.DUMMYFUNCTION("""COMPUTED_VALUE"""),1500.0)</f>
        <v>1500</v>
      </c>
      <c r="F28" s="86">
        <f>IFERROR(__xludf.DUMMYFUNCTION("""COMPUTED_VALUE"""),1500.0)</f>
        <v>1500</v>
      </c>
      <c r="G28" s="86" t="str">
        <f>IFERROR(__xludf.DUMMYFUNCTION("""COMPUTED_VALUE"""),"PUELCHE")</f>
        <v>PUELCHE</v>
      </c>
    </row>
    <row r="29" ht="15.75" customHeight="1">
      <c r="A29" s="86" t="str">
        <f>IFERROR(__xludf.DUMMYFUNCTION("""COMPUTED_VALUE"""),"MATE COCIDO TARAGUI 25 SAQUITOS")</f>
        <v>MATE COCIDO TARAGUI 25 SAQUITOS</v>
      </c>
      <c r="B29" s="86">
        <f>IFERROR(__xludf.DUMMYFUNCTION("""COMPUTED_VALUE"""),0.0)</f>
        <v>0</v>
      </c>
      <c r="C29" s="86">
        <f>IFERROR(__xludf.DUMMYFUNCTION("""COMPUTED_VALUE"""),1.0)</f>
        <v>1</v>
      </c>
      <c r="D29" s="86">
        <f>IFERROR(__xludf.DUMMYFUNCTION("""COMPUTED_VALUE"""),1.0)</f>
        <v>1</v>
      </c>
      <c r="E29" s="86">
        <f>IFERROR(__xludf.DUMMYFUNCTION("""COMPUTED_VALUE"""),2000.0)</f>
        <v>2000</v>
      </c>
      <c r="F29" s="86">
        <f>IFERROR(__xludf.DUMMYFUNCTION("""COMPUTED_VALUE"""),2000.0)</f>
        <v>2000</v>
      </c>
      <c r="G29" s="86"/>
    </row>
    <row r="30" ht="15.75" customHeight="1">
      <c r="A30" s="86" t="str">
        <f>IFERROR(__xludf.DUMMYFUNCTION("""COMPUTED_VALUE"""),"POLENTA INSTANTANEA DEL CAMPO 500GR")</f>
        <v>POLENTA INSTANTANEA DEL CAMPO 500GR</v>
      </c>
      <c r="B30" s="86">
        <f>IFERROR(__xludf.DUMMYFUNCTION("""COMPUTED_VALUE"""),0.0)</f>
        <v>0</v>
      </c>
      <c r="C30" s="86">
        <f>IFERROR(__xludf.DUMMYFUNCTION("""COMPUTED_VALUE"""),1.0)</f>
        <v>1</v>
      </c>
      <c r="D30" s="86">
        <f>IFERROR(__xludf.DUMMYFUNCTION("""COMPUTED_VALUE"""),1.0)</f>
        <v>1</v>
      </c>
      <c r="E30" s="86">
        <f>IFERROR(__xludf.DUMMYFUNCTION("""COMPUTED_VALUE"""),1500.0)</f>
        <v>1500</v>
      </c>
      <c r="F30" s="86">
        <f>IFERROR(__xludf.DUMMYFUNCTION("""COMPUTED_VALUE"""),1500.0)</f>
        <v>1500</v>
      </c>
      <c r="G30" s="86" t="str">
        <f>IFERROR(__xludf.DUMMYFUNCTION("""COMPUTED_VALUE"""),"LAVARENCE")</f>
        <v>LAVARENCE</v>
      </c>
    </row>
    <row r="31" ht="15.75" customHeight="1">
      <c r="A31" s="86" t="str">
        <f>IFERROR(__xludf.DUMMYFUNCTION("""COMPUTED_VALUE"""),"SAL FINA CELUSAL PAQUETE 500 GR")</f>
        <v>SAL FINA CELUSAL PAQUETE 500 GR</v>
      </c>
      <c r="B31" s="86">
        <f>IFERROR(__xludf.DUMMYFUNCTION("""COMPUTED_VALUE"""),0.0)</f>
        <v>0</v>
      </c>
      <c r="C31" s="86">
        <f>IFERROR(__xludf.DUMMYFUNCTION("""COMPUTED_VALUE"""),1.0)</f>
        <v>1</v>
      </c>
      <c r="D31" s="86">
        <f>IFERROR(__xludf.DUMMYFUNCTION("""COMPUTED_VALUE"""),1.0)</f>
        <v>1</v>
      </c>
      <c r="E31" s="86">
        <f>IFERROR(__xludf.DUMMYFUNCTION("""COMPUTED_VALUE"""),1600.0)</f>
        <v>1600</v>
      </c>
      <c r="F31" s="86">
        <f>IFERROR(__xludf.DUMMYFUNCTION("""COMPUTED_VALUE"""),1600.0)</f>
        <v>1600</v>
      </c>
      <c r="G31" s="86"/>
    </row>
    <row r="32" ht="15.75" customHeight="1">
      <c r="A32" s="86" t="str">
        <f>IFERROR(__xludf.DUMMYFUNCTION("""COMPUTED_VALUE"""),"Cable carga rapida USB type C CAB-41002 3.1A")</f>
        <v>Cable carga rapida USB type C CAB-41002 3.1A</v>
      </c>
      <c r="B32" s="86">
        <f>IFERROR(__xludf.DUMMYFUNCTION("""COMPUTED_VALUE"""),0.0)</f>
        <v>0</v>
      </c>
      <c r="C32" s="86">
        <f>IFERROR(__xludf.DUMMYFUNCTION("""COMPUTED_VALUE"""),1.0)</f>
        <v>1</v>
      </c>
      <c r="D32" s="86">
        <f>IFERROR(__xludf.DUMMYFUNCTION("""COMPUTED_VALUE"""),1.0)</f>
        <v>1</v>
      </c>
      <c r="E32" s="86">
        <f>IFERROR(__xludf.DUMMYFUNCTION("""COMPUTED_VALUE"""),10000.0)</f>
        <v>10000</v>
      </c>
      <c r="F32" s="86">
        <f>IFERROR(__xludf.DUMMYFUNCTION("""COMPUTED_VALUE"""),10000.0)</f>
        <v>10000</v>
      </c>
      <c r="G32" s="86"/>
    </row>
    <row r="33" ht="15.75" customHeight="1">
      <c r="A33" s="86" t="str">
        <f>IFERROR(__xludf.DUMMYFUNCTION("""COMPUTED_VALUE"""),"BUDIN ZUPAY MARMOLADO 170GR")</f>
        <v>BUDIN ZUPAY MARMOLADO 170GR</v>
      </c>
      <c r="B33" s="86">
        <f>IFERROR(__xludf.DUMMYFUNCTION("""COMPUTED_VALUE"""),0.0)</f>
        <v>0</v>
      </c>
      <c r="C33" s="86">
        <f>IFERROR(__xludf.DUMMYFUNCTION("""COMPUTED_VALUE"""),1.0)</f>
        <v>1</v>
      </c>
      <c r="D33" s="86">
        <f>IFERROR(__xludf.DUMMYFUNCTION("""COMPUTED_VALUE"""),1.0)</f>
        <v>1</v>
      </c>
      <c r="E33" s="86">
        <f>IFERROR(__xludf.DUMMYFUNCTION("""COMPUTED_VALUE"""),2500.0)</f>
        <v>2500</v>
      </c>
      <c r="F33" s="86">
        <f>IFERROR(__xludf.DUMMYFUNCTION("""COMPUTED_VALUE"""),2500.0)</f>
        <v>2500</v>
      </c>
      <c r="G33" s="86"/>
    </row>
    <row r="34" ht="15.75" customHeight="1">
      <c r="A34" s="86" t="str">
        <f>IFERROR(__xludf.DUMMYFUNCTION("""COMPUTED_VALUE"""),"GALLETAS MINI PITUSAS SABOR CHOCOLATE 160GR")</f>
        <v>GALLETAS MINI PITUSAS SABOR CHOCOLATE 160GR</v>
      </c>
      <c r="B34" s="86">
        <f>IFERROR(__xludf.DUMMYFUNCTION("""COMPUTED_VALUE"""),0.0)</f>
        <v>0</v>
      </c>
      <c r="C34" s="86">
        <f>IFERROR(__xludf.DUMMYFUNCTION("""COMPUTED_VALUE"""),1.0)</f>
        <v>1</v>
      </c>
      <c r="D34" s="86">
        <f>IFERROR(__xludf.DUMMYFUNCTION("""COMPUTED_VALUE"""),1.0)</f>
        <v>1</v>
      </c>
      <c r="E34" s="86">
        <f>IFERROR(__xludf.DUMMYFUNCTION("""COMPUTED_VALUE"""),2000.0)</f>
        <v>2000</v>
      </c>
      <c r="F34" s="86">
        <f>IFERROR(__xludf.DUMMYFUNCTION("""COMPUTED_VALUE"""),2000.0)</f>
        <v>2000</v>
      </c>
      <c r="G34" s="86" t="str">
        <f>IFERROR(__xludf.DUMMYFUNCTION("""COMPUTED_VALUE"""),"PUELCHE")</f>
        <v>PUELCHE</v>
      </c>
    </row>
    <row r="35" ht="15.75" customHeight="1">
      <c r="A35" s="86" t="str">
        <f>IFERROR(__xludf.DUMMYFUNCTION("""COMPUTED_VALUE"""),"GALLETAS MINI PITUSAS SABOR FRUTILLA 160GR")</f>
        <v>GALLETAS MINI PITUSAS SABOR FRUTILLA 160GR</v>
      </c>
      <c r="B35" s="86">
        <f>IFERROR(__xludf.DUMMYFUNCTION("""COMPUTED_VALUE"""),0.0)</f>
        <v>0</v>
      </c>
      <c r="C35" s="86">
        <f>IFERROR(__xludf.DUMMYFUNCTION("""COMPUTED_VALUE"""),1.0)</f>
        <v>1</v>
      </c>
      <c r="D35" s="86">
        <f>IFERROR(__xludf.DUMMYFUNCTION("""COMPUTED_VALUE"""),1.0)</f>
        <v>1</v>
      </c>
      <c r="E35" s="86">
        <f>IFERROR(__xludf.DUMMYFUNCTION("""COMPUTED_VALUE"""),2000.0)</f>
        <v>2000</v>
      </c>
      <c r="F35" s="86">
        <f>IFERROR(__xludf.DUMMYFUNCTION("""COMPUTED_VALUE"""),2000.0)</f>
        <v>2000</v>
      </c>
      <c r="G35" s="86" t="str">
        <f>IFERROR(__xludf.DUMMYFUNCTION("""COMPUTED_VALUE"""),"PUELCHE")</f>
        <v>PUELCHE</v>
      </c>
    </row>
    <row r="36" ht="15.75" customHeight="1">
      <c r="A36" s="86" t="str">
        <f>IFERROR(__xludf.DUMMYFUNCTION("""COMPUTED_VALUE"""),"LEVITE POMELO 1.5L")</f>
        <v>LEVITE POMELO 1.5L</v>
      </c>
      <c r="B36" s="86">
        <f>IFERROR(__xludf.DUMMYFUNCTION("""COMPUTED_VALUE"""),0.0)</f>
        <v>0</v>
      </c>
      <c r="C36" s="86">
        <f>IFERROR(__xludf.DUMMYFUNCTION("""COMPUTED_VALUE"""),1.0)</f>
        <v>1</v>
      </c>
      <c r="D36" s="86">
        <f>IFERROR(__xludf.DUMMYFUNCTION("""COMPUTED_VALUE"""),1.0)</f>
        <v>1</v>
      </c>
      <c r="E36" s="86">
        <f>IFERROR(__xludf.DUMMYFUNCTION("""COMPUTED_VALUE"""),3000.0)</f>
        <v>3000</v>
      </c>
      <c r="F36" s="86">
        <f>IFERROR(__xludf.DUMMYFUNCTION("""COMPUTED_VALUE"""),3000.0)</f>
        <v>3000</v>
      </c>
      <c r="G36" s="86"/>
    </row>
    <row r="37" ht="15.75" customHeight="1">
      <c r="A37" s="86" t="str">
        <f>IFERROR(__xludf.DUMMYFUNCTION("""COMPUTED_VALUE"""),"QUESO AZUL UNTABLE LA PAULINA 190GR")</f>
        <v>QUESO AZUL UNTABLE LA PAULINA 190GR</v>
      </c>
      <c r="B37" s="86">
        <f>IFERROR(__xludf.DUMMYFUNCTION("""COMPUTED_VALUE"""),0.0)</f>
        <v>0</v>
      </c>
      <c r="C37" s="86">
        <f>IFERROR(__xludf.DUMMYFUNCTION("""COMPUTED_VALUE"""),1.0)</f>
        <v>1</v>
      </c>
      <c r="D37" s="86">
        <f>IFERROR(__xludf.DUMMYFUNCTION("""COMPUTED_VALUE"""),1.0)</f>
        <v>1</v>
      </c>
      <c r="E37" s="86">
        <f>IFERROR(__xludf.DUMMYFUNCTION("""COMPUTED_VALUE"""),3000.0)</f>
        <v>3000</v>
      </c>
      <c r="F37" s="86">
        <f>IFERROR(__xludf.DUMMYFUNCTION("""COMPUTED_VALUE"""),3000.0)</f>
        <v>3000</v>
      </c>
      <c r="G37" s="86"/>
    </row>
    <row r="38" ht="15.75" customHeight="1">
      <c r="A38" s="86" t="str">
        <f>IFERROR(__xludf.DUMMYFUNCTION("""COMPUTED_VALUE"""),"CREMA DENTAL TRIPLE ACCION  COLGATE X 50")</f>
        <v>CREMA DENTAL TRIPLE ACCION  COLGATE X 50</v>
      </c>
      <c r="B38" s="86">
        <f>IFERROR(__xludf.DUMMYFUNCTION("""COMPUTED_VALUE"""),0.0)</f>
        <v>0</v>
      </c>
      <c r="C38" s="86">
        <f>IFERROR(__xludf.DUMMYFUNCTION("""COMPUTED_VALUE"""),1.0)</f>
        <v>1</v>
      </c>
      <c r="D38" s="86">
        <f>IFERROR(__xludf.DUMMYFUNCTION("""COMPUTED_VALUE"""),1.0)</f>
        <v>1</v>
      </c>
      <c r="E38" s="86">
        <f>IFERROR(__xludf.DUMMYFUNCTION("""COMPUTED_VALUE"""),3200.0)</f>
        <v>3200</v>
      </c>
      <c r="F38" s="86">
        <f>IFERROR(__xludf.DUMMYFUNCTION("""COMPUTED_VALUE"""),3200.0)</f>
        <v>3200</v>
      </c>
      <c r="G38" s="86"/>
    </row>
    <row r="39" ht="15.75" customHeight="1">
      <c r="A39" s="86" t="str">
        <f>IFERROR(__xludf.DUMMYFUNCTION("""COMPUTED_VALUE"""),"JABON EN POLVO ALA ECO LAVADO CON BICARBONATO 800GR")</f>
        <v>JABON EN POLVO ALA ECO LAVADO CON BICARBONATO 800GR</v>
      </c>
      <c r="B39" s="86">
        <f>IFERROR(__xludf.DUMMYFUNCTION("""COMPUTED_VALUE"""),0.0)</f>
        <v>0</v>
      </c>
      <c r="C39" s="86">
        <f>IFERROR(__xludf.DUMMYFUNCTION("""COMPUTED_VALUE"""),1.0)</f>
        <v>1</v>
      </c>
      <c r="D39" s="86">
        <f>IFERROR(__xludf.DUMMYFUNCTION("""COMPUTED_VALUE"""),1.0)</f>
        <v>1</v>
      </c>
      <c r="E39" s="86">
        <f>IFERROR(__xludf.DUMMYFUNCTION("""COMPUTED_VALUE"""),3000.0)</f>
        <v>3000</v>
      </c>
      <c r="F39" s="86">
        <f>IFERROR(__xludf.DUMMYFUNCTION("""COMPUTED_VALUE"""),3000.0)</f>
        <v>3000</v>
      </c>
      <c r="G39" s="86" t="str">
        <f>IFERROR(__xludf.DUMMYFUNCTION("""COMPUTED_VALUE"""),"MAXICONSUMO")</f>
        <v>MAXICONSUMO</v>
      </c>
    </row>
    <row r="40" ht="15.75" customHeight="1">
      <c r="A40" s="86" t="str">
        <f>IFERROR(__xludf.DUMMYFUNCTION("""COMPUTED_VALUE"""),"LIMPIADOR LISOFORM ORIGINAL AEROSOL 380ML")</f>
        <v>LIMPIADOR LISOFORM ORIGINAL AEROSOL 380ML</v>
      </c>
      <c r="B40" s="86">
        <f>IFERROR(__xludf.DUMMYFUNCTION("""COMPUTED_VALUE"""),0.0)</f>
        <v>0</v>
      </c>
      <c r="C40" s="86">
        <f>IFERROR(__xludf.DUMMYFUNCTION("""COMPUTED_VALUE"""),1.0)</f>
        <v>1</v>
      </c>
      <c r="D40" s="86">
        <f>IFERROR(__xludf.DUMMYFUNCTION("""COMPUTED_VALUE"""),1.0)</f>
        <v>1</v>
      </c>
      <c r="E40" s="86">
        <f>IFERROR(__xludf.DUMMYFUNCTION("""COMPUTED_VALUE"""),6000.0)</f>
        <v>6000</v>
      </c>
      <c r="F40" s="86">
        <f>IFERROR(__xludf.DUMMYFUNCTION("""COMPUTED_VALUE"""),6000.0)</f>
        <v>6000</v>
      </c>
      <c r="G40" s="86"/>
    </row>
    <row r="41" ht="15.75" customHeight="1">
      <c r="A41" s="86" t="str">
        <f>IFERROR(__xludf.DUMMYFUNCTION("""COMPUTED_VALUE"""),"PRESERVATIVOS PRIME MEGA MAYOR COMODIDAD")</f>
        <v>PRESERVATIVOS PRIME MEGA MAYOR COMODIDAD</v>
      </c>
      <c r="B41" s="86">
        <f>IFERROR(__xludf.DUMMYFUNCTION("""COMPUTED_VALUE"""),0.0)</f>
        <v>0</v>
      </c>
      <c r="C41" s="86">
        <f>IFERROR(__xludf.DUMMYFUNCTION("""COMPUTED_VALUE"""),1.0)</f>
        <v>1</v>
      </c>
      <c r="D41" s="86">
        <f>IFERROR(__xludf.DUMMYFUNCTION("""COMPUTED_VALUE"""),1.0)</f>
        <v>1</v>
      </c>
      <c r="E41" s="86">
        <f>IFERROR(__xludf.DUMMYFUNCTION("""COMPUTED_VALUE"""),4000.0)</f>
        <v>4000</v>
      </c>
      <c r="F41" s="86">
        <f>IFERROR(__xludf.DUMMYFUNCTION("""COMPUTED_VALUE"""),4000.0)</f>
        <v>4000</v>
      </c>
      <c r="G41" s="86"/>
    </row>
    <row r="42" ht="15.75" customHeight="1">
      <c r="A42" s="86" t="str">
        <f>IFERROR(__xludf.DUMMYFUNCTION("""COMPUTED_VALUE"""),"VINO ETNIA GRAN ROBLE MALBEC 750ML")</f>
        <v>VINO ETNIA GRAN ROBLE MALBEC 750ML</v>
      </c>
      <c r="B42" s="86">
        <f>IFERROR(__xludf.DUMMYFUNCTION("""COMPUTED_VALUE"""),0.0)</f>
        <v>0</v>
      </c>
      <c r="C42" s="86">
        <f>IFERROR(__xludf.DUMMYFUNCTION("""COMPUTED_VALUE"""),1.0)</f>
        <v>1</v>
      </c>
      <c r="D42" s="86">
        <f>IFERROR(__xludf.DUMMYFUNCTION("""COMPUTED_VALUE"""),1.0)</f>
        <v>1</v>
      </c>
      <c r="E42" s="86">
        <f>IFERROR(__xludf.DUMMYFUNCTION("""COMPUTED_VALUE"""),6000.0)</f>
        <v>6000</v>
      </c>
      <c r="F42" s="86">
        <f>IFERROR(__xludf.DUMMYFUNCTION("""COMPUTED_VALUE"""),6000.0)</f>
        <v>6000</v>
      </c>
      <c r="G42" s="86"/>
    </row>
    <row r="43" ht="15.75" customHeight="1">
      <c r="A43" s="86" t="str">
        <f>IFERROR(__xludf.DUMMYFUNCTION("""COMPUTED_VALUE"""),"GASEOSA CUNNINGTON 1,5L CLASICA POMELO")</f>
        <v>GASEOSA CUNNINGTON 1,5L CLASICA POMELO</v>
      </c>
      <c r="B43" s="86">
        <f>IFERROR(__xludf.DUMMYFUNCTION("""COMPUTED_VALUE"""),1.0)</f>
        <v>1</v>
      </c>
      <c r="C43" s="86">
        <f>IFERROR(__xludf.DUMMYFUNCTION("""COMPUTED_VALUE"""),2.0)</f>
        <v>2</v>
      </c>
      <c r="D43" s="86">
        <f>IFERROR(__xludf.DUMMYFUNCTION("""COMPUTED_VALUE"""),1.0)</f>
        <v>1</v>
      </c>
      <c r="E43" s="86">
        <f>IFERROR(__xludf.DUMMYFUNCTION("""COMPUTED_VALUE"""),3000.0)</f>
        <v>3000</v>
      </c>
      <c r="F43" s="86">
        <f>IFERROR(__xludf.DUMMYFUNCTION("""COMPUTED_VALUE"""),3000.0)</f>
        <v>3000</v>
      </c>
      <c r="G43" s="86"/>
    </row>
    <row r="44" ht="15.75" customHeight="1">
      <c r="A44" s="86" t="str">
        <f>IFERROR(__xludf.DUMMYFUNCTION("""COMPUTED_VALUE"""),"VINO CAJA TINTO TERMIDOR 1L")</f>
        <v>VINO CAJA TINTO TERMIDOR 1L</v>
      </c>
      <c r="B44" s="86">
        <f>IFERROR(__xludf.DUMMYFUNCTION("""COMPUTED_VALUE"""),0.0)</f>
        <v>0</v>
      </c>
      <c r="C44" s="86">
        <f>IFERROR(__xludf.DUMMYFUNCTION("""COMPUTED_VALUE"""),1.0)</f>
        <v>1</v>
      </c>
      <c r="D44" s="86">
        <f>IFERROR(__xludf.DUMMYFUNCTION("""COMPUTED_VALUE"""),1.0)</f>
        <v>1</v>
      </c>
      <c r="E44" s="86">
        <f>IFERROR(__xludf.DUMMYFUNCTION("""COMPUTED_VALUE"""),4000.0)</f>
        <v>4000</v>
      </c>
      <c r="F44" s="86">
        <f>IFERROR(__xludf.DUMMYFUNCTION("""COMPUTED_VALUE"""),4000.0)</f>
        <v>4000</v>
      </c>
      <c r="G44" s="86"/>
    </row>
    <row r="45" ht="15.75" customHeight="1">
      <c r="A45" s="86"/>
      <c r="B45" s="86"/>
      <c r="C45" s="86"/>
      <c r="D45" s="86"/>
      <c r="E45" s="86"/>
      <c r="F45" s="86"/>
      <c r="G45" s="86"/>
    </row>
    <row r="46" ht="15.75" customHeight="1">
      <c r="A46" s="86"/>
      <c r="B46" s="86"/>
      <c r="C46" s="86"/>
      <c r="D46" s="86"/>
      <c r="E46" s="86"/>
      <c r="F46" s="86"/>
      <c r="G46" s="86"/>
    </row>
    <row r="47" ht="15.75" customHeight="1">
      <c r="A47" s="86"/>
      <c r="B47" s="86"/>
      <c r="C47" s="86"/>
      <c r="D47" s="86"/>
      <c r="E47" s="86"/>
      <c r="F47" s="86"/>
      <c r="G47" s="86"/>
    </row>
    <row r="48" ht="15.75" customHeight="1">
      <c r="A48" s="86"/>
      <c r="B48" s="86"/>
      <c r="C48" s="86"/>
      <c r="D48" s="86"/>
      <c r="E48" s="86"/>
      <c r="F48" s="86"/>
      <c r="G48" s="86"/>
    </row>
    <row r="49" ht="15.75" customHeight="1">
      <c r="A49" s="86"/>
      <c r="B49" s="86"/>
      <c r="C49" s="86"/>
      <c r="D49" s="86"/>
      <c r="E49" s="86"/>
      <c r="F49" s="86"/>
      <c r="G49" s="86"/>
    </row>
    <row r="50" ht="15.75" customHeight="1">
      <c r="A50" s="86"/>
      <c r="B50" s="86"/>
      <c r="C50" s="86"/>
      <c r="D50" s="86"/>
      <c r="E50" s="86"/>
      <c r="F50" s="86"/>
      <c r="G50" s="86"/>
    </row>
    <row r="51" ht="15.75" customHeight="1">
      <c r="A51" s="86"/>
      <c r="B51" s="86"/>
      <c r="C51" s="86"/>
      <c r="D51" s="86"/>
      <c r="E51" s="86"/>
      <c r="F51" s="86"/>
      <c r="G51" s="86"/>
    </row>
    <row r="52" ht="15.75" customHeight="1">
      <c r="A52" s="86"/>
      <c r="B52" s="86"/>
      <c r="C52" s="86"/>
      <c r="D52" s="86"/>
      <c r="E52" s="86"/>
      <c r="F52" s="86"/>
      <c r="G52" s="86"/>
    </row>
    <row r="53" ht="15.75" customHeight="1">
      <c r="A53" s="86"/>
      <c r="B53" s="86"/>
      <c r="C53" s="86"/>
      <c r="D53" s="86"/>
      <c r="E53" s="86"/>
      <c r="F53" s="86"/>
      <c r="G53" s="86"/>
    </row>
    <row r="54" ht="15.75" customHeight="1">
      <c r="A54" s="86"/>
      <c r="B54" s="86"/>
      <c r="C54" s="86"/>
      <c r="D54" s="86"/>
      <c r="E54" s="86"/>
      <c r="F54" s="86"/>
      <c r="G54" s="86"/>
    </row>
    <row r="55" ht="15.75" customHeight="1">
      <c r="A55" s="86"/>
      <c r="B55" s="86"/>
      <c r="C55" s="86"/>
      <c r="D55" s="86"/>
      <c r="E55" s="86"/>
      <c r="F55" s="86"/>
      <c r="G55" s="86"/>
    </row>
    <row r="56" ht="15.75" customHeight="1">
      <c r="A56" s="86"/>
      <c r="B56" s="86"/>
      <c r="C56" s="86"/>
      <c r="D56" s="86"/>
      <c r="E56" s="86"/>
      <c r="F56" s="86"/>
      <c r="G56" s="86"/>
    </row>
    <row r="57" ht="15.75" customHeight="1">
      <c r="A57" s="86"/>
      <c r="B57" s="86"/>
      <c r="C57" s="86"/>
      <c r="D57" s="86"/>
      <c r="E57" s="86"/>
      <c r="F57" s="86"/>
      <c r="G57" s="86"/>
    </row>
    <row r="58" ht="15.75" customHeight="1">
      <c r="A58" s="86"/>
      <c r="B58" s="86"/>
      <c r="C58" s="86"/>
      <c r="D58" s="86"/>
      <c r="E58" s="86"/>
      <c r="F58" s="86"/>
      <c r="G58" s="86"/>
    </row>
    <row r="59" ht="15.75" customHeight="1">
      <c r="A59" s="86"/>
      <c r="B59" s="86"/>
      <c r="C59" s="86"/>
      <c r="D59" s="86"/>
      <c r="E59" s="86"/>
      <c r="F59" s="86"/>
      <c r="G59" s="86"/>
    </row>
    <row r="60" ht="15.75" customHeight="1">
      <c r="A60" s="86"/>
      <c r="B60" s="86"/>
      <c r="C60" s="86"/>
      <c r="D60" s="86"/>
      <c r="E60" s="86"/>
      <c r="F60" s="86"/>
      <c r="G60" s="86"/>
    </row>
    <row r="61" ht="15.75" customHeight="1">
      <c r="A61" s="86"/>
      <c r="B61" s="86"/>
      <c r="C61" s="86"/>
      <c r="D61" s="86"/>
      <c r="E61" s="86"/>
      <c r="F61" s="86"/>
      <c r="G61" s="86"/>
    </row>
    <row r="62" ht="15.75" customHeight="1">
      <c r="A62" s="86"/>
      <c r="B62" s="86"/>
      <c r="C62" s="86"/>
      <c r="D62" s="86"/>
      <c r="E62" s="86"/>
      <c r="F62" s="86"/>
      <c r="G62" s="86"/>
    </row>
    <row r="63" ht="15.75" customHeight="1">
      <c r="A63" s="86"/>
      <c r="B63" s="86"/>
      <c r="C63" s="86"/>
      <c r="D63" s="86"/>
      <c r="E63" s="86"/>
      <c r="F63" s="86"/>
      <c r="G63" s="86"/>
    </row>
    <row r="64" ht="15.75" customHeight="1">
      <c r="A64" s="86"/>
      <c r="B64" s="86"/>
      <c r="C64" s="86"/>
      <c r="D64" s="86"/>
      <c r="E64" s="86"/>
      <c r="F64" s="86"/>
      <c r="G64" s="86"/>
    </row>
    <row r="65" ht="15.75" customHeight="1">
      <c r="A65" s="86"/>
      <c r="B65" s="86"/>
      <c r="C65" s="86"/>
      <c r="D65" s="86"/>
      <c r="E65" s="86"/>
      <c r="F65" s="86"/>
      <c r="G65" s="86"/>
    </row>
    <row r="66" ht="15.75" customHeight="1">
      <c r="A66" s="86"/>
      <c r="B66" s="86"/>
      <c r="C66" s="86"/>
      <c r="D66" s="86"/>
      <c r="E66" s="86"/>
      <c r="F66" s="86"/>
      <c r="G66" s="86"/>
    </row>
    <row r="67" ht="15.75" customHeight="1">
      <c r="A67" s="86"/>
      <c r="B67" s="86"/>
      <c r="C67" s="86"/>
      <c r="D67" s="86"/>
      <c r="E67" s="86"/>
      <c r="F67" s="86"/>
      <c r="G67" s="86"/>
    </row>
    <row r="68" ht="15.75" customHeight="1">
      <c r="A68" s="86"/>
      <c r="B68" s="86"/>
      <c r="C68" s="86"/>
      <c r="D68" s="86"/>
      <c r="E68" s="86"/>
      <c r="F68" s="86"/>
      <c r="G68" s="86"/>
    </row>
    <row r="69" ht="15.75" customHeight="1">
      <c r="A69" s="86"/>
      <c r="B69" s="86"/>
      <c r="C69" s="86"/>
      <c r="D69" s="86"/>
      <c r="E69" s="86"/>
      <c r="F69" s="86"/>
      <c r="G69" s="86"/>
    </row>
    <row r="70" ht="15.75" customHeight="1">
      <c r="A70" s="86"/>
      <c r="B70" s="86"/>
      <c r="C70" s="86"/>
      <c r="D70" s="86"/>
      <c r="E70" s="86"/>
      <c r="F70" s="86"/>
      <c r="G70" s="86"/>
    </row>
    <row r="71" ht="15.75" customHeight="1">
      <c r="A71" s="86"/>
      <c r="B71" s="86"/>
      <c r="C71" s="86"/>
      <c r="D71" s="86"/>
      <c r="E71" s="86"/>
      <c r="F71" s="86"/>
      <c r="G71" s="86"/>
    </row>
    <row r="72" ht="15.75" customHeight="1">
      <c r="A72" s="86"/>
      <c r="B72" s="86"/>
      <c r="C72" s="86"/>
      <c r="D72" s="86"/>
      <c r="E72" s="86"/>
      <c r="F72" s="86"/>
      <c r="G72" s="86"/>
    </row>
    <row r="73" ht="15.75" customHeight="1">
      <c r="A73" s="86"/>
      <c r="B73" s="86"/>
      <c r="C73" s="86"/>
      <c r="D73" s="86"/>
      <c r="E73" s="86"/>
      <c r="F73" s="86"/>
      <c r="G73" s="86"/>
    </row>
    <row r="74" ht="15.75" customHeight="1">
      <c r="A74" s="86"/>
      <c r="B74" s="86"/>
      <c r="C74" s="86"/>
      <c r="D74" s="86"/>
      <c r="E74" s="86"/>
      <c r="F74" s="86"/>
      <c r="G74" s="86"/>
    </row>
    <row r="75" ht="15.75" customHeight="1">
      <c r="A75" s="86"/>
      <c r="B75" s="86"/>
      <c r="C75" s="86"/>
      <c r="D75" s="86"/>
      <c r="E75" s="86"/>
      <c r="F75" s="86"/>
      <c r="G75" s="86"/>
    </row>
    <row r="76" ht="15.75" customHeight="1">
      <c r="A76" s="86"/>
      <c r="B76" s="86"/>
      <c r="C76" s="86"/>
      <c r="D76" s="86"/>
      <c r="E76" s="86"/>
      <c r="F76" s="86"/>
      <c r="G76" s="86"/>
    </row>
    <row r="77" ht="15.75" customHeight="1">
      <c r="A77" s="86"/>
      <c r="B77" s="86"/>
      <c r="C77" s="86"/>
      <c r="D77" s="86"/>
      <c r="E77" s="86"/>
      <c r="F77" s="86"/>
      <c r="G77" s="86"/>
    </row>
    <row r="78" ht="15.75" customHeight="1">
      <c r="A78" s="86"/>
      <c r="B78" s="86"/>
      <c r="C78" s="86"/>
      <c r="D78" s="86"/>
      <c r="E78" s="86"/>
      <c r="F78" s="86"/>
      <c r="G78" s="86"/>
    </row>
    <row r="79" ht="15.75" customHeight="1">
      <c r="A79" s="86"/>
      <c r="B79" s="86"/>
      <c r="C79" s="86"/>
      <c r="D79" s="86"/>
      <c r="E79" s="86"/>
      <c r="F79" s="86"/>
      <c r="G79" s="86"/>
    </row>
    <row r="80" ht="15.75" customHeight="1">
      <c r="A80" s="86"/>
      <c r="B80" s="86"/>
      <c r="C80" s="86"/>
      <c r="D80" s="86"/>
      <c r="E80" s="86"/>
      <c r="F80" s="86"/>
      <c r="G80" s="86"/>
    </row>
    <row r="81" ht="15.75" customHeight="1">
      <c r="A81" s="86"/>
      <c r="B81" s="86"/>
      <c r="C81" s="86"/>
      <c r="D81" s="86"/>
      <c r="E81" s="86"/>
      <c r="F81" s="86"/>
      <c r="G81" s="86"/>
    </row>
    <row r="82" ht="15.75" customHeight="1">
      <c r="A82" s="86"/>
      <c r="B82" s="86"/>
      <c r="C82" s="86"/>
      <c r="D82" s="86"/>
      <c r="E82" s="86"/>
      <c r="F82" s="86"/>
      <c r="G82" s="86"/>
    </row>
    <row r="83" ht="15.75" customHeight="1">
      <c r="A83" s="86"/>
      <c r="B83" s="86"/>
      <c r="C83" s="86"/>
      <c r="D83" s="86"/>
      <c r="E83" s="86"/>
      <c r="F83" s="86"/>
      <c r="G83" s="86"/>
    </row>
    <row r="84" ht="15.75" customHeight="1">
      <c r="A84" s="86"/>
      <c r="B84" s="86"/>
      <c r="C84" s="86"/>
      <c r="D84" s="86"/>
      <c r="E84" s="86"/>
      <c r="F84" s="86"/>
      <c r="G84" s="86"/>
    </row>
    <row r="85" ht="15.75" customHeight="1">
      <c r="A85" s="86"/>
      <c r="B85" s="86"/>
      <c r="C85" s="86"/>
      <c r="D85" s="86"/>
      <c r="E85" s="86"/>
      <c r="F85" s="86"/>
      <c r="G85" s="86"/>
    </row>
    <row r="86" ht="15.75" customHeight="1">
      <c r="A86" s="86"/>
      <c r="B86" s="86"/>
      <c r="C86" s="86"/>
      <c r="D86" s="86"/>
      <c r="E86" s="86"/>
      <c r="F86" s="86"/>
      <c r="G86" s="86"/>
    </row>
    <row r="87" ht="15.75" customHeight="1">
      <c r="A87" s="86"/>
      <c r="B87" s="86"/>
      <c r="C87" s="86"/>
      <c r="D87" s="86"/>
      <c r="E87" s="86"/>
      <c r="F87" s="86"/>
      <c r="G87" s="86"/>
    </row>
    <row r="88" ht="15.75" customHeight="1">
      <c r="A88" s="86"/>
      <c r="B88" s="86"/>
      <c r="C88" s="86"/>
      <c r="D88" s="86"/>
      <c r="E88" s="86"/>
      <c r="F88" s="86"/>
      <c r="G88" s="86"/>
    </row>
    <row r="89" ht="15.75" customHeight="1">
      <c r="A89" s="86"/>
      <c r="B89" s="86"/>
      <c r="C89" s="86"/>
      <c r="D89" s="86"/>
      <c r="E89" s="86"/>
      <c r="F89" s="86"/>
      <c r="G89" s="86"/>
    </row>
    <row r="90" ht="15.75" customHeight="1">
      <c r="A90" s="86"/>
      <c r="B90" s="86"/>
      <c r="C90" s="86"/>
      <c r="D90" s="86"/>
      <c r="E90" s="86"/>
      <c r="F90" s="86"/>
      <c r="G90" s="86"/>
    </row>
    <row r="91" ht="15.75" customHeight="1">
      <c r="A91" s="86"/>
      <c r="B91" s="86"/>
      <c r="C91" s="86"/>
      <c r="D91" s="86"/>
      <c r="E91" s="86"/>
      <c r="F91" s="86"/>
      <c r="G91" s="86"/>
    </row>
    <row r="92" ht="15.75" customHeight="1">
      <c r="A92" s="86"/>
      <c r="B92" s="86"/>
      <c r="C92" s="86"/>
      <c r="D92" s="86"/>
      <c r="E92" s="86"/>
      <c r="F92" s="86"/>
      <c r="G92" s="86"/>
    </row>
    <row r="93" ht="15.75" customHeight="1">
      <c r="A93" s="86"/>
      <c r="B93" s="86"/>
      <c r="C93" s="86"/>
      <c r="D93" s="86"/>
      <c r="E93" s="86"/>
      <c r="F93" s="86"/>
      <c r="G93" s="86"/>
    </row>
    <row r="94" ht="15.75" customHeight="1">
      <c r="A94" s="86"/>
      <c r="B94" s="86"/>
      <c r="C94" s="86"/>
      <c r="D94" s="86"/>
      <c r="E94" s="86"/>
      <c r="F94" s="86"/>
      <c r="G94" s="86"/>
    </row>
    <row r="95" ht="15.75" customHeight="1">
      <c r="A95" s="86"/>
      <c r="B95" s="86"/>
      <c r="C95" s="86"/>
      <c r="D95" s="86"/>
      <c r="E95" s="86"/>
      <c r="F95" s="86"/>
      <c r="G95" s="86"/>
    </row>
    <row r="96" ht="15.75" customHeight="1">
      <c r="A96" s="86"/>
      <c r="B96" s="86"/>
      <c r="C96" s="86"/>
      <c r="D96" s="86"/>
      <c r="E96" s="86"/>
      <c r="F96" s="86"/>
      <c r="G96" s="86"/>
    </row>
    <row r="97" ht="15.75" customHeight="1">
      <c r="A97" s="86"/>
      <c r="B97" s="86"/>
      <c r="C97" s="86"/>
      <c r="D97" s="86"/>
      <c r="E97" s="86"/>
      <c r="F97" s="86"/>
      <c r="G97" s="86"/>
    </row>
    <row r="98" ht="15.75" customHeight="1">
      <c r="A98" s="86"/>
      <c r="B98" s="86"/>
      <c r="C98" s="86"/>
      <c r="D98" s="86"/>
      <c r="E98" s="86"/>
      <c r="F98" s="86"/>
      <c r="G98" s="86"/>
    </row>
    <row r="99" ht="15.75" customHeight="1">
      <c r="A99" s="86"/>
      <c r="B99" s="86"/>
      <c r="C99" s="86"/>
      <c r="D99" s="86"/>
      <c r="E99" s="86"/>
      <c r="F99" s="86"/>
      <c r="G99" s="86"/>
    </row>
    <row r="100" ht="15.75" customHeight="1">
      <c r="A100" s="86"/>
      <c r="B100" s="86"/>
      <c r="C100" s="86"/>
      <c r="D100" s="86"/>
      <c r="E100" s="86"/>
      <c r="F100" s="86"/>
      <c r="G100" s="86"/>
    </row>
    <row r="101" ht="15.75" customHeight="1">
      <c r="A101" s="86"/>
      <c r="B101" s="86"/>
      <c r="C101" s="86"/>
      <c r="D101" s="86"/>
      <c r="E101" s="86"/>
      <c r="F101" s="86"/>
      <c r="G101" s="86"/>
    </row>
    <row r="102" ht="15.75" customHeight="1">
      <c r="A102" s="86"/>
      <c r="B102" s="86"/>
      <c r="C102" s="86"/>
      <c r="D102" s="86"/>
      <c r="E102" s="86"/>
      <c r="F102" s="86"/>
      <c r="G102" s="86"/>
    </row>
    <row r="103" ht="15.75" customHeight="1">
      <c r="A103" s="86"/>
      <c r="B103" s="86"/>
      <c r="C103" s="86"/>
      <c r="D103" s="86"/>
      <c r="E103" s="86"/>
      <c r="F103" s="86"/>
      <c r="G103" s="86"/>
    </row>
    <row r="104" ht="15.75" customHeight="1">
      <c r="A104" s="86"/>
      <c r="B104" s="86"/>
      <c r="C104" s="86"/>
      <c r="D104" s="86"/>
      <c r="E104" s="86"/>
      <c r="F104" s="86"/>
      <c r="G104" s="86"/>
    </row>
    <row r="105" ht="15.75" customHeight="1">
      <c r="A105" s="86"/>
      <c r="B105" s="86"/>
      <c r="C105" s="86"/>
      <c r="D105" s="86"/>
      <c r="E105" s="86"/>
      <c r="F105" s="86"/>
      <c r="G105" s="86"/>
    </row>
    <row r="106" ht="15.75" customHeight="1">
      <c r="A106" s="86"/>
      <c r="B106" s="86"/>
      <c r="C106" s="86"/>
      <c r="D106" s="86"/>
      <c r="E106" s="86"/>
      <c r="F106" s="86"/>
      <c r="G106" s="86"/>
    </row>
    <row r="107" ht="15.75" customHeight="1">
      <c r="A107" s="86"/>
      <c r="B107" s="86"/>
      <c r="C107" s="86"/>
      <c r="D107" s="86"/>
      <c r="E107" s="86"/>
      <c r="F107" s="86"/>
      <c r="G107" s="86"/>
    </row>
    <row r="108" ht="15.75" customHeight="1">
      <c r="A108" s="86"/>
      <c r="B108" s="86"/>
      <c r="C108" s="86"/>
      <c r="D108" s="86"/>
      <c r="E108" s="86"/>
      <c r="F108" s="86"/>
      <c r="G108" s="86"/>
    </row>
    <row r="109" ht="15.75" customHeight="1">
      <c r="A109" s="86"/>
      <c r="B109" s="86"/>
      <c r="C109" s="86"/>
      <c r="D109" s="86"/>
      <c r="E109" s="86"/>
      <c r="F109" s="86"/>
      <c r="G109" s="86"/>
    </row>
    <row r="110" ht="15.75" customHeight="1">
      <c r="A110" s="86"/>
      <c r="B110" s="86"/>
      <c r="C110" s="86"/>
      <c r="D110" s="86"/>
      <c r="E110" s="86"/>
      <c r="F110" s="86"/>
      <c r="G110" s="86"/>
    </row>
    <row r="111" ht="15.75" customHeight="1">
      <c r="A111" s="86"/>
      <c r="B111" s="86"/>
      <c r="C111" s="86"/>
      <c r="D111" s="86"/>
      <c r="E111" s="86"/>
      <c r="F111" s="86"/>
      <c r="G111" s="86"/>
    </row>
    <row r="112" ht="15.75" customHeight="1">
      <c r="A112" s="86"/>
      <c r="B112" s="86"/>
      <c r="C112" s="86"/>
      <c r="D112" s="86"/>
      <c r="E112" s="86"/>
      <c r="F112" s="86"/>
      <c r="G112" s="86"/>
    </row>
    <row r="113" ht="15.75" customHeight="1">
      <c r="A113" s="86"/>
      <c r="B113" s="86"/>
      <c r="C113" s="86"/>
      <c r="D113" s="86"/>
      <c r="E113" s="86"/>
      <c r="F113" s="86"/>
      <c r="G113" s="86"/>
    </row>
    <row r="114" ht="15.75" customHeight="1">
      <c r="A114" s="86"/>
      <c r="B114" s="86"/>
      <c r="C114" s="86"/>
      <c r="D114" s="86"/>
      <c r="E114" s="86"/>
      <c r="F114" s="86"/>
      <c r="G114" s="86"/>
    </row>
    <row r="115" ht="15.75" customHeight="1">
      <c r="A115" s="86"/>
      <c r="B115" s="86"/>
      <c r="C115" s="86"/>
      <c r="D115" s="86"/>
      <c r="E115" s="86"/>
      <c r="F115" s="86"/>
      <c r="G115" s="86"/>
    </row>
    <row r="116" ht="15.75" customHeight="1">
      <c r="A116" s="86"/>
      <c r="B116" s="86"/>
      <c r="C116" s="86"/>
      <c r="D116" s="86"/>
      <c r="E116" s="86"/>
      <c r="F116" s="86"/>
      <c r="G116" s="86"/>
    </row>
    <row r="117" ht="15.75" customHeight="1">
      <c r="A117" s="86"/>
      <c r="B117" s="86"/>
      <c r="C117" s="86"/>
      <c r="D117" s="86"/>
      <c r="E117" s="86"/>
      <c r="F117" s="86"/>
      <c r="G117" s="86"/>
    </row>
    <row r="118" ht="15.75" customHeight="1">
      <c r="A118" s="86"/>
      <c r="B118" s="86"/>
      <c r="C118" s="86"/>
      <c r="D118" s="86"/>
      <c r="E118" s="86"/>
      <c r="F118" s="86"/>
      <c r="G118" s="86"/>
    </row>
    <row r="119" ht="15.75" customHeight="1">
      <c r="A119" s="86"/>
      <c r="B119" s="86"/>
      <c r="C119" s="86"/>
      <c r="D119" s="86"/>
      <c r="E119" s="86"/>
      <c r="F119" s="86"/>
      <c r="G119" s="86"/>
    </row>
    <row r="120" ht="15.75" customHeight="1">
      <c r="A120" s="86"/>
      <c r="B120" s="86"/>
      <c r="C120" s="86"/>
      <c r="D120" s="86"/>
      <c r="E120" s="86"/>
      <c r="F120" s="86"/>
      <c r="G120" s="86"/>
    </row>
    <row r="121" ht="15.75" customHeight="1">
      <c r="A121" s="86"/>
      <c r="B121" s="86"/>
      <c r="C121" s="86"/>
      <c r="D121" s="86"/>
      <c r="E121" s="86"/>
      <c r="F121" s="86"/>
      <c r="G121" s="86"/>
    </row>
    <row r="122" ht="15.75" customHeight="1">
      <c r="A122" s="86"/>
      <c r="B122" s="86"/>
      <c r="C122" s="86"/>
      <c r="D122" s="86"/>
      <c r="E122" s="86"/>
      <c r="F122" s="86"/>
      <c r="G122" s="86"/>
    </row>
    <row r="123" ht="15.75" customHeight="1">
      <c r="A123" s="86"/>
      <c r="B123" s="86"/>
      <c r="C123" s="86"/>
      <c r="D123" s="86"/>
      <c r="E123" s="86"/>
      <c r="F123" s="86"/>
      <c r="G123" s="86"/>
    </row>
    <row r="124" ht="15.75" customHeight="1">
      <c r="A124" s="86"/>
      <c r="B124" s="86"/>
      <c r="C124" s="86"/>
      <c r="D124" s="86"/>
      <c r="E124" s="86"/>
      <c r="F124" s="86"/>
      <c r="G124" s="86"/>
    </row>
    <row r="125" ht="15.75" customHeight="1">
      <c r="A125" s="86"/>
      <c r="B125" s="86"/>
      <c r="C125" s="86"/>
      <c r="D125" s="86"/>
      <c r="E125" s="86"/>
      <c r="F125" s="86"/>
      <c r="G125" s="86"/>
    </row>
    <row r="126" ht="15.75" customHeight="1">
      <c r="A126" s="86"/>
      <c r="B126" s="86"/>
      <c r="C126" s="86"/>
      <c r="D126" s="86"/>
      <c r="E126" s="86"/>
      <c r="F126" s="86"/>
      <c r="G126" s="86"/>
    </row>
    <row r="127" ht="15.75" customHeight="1">
      <c r="A127" s="86"/>
      <c r="B127" s="86"/>
      <c r="C127" s="86"/>
      <c r="D127" s="86"/>
      <c r="E127" s="86"/>
      <c r="F127" s="86"/>
      <c r="G127" s="86"/>
    </row>
    <row r="128" ht="15.75" customHeight="1">
      <c r="A128" s="86"/>
      <c r="B128" s="86"/>
      <c r="C128" s="86"/>
      <c r="D128" s="86"/>
      <c r="E128" s="86"/>
      <c r="F128" s="86"/>
      <c r="G128" s="86"/>
    </row>
    <row r="129" ht="15.75" customHeight="1">
      <c r="A129" s="86"/>
      <c r="B129" s="86"/>
      <c r="C129" s="86"/>
      <c r="D129" s="86"/>
      <c r="E129" s="86"/>
      <c r="F129" s="86"/>
      <c r="G129" s="86"/>
    </row>
    <row r="130" ht="15.75" customHeight="1">
      <c r="A130" s="86"/>
      <c r="B130" s="86"/>
      <c r="C130" s="86"/>
      <c r="D130" s="86"/>
      <c r="E130" s="86"/>
      <c r="F130" s="86"/>
      <c r="G130" s="86"/>
    </row>
    <row r="131" ht="15.75" customHeight="1">
      <c r="A131" s="86"/>
      <c r="B131" s="86"/>
      <c r="C131" s="86"/>
      <c r="D131" s="86"/>
      <c r="E131" s="86"/>
      <c r="F131" s="86"/>
      <c r="G131" s="86"/>
    </row>
    <row r="132" ht="15.75" customHeight="1">
      <c r="A132" s="86"/>
      <c r="B132" s="86"/>
      <c r="C132" s="86"/>
      <c r="D132" s="86"/>
      <c r="E132" s="86"/>
      <c r="F132" s="86"/>
      <c r="G132" s="86"/>
    </row>
    <row r="133" ht="15.75" customHeight="1">
      <c r="A133" s="86"/>
      <c r="B133" s="86"/>
      <c r="C133" s="86"/>
      <c r="D133" s="86"/>
      <c r="E133" s="86"/>
      <c r="F133" s="86"/>
      <c r="G133" s="86"/>
    </row>
    <row r="134" ht="15.75" customHeight="1">
      <c r="A134" s="86"/>
      <c r="B134" s="86"/>
      <c r="C134" s="86"/>
      <c r="D134" s="86"/>
      <c r="E134" s="86"/>
      <c r="F134" s="86"/>
      <c r="G134" s="86"/>
    </row>
    <row r="135" ht="15.75" customHeight="1">
      <c r="A135" s="86"/>
      <c r="B135" s="86"/>
      <c r="C135" s="86"/>
      <c r="D135" s="86"/>
      <c r="E135" s="86"/>
      <c r="F135" s="86"/>
      <c r="G135" s="86"/>
    </row>
    <row r="136" ht="15.75" customHeight="1">
      <c r="A136" s="86"/>
      <c r="B136" s="86"/>
      <c r="C136" s="86"/>
      <c r="D136" s="86"/>
      <c r="E136" s="86"/>
      <c r="F136" s="86"/>
      <c r="G136" s="86"/>
    </row>
    <row r="137" ht="15.75" customHeight="1">
      <c r="A137" s="86"/>
      <c r="B137" s="86"/>
      <c r="C137" s="86"/>
      <c r="D137" s="86"/>
      <c r="E137" s="86"/>
      <c r="F137" s="86"/>
      <c r="G137" s="86"/>
    </row>
    <row r="138" ht="15.75" customHeight="1">
      <c r="A138" s="86"/>
      <c r="B138" s="86"/>
      <c r="C138" s="86"/>
      <c r="D138" s="86"/>
      <c r="E138" s="86"/>
      <c r="F138" s="86"/>
      <c r="G138" s="86"/>
    </row>
    <row r="139" ht="15.75" customHeight="1">
      <c r="A139" s="86"/>
      <c r="B139" s="86"/>
      <c r="C139" s="86"/>
      <c r="D139" s="86"/>
      <c r="E139" s="86"/>
      <c r="F139" s="86"/>
      <c r="G139" s="86"/>
    </row>
    <row r="140" ht="15.75" customHeight="1">
      <c r="A140" s="86"/>
      <c r="B140" s="86"/>
      <c r="C140" s="86"/>
      <c r="D140" s="86"/>
      <c r="E140" s="86"/>
      <c r="F140" s="86"/>
      <c r="G140" s="86"/>
    </row>
    <row r="141" ht="15.75" customHeight="1">
      <c r="A141" s="86"/>
      <c r="B141" s="86"/>
      <c r="C141" s="86"/>
      <c r="D141" s="86"/>
      <c r="E141" s="86"/>
      <c r="F141" s="86"/>
      <c r="G141" s="86"/>
    </row>
    <row r="142" ht="15.75" customHeight="1">
      <c r="A142" s="86"/>
      <c r="B142" s="86"/>
      <c r="C142" s="86"/>
      <c r="D142" s="86"/>
      <c r="E142" s="86"/>
      <c r="F142" s="86"/>
      <c r="G142" s="86"/>
    </row>
    <row r="143" ht="15.75" customHeight="1">
      <c r="A143" s="86"/>
      <c r="B143" s="86"/>
      <c r="C143" s="86"/>
      <c r="D143" s="86"/>
      <c r="E143" s="86"/>
      <c r="F143" s="86"/>
      <c r="G143" s="86"/>
    </row>
    <row r="144" ht="15.75" customHeight="1">
      <c r="A144" s="86"/>
      <c r="B144" s="86"/>
      <c r="C144" s="86"/>
      <c r="D144" s="86"/>
      <c r="E144" s="86"/>
      <c r="F144" s="86"/>
      <c r="G144" s="86"/>
    </row>
    <row r="145" ht="15.75" customHeight="1">
      <c r="A145" s="86"/>
      <c r="B145" s="86"/>
      <c r="C145" s="86"/>
      <c r="D145" s="86"/>
      <c r="E145" s="86"/>
      <c r="F145" s="86"/>
      <c r="G145" s="86"/>
    </row>
    <row r="146" ht="15.75" customHeight="1">
      <c r="A146" s="86"/>
      <c r="B146" s="86"/>
      <c r="C146" s="86"/>
      <c r="D146" s="86"/>
      <c r="E146" s="86"/>
      <c r="F146" s="86"/>
      <c r="G146" s="86"/>
    </row>
    <row r="147" ht="15.75" customHeight="1">
      <c r="A147" s="86"/>
      <c r="B147" s="86"/>
      <c r="C147" s="86"/>
      <c r="D147" s="86"/>
      <c r="E147" s="86"/>
      <c r="F147" s="86"/>
      <c r="G147" s="86"/>
    </row>
    <row r="148" ht="15.75" customHeight="1">
      <c r="A148" s="86"/>
      <c r="B148" s="86"/>
      <c r="C148" s="86"/>
      <c r="D148" s="86"/>
      <c r="E148" s="86"/>
      <c r="F148" s="86"/>
      <c r="G148" s="86"/>
    </row>
    <row r="149" ht="15.75" customHeight="1">
      <c r="A149" s="86"/>
      <c r="B149" s="86"/>
      <c r="C149" s="86"/>
      <c r="D149" s="86"/>
      <c r="E149" s="86"/>
      <c r="F149" s="86"/>
      <c r="G149" s="86"/>
    </row>
    <row r="150" ht="15.75" customHeight="1">
      <c r="A150" s="86"/>
      <c r="B150" s="86"/>
      <c r="C150" s="86"/>
      <c r="D150" s="86"/>
      <c r="E150" s="86"/>
      <c r="F150" s="86"/>
      <c r="G150" s="86"/>
    </row>
    <row r="151" ht="15.75" customHeight="1">
      <c r="A151" s="86"/>
      <c r="B151" s="86"/>
      <c r="C151" s="86"/>
      <c r="D151" s="86"/>
      <c r="E151" s="86"/>
      <c r="F151" s="86"/>
      <c r="G151" s="86"/>
    </row>
    <row r="152" ht="15.75" customHeight="1">
      <c r="A152" s="86"/>
      <c r="B152" s="86"/>
      <c r="C152" s="86"/>
      <c r="D152" s="86"/>
      <c r="E152" s="86"/>
      <c r="F152" s="86"/>
      <c r="G152" s="86"/>
    </row>
    <row r="153" ht="15.75" customHeight="1">
      <c r="A153" s="86"/>
      <c r="B153" s="86"/>
      <c r="C153" s="86"/>
      <c r="D153" s="86"/>
      <c r="E153" s="86"/>
      <c r="F153" s="86"/>
      <c r="G153" s="86"/>
    </row>
    <row r="154" ht="15.75" customHeight="1">
      <c r="A154" s="86"/>
      <c r="B154" s="86"/>
      <c r="C154" s="86"/>
      <c r="D154" s="86"/>
      <c r="E154" s="86"/>
      <c r="F154" s="86"/>
      <c r="G154" s="86"/>
    </row>
    <row r="155" ht="15.75" customHeight="1">
      <c r="A155" s="86"/>
      <c r="B155" s="86"/>
      <c r="C155" s="86"/>
      <c r="D155" s="86"/>
      <c r="E155" s="86"/>
      <c r="F155" s="86"/>
      <c r="G155" s="86"/>
    </row>
    <row r="156" ht="15.75" customHeight="1">
      <c r="A156" s="86"/>
      <c r="B156" s="86"/>
      <c r="C156" s="86"/>
      <c r="D156" s="86"/>
      <c r="E156" s="86"/>
      <c r="F156" s="86"/>
      <c r="G156" s="86"/>
    </row>
    <row r="157" ht="15.75" customHeight="1">
      <c r="A157" s="86"/>
      <c r="B157" s="86"/>
      <c r="C157" s="86"/>
      <c r="D157" s="86"/>
      <c r="E157" s="86"/>
      <c r="F157" s="86"/>
      <c r="G157" s="86"/>
    </row>
    <row r="158" ht="15.75" customHeight="1">
      <c r="A158" s="86"/>
      <c r="B158" s="86"/>
      <c r="C158" s="86"/>
      <c r="D158" s="86"/>
      <c r="E158" s="86"/>
      <c r="F158" s="86"/>
      <c r="G158" s="86"/>
    </row>
    <row r="159" ht="15.75" customHeight="1">
      <c r="A159" s="86"/>
      <c r="B159" s="86"/>
      <c r="C159" s="86"/>
      <c r="D159" s="86"/>
      <c r="E159" s="86"/>
      <c r="F159" s="86"/>
      <c r="G159" s="86"/>
    </row>
    <row r="160" ht="15.75" customHeight="1">
      <c r="A160" s="86"/>
      <c r="B160" s="86"/>
      <c r="C160" s="86"/>
      <c r="D160" s="86"/>
      <c r="E160" s="86"/>
      <c r="F160" s="86"/>
      <c r="G160" s="86"/>
    </row>
    <row r="161" ht="15.75" customHeight="1">
      <c r="A161" s="86"/>
      <c r="B161" s="86"/>
      <c r="C161" s="86"/>
      <c r="D161" s="86"/>
      <c r="E161" s="86"/>
      <c r="F161" s="86"/>
      <c r="G161" s="86"/>
    </row>
    <row r="162" ht="15.75" customHeight="1">
      <c r="A162" s="86"/>
      <c r="B162" s="86"/>
      <c r="C162" s="86"/>
      <c r="D162" s="86"/>
      <c r="E162" s="86"/>
      <c r="F162" s="86"/>
      <c r="G162" s="86"/>
    </row>
    <row r="163" ht="15.75" customHeight="1">
      <c r="A163" s="86"/>
      <c r="B163" s="86"/>
      <c r="C163" s="86"/>
      <c r="D163" s="86"/>
      <c r="E163" s="86"/>
      <c r="F163" s="86"/>
      <c r="G163" s="86"/>
    </row>
    <row r="164" ht="15.75" customHeight="1">
      <c r="A164" s="86"/>
      <c r="B164" s="86"/>
      <c r="C164" s="86"/>
      <c r="D164" s="86"/>
      <c r="E164" s="86"/>
      <c r="F164" s="86"/>
      <c r="G164" s="86"/>
    </row>
    <row r="165" ht="15.75" customHeight="1">
      <c r="A165" s="86"/>
      <c r="B165" s="86"/>
      <c r="C165" s="86"/>
      <c r="D165" s="86"/>
      <c r="E165" s="86"/>
      <c r="F165" s="86"/>
      <c r="G165" s="86"/>
    </row>
    <row r="166" ht="15.75" customHeight="1">
      <c r="A166" s="86"/>
      <c r="B166" s="86"/>
      <c r="C166" s="86"/>
      <c r="D166" s="86"/>
      <c r="E166" s="86"/>
      <c r="F166" s="86"/>
      <c r="G166" s="86"/>
    </row>
    <row r="167" ht="15.75" customHeight="1">
      <c r="A167" s="86"/>
      <c r="B167" s="86"/>
      <c r="C167" s="86"/>
      <c r="D167" s="86"/>
      <c r="E167" s="86"/>
      <c r="F167" s="86"/>
      <c r="G167" s="86"/>
    </row>
    <row r="168" ht="15.75" customHeight="1">
      <c r="A168" s="86"/>
      <c r="B168" s="86"/>
      <c r="C168" s="86"/>
      <c r="D168" s="86"/>
      <c r="E168" s="86"/>
      <c r="F168" s="86"/>
      <c r="G168" s="86"/>
    </row>
    <row r="169" ht="15.75" customHeight="1">
      <c r="A169" s="86"/>
      <c r="B169" s="86"/>
      <c r="C169" s="86"/>
      <c r="D169" s="86"/>
      <c r="E169" s="86"/>
      <c r="F169" s="86"/>
      <c r="G169" s="86"/>
    </row>
    <row r="170" ht="15.75" customHeight="1">
      <c r="A170" s="86"/>
      <c r="B170" s="86"/>
      <c r="C170" s="86"/>
      <c r="D170" s="86"/>
      <c r="E170" s="86"/>
      <c r="F170" s="86"/>
      <c r="G170" s="86"/>
    </row>
    <row r="171" ht="15.75" customHeight="1">
      <c r="A171" s="86"/>
      <c r="B171" s="86"/>
      <c r="C171" s="86"/>
      <c r="D171" s="86"/>
      <c r="E171" s="86"/>
      <c r="F171" s="86"/>
      <c r="G171" s="86"/>
    </row>
    <row r="172" ht="15.75" customHeight="1">
      <c r="A172" s="86"/>
      <c r="B172" s="86"/>
      <c r="C172" s="86"/>
      <c r="D172" s="86"/>
      <c r="E172" s="86"/>
      <c r="F172" s="86"/>
      <c r="G172" s="86"/>
    </row>
    <row r="173" ht="15.75" customHeight="1">
      <c r="A173" s="86"/>
      <c r="B173" s="86"/>
      <c r="C173" s="86"/>
      <c r="D173" s="86"/>
      <c r="E173" s="86"/>
      <c r="F173" s="86"/>
      <c r="G173" s="86"/>
    </row>
    <row r="174" ht="15.75" customHeight="1">
      <c r="A174" s="86"/>
      <c r="B174" s="86"/>
      <c r="C174" s="86"/>
      <c r="D174" s="86"/>
      <c r="E174" s="86"/>
      <c r="F174" s="86"/>
      <c r="G174" s="86"/>
    </row>
    <row r="175" ht="15.75" customHeight="1">
      <c r="A175" s="86"/>
      <c r="B175" s="86"/>
      <c r="C175" s="86"/>
      <c r="D175" s="86"/>
      <c r="E175" s="86"/>
      <c r="F175" s="86"/>
      <c r="G175" s="86"/>
    </row>
    <row r="176" ht="15.75" customHeight="1">
      <c r="A176" s="86"/>
      <c r="B176" s="86"/>
      <c r="C176" s="86"/>
      <c r="D176" s="86"/>
      <c r="E176" s="86"/>
      <c r="F176" s="86"/>
      <c r="G176" s="86"/>
    </row>
    <row r="177" ht="15.75" customHeight="1">
      <c r="A177" s="86"/>
      <c r="B177" s="86"/>
      <c r="C177" s="86"/>
      <c r="D177" s="86"/>
      <c r="E177" s="86"/>
      <c r="F177" s="86"/>
      <c r="G177" s="86"/>
    </row>
    <row r="178" ht="15.75" customHeight="1">
      <c r="A178" s="86"/>
      <c r="B178" s="86"/>
      <c r="C178" s="86"/>
      <c r="D178" s="86"/>
      <c r="E178" s="86"/>
      <c r="F178" s="86"/>
      <c r="G178" s="86"/>
    </row>
    <row r="179" ht="15.75" customHeight="1">
      <c r="A179" s="86"/>
      <c r="B179" s="86"/>
      <c r="C179" s="86"/>
      <c r="D179" s="86"/>
      <c r="E179" s="86"/>
      <c r="F179" s="86"/>
      <c r="G179" s="86"/>
    </row>
    <row r="180" ht="15.75" customHeight="1">
      <c r="A180" s="86"/>
      <c r="B180" s="86"/>
      <c r="C180" s="86"/>
      <c r="D180" s="86"/>
      <c r="E180" s="86"/>
      <c r="F180" s="86"/>
      <c r="G180" s="86"/>
    </row>
    <row r="181" ht="15.75" customHeight="1">
      <c r="A181" s="86"/>
      <c r="B181" s="86"/>
      <c r="C181" s="86"/>
      <c r="D181" s="86"/>
      <c r="E181" s="86"/>
      <c r="F181" s="86"/>
      <c r="G181" s="86"/>
    </row>
    <row r="182" ht="15.75" customHeight="1">
      <c r="A182" s="86"/>
      <c r="B182" s="86"/>
      <c r="C182" s="86"/>
      <c r="D182" s="86"/>
      <c r="E182" s="86"/>
      <c r="F182" s="86"/>
      <c r="G182" s="86"/>
    </row>
    <row r="183" ht="15.75" customHeight="1">
      <c r="A183" s="86"/>
      <c r="B183" s="86"/>
      <c r="C183" s="86"/>
      <c r="D183" s="86"/>
      <c r="E183" s="86"/>
      <c r="F183" s="86"/>
      <c r="G183" s="86"/>
    </row>
    <row r="184" ht="15.75" customHeight="1">
      <c r="A184" s="86"/>
      <c r="B184" s="86"/>
      <c r="C184" s="86"/>
      <c r="D184" s="86"/>
      <c r="E184" s="86"/>
      <c r="F184" s="86"/>
      <c r="G184" s="86"/>
    </row>
    <row r="185" ht="15.75" customHeight="1">
      <c r="A185" s="86"/>
      <c r="B185" s="86"/>
      <c r="C185" s="86"/>
      <c r="D185" s="86"/>
      <c r="E185" s="86"/>
      <c r="F185" s="86"/>
      <c r="G185" s="86"/>
    </row>
    <row r="186" ht="15.75" customHeight="1">
      <c r="A186" s="86"/>
      <c r="B186" s="86"/>
      <c r="C186" s="86"/>
      <c r="D186" s="86"/>
      <c r="E186" s="86"/>
      <c r="F186" s="86"/>
      <c r="G186" s="86"/>
    </row>
    <row r="187" ht="15.75" customHeight="1">
      <c r="A187" s="86"/>
      <c r="B187" s="86"/>
      <c r="C187" s="86"/>
      <c r="D187" s="86"/>
      <c r="E187" s="86"/>
      <c r="F187" s="86"/>
      <c r="G187" s="86"/>
    </row>
    <row r="188" ht="15.75" customHeight="1">
      <c r="A188" s="86"/>
      <c r="B188" s="86"/>
      <c r="C188" s="86"/>
      <c r="D188" s="86"/>
      <c r="E188" s="86"/>
      <c r="F188" s="86"/>
      <c r="G188" s="86"/>
    </row>
    <row r="189" ht="15.75" customHeight="1">
      <c r="A189" s="86"/>
      <c r="B189" s="86"/>
      <c r="C189" s="86"/>
      <c r="D189" s="86"/>
      <c r="E189" s="86"/>
      <c r="F189" s="86"/>
      <c r="G189" s="86"/>
    </row>
    <row r="190" ht="15.75" customHeight="1">
      <c r="A190" s="86"/>
      <c r="B190" s="86"/>
      <c r="C190" s="86"/>
      <c r="D190" s="86"/>
      <c r="E190" s="86"/>
      <c r="F190" s="86"/>
      <c r="G190" s="86"/>
    </row>
    <row r="191" ht="15.75" customHeight="1">
      <c r="A191" s="86"/>
      <c r="B191" s="86"/>
      <c r="C191" s="86"/>
      <c r="D191" s="86"/>
      <c r="E191" s="86"/>
      <c r="F191" s="86"/>
      <c r="G191" s="86"/>
    </row>
    <row r="192" ht="15.75" customHeight="1">
      <c r="A192" s="86"/>
      <c r="B192" s="86"/>
      <c r="C192" s="86"/>
      <c r="D192" s="86"/>
      <c r="E192" s="86"/>
      <c r="F192" s="86"/>
      <c r="G192" s="86"/>
    </row>
    <row r="193" ht="15.75" customHeight="1">
      <c r="A193" s="86"/>
      <c r="B193" s="86"/>
      <c r="C193" s="86"/>
      <c r="D193" s="86"/>
      <c r="E193" s="86"/>
      <c r="F193" s="86"/>
      <c r="G193" s="86"/>
    </row>
    <row r="194" ht="15.75" customHeight="1">
      <c r="A194" s="86"/>
      <c r="B194" s="86"/>
      <c r="C194" s="86"/>
      <c r="D194" s="86"/>
      <c r="E194" s="86"/>
      <c r="F194" s="86"/>
      <c r="G194" s="86"/>
    </row>
    <row r="195" ht="15.75" customHeight="1">
      <c r="A195" s="86"/>
      <c r="B195" s="86"/>
      <c r="C195" s="86"/>
      <c r="D195" s="86"/>
      <c r="E195" s="86"/>
      <c r="F195" s="86"/>
      <c r="G195" s="86"/>
    </row>
    <row r="196" ht="15.75" customHeight="1">
      <c r="A196" s="86"/>
      <c r="B196" s="86"/>
      <c r="C196" s="86"/>
      <c r="D196" s="86"/>
      <c r="E196" s="86"/>
      <c r="F196" s="86"/>
      <c r="G196" s="86"/>
    </row>
    <row r="197" ht="15.75" customHeight="1">
      <c r="A197" s="86"/>
      <c r="B197" s="86"/>
      <c r="C197" s="86"/>
      <c r="D197" s="86"/>
      <c r="E197" s="86"/>
      <c r="F197" s="86"/>
      <c r="G197" s="86"/>
    </row>
    <row r="198" ht="15.75" customHeight="1">
      <c r="A198" s="86"/>
      <c r="B198" s="86"/>
      <c r="C198" s="86"/>
      <c r="D198" s="86"/>
      <c r="E198" s="86"/>
      <c r="F198" s="86"/>
      <c r="G198" s="86"/>
    </row>
    <row r="199" ht="15.75" customHeight="1">
      <c r="A199" s="86"/>
      <c r="B199" s="86"/>
      <c r="C199" s="86"/>
      <c r="D199" s="86"/>
      <c r="E199" s="86"/>
      <c r="F199" s="86"/>
      <c r="G199" s="86"/>
    </row>
    <row r="200" ht="15.75" customHeight="1">
      <c r="A200" s="86"/>
      <c r="B200" s="86"/>
      <c r="C200" s="86"/>
      <c r="D200" s="86"/>
      <c r="E200" s="86"/>
      <c r="F200" s="86"/>
      <c r="G200" s="86"/>
    </row>
    <row r="201" ht="15.75" customHeight="1">
      <c r="A201" s="86"/>
      <c r="B201" s="86"/>
      <c r="C201" s="86"/>
      <c r="D201" s="86"/>
      <c r="E201" s="86"/>
      <c r="F201" s="86"/>
      <c r="G201" s="86"/>
    </row>
    <row r="202" ht="15.75" customHeight="1">
      <c r="A202" s="86"/>
      <c r="B202" s="86"/>
      <c r="C202" s="86"/>
      <c r="D202" s="86"/>
      <c r="E202" s="86"/>
      <c r="F202" s="86"/>
      <c r="G202" s="86"/>
    </row>
    <row r="203" ht="15.75" customHeight="1">
      <c r="A203" s="86"/>
      <c r="B203" s="86"/>
      <c r="C203" s="86"/>
      <c r="D203" s="86"/>
      <c r="E203" s="86"/>
      <c r="F203" s="86"/>
      <c r="G203" s="86"/>
    </row>
    <row r="204" ht="15.75" customHeight="1">
      <c r="A204" s="86"/>
      <c r="B204" s="86"/>
      <c r="C204" s="86"/>
      <c r="D204" s="86"/>
      <c r="E204" s="86"/>
      <c r="F204" s="86"/>
      <c r="G204" s="86"/>
    </row>
    <row r="205" ht="15.75" customHeight="1">
      <c r="A205" s="86"/>
      <c r="B205" s="86"/>
      <c r="C205" s="86"/>
      <c r="D205" s="86"/>
      <c r="E205" s="86"/>
      <c r="F205" s="86"/>
      <c r="G205" s="86"/>
    </row>
    <row r="206" ht="15.75" customHeight="1">
      <c r="A206" s="86"/>
      <c r="B206" s="86"/>
      <c r="C206" s="86"/>
      <c r="D206" s="86"/>
      <c r="E206" s="86"/>
      <c r="F206" s="86"/>
      <c r="G206" s="86"/>
    </row>
    <row r="207" ht="15.75" customHeight="1">
      <c r="A207" s="86"/>
      <c r="B207" s="86"/>
      <c r="C207" s="86"/>
      <c r="D207" s="86"/>
      <c r="E207" s="86"/>
      <c r="F207" s="86"/>
      <c r="G207" s="86"/>
    </row>
    <row r="208" ht="15.75" customHeight="1">
      <c r="A208" s="86"/>
      <c r="B208" s="86"/>
      <c r="C208" s="86"/>
      <c r="D208" s="86"/>
      <c r="E208" s="86"/>
      <c r="F208" s="86"/>
      <c r="G208" s="86"/>
    </row>
    <row r="209" ht="15.75" customHeight="1">
      <c r="A209" s="86"/>
      <c r="B209" s="86"/>
      <c r="C209" s="86"/>
      <c r="D209" s="86"/>
      <c r="E209" s="86"/>
      <c r="F209" s="86"/>
      <c r="G209" s="86"/>
    </row>
    <row r="210" ht="15.75" customHeight="1">
      <c r="A210" s="86"/>
      <c r="B210" s="86"/>
      <c r="C210" s="86"/>
      <c r="D210" s="86"/>
      <c r="E210" s="86"/>
      <c r="F210" s="86"/>
      <c r="G210" s="86"/>
    </row>
    <row r="211" ht="15.75" customHeight="1">
      <c r="A211" s="86"/>
      <c r="B211" s="86"/>
      <c r="C211" s="86"/>
      <c r="D211" s="86"/>
      <c r="E211" s="86"/>
      <c r="F211" s="86"/>
      <c r="G211" s="86"/>
    </row>
    <row r="212" ht="15.75" customHeight="1">
      <c r="A212" s="86"/>
      <c r="B212" s="86"/>
      <c r="C212" s="86"/>
      <c r="D212" s="86"/>
      <c r="E212" s="86"/>
      <c r="F212" s="86"/>
      <c r="G212" s="86"/>
    </row>
    <row r="213" ht="15.75" customHeight="1">
      <c r="A213" s="86"/>
      <c r="B213" s="86"/>
      <c r="C213" s="86"/>
      <c r="D213" s="86"/>
      <c r="E213" s="86"/>
      <c r="F213" s="86"/>
      <c r="G213" s="86"/>
    </row>
    <row r="214" ht="15.75" customHeight="1">
      <c r="A214" s="86"/>
      <c r="B214" s="86"/>
      <c r="C214" s="86"/>
      <c r="D214" s="86"/>
      <c r="E214" s="86"/>
      <c r="F214" s="86"/>
      <c r="G214" s="86"/>
    </row>
    <row r="215" ht="15.75" customHeight="1">
      <c r="A215" s="86"/>
      <c r="B215" s="86"/>
      <c r="C215" s="86"/>
      <c r="D215" s="86"/>
      <c r="E215" s="86"/>
      <c r="F215" s="86"/>
      <c r="G215" s="86"/>
    </row>
    <row r="216" ht="15.75" customHeight="1">
      <c r="A216" s="86"/>
      <c r="B216" s="86"/>
      <c r="C216" s="86"/>
      <c r="D216" s="86"/>
      <c r="E216" s="86"/>
      <c r="F216" s="86"/>
      <c r="G216" s="86"/>
    </row>
    <row r="217" ht="15.75" customHeight="1">
      <c r="A217" s="86"/>
      <c r="B217" s="86"/>
      <c r="C217" s="86"/>
      <c r="D217" s="86"/>
      <c r="E217" s="86"/>
      <c r="F217" s="86"/>
      <c r="G217" s="86"/>
    </row>
    <row r="218" ht="15.75" customHeight="1">
      <c r="A218" s="86"/>
      <c r="B218" s="86"/>
      <c r="C218" s="86"/>
      <c r="D218" s="86"/>
      <c r="E218" s="86"/>
      <c r="F218" s="86"/>
      <c r="G218" s="86"/>
    </row>
    <row r="219" ht="15.75" customHeight="1">
      <c r="A219" s="86"/>
      <c r="B219" s="86"/>
      <c r="C219" s="86"/>
      <c r="D219" s="86"/>
      <c r="E219" s="86"/>
      <c r="F219" s="86"/>
      <c r="G219" s="86"/>
    </row>
    <row r="220" ht="15.75" customHeight="1">
      <c r="A220" s="86"/>
      <c r="B220" s="86"/>
      <c r="C220" s="86"/>
      <c r="D220" s="86"/>
      <c r="E220" s="86"/>
      <c r="F220" s="86"/>
      <c r="G220" s="86"/>
    </row>
    <row r="221" ht="15.75" customHeight="1">
      <c r="A221" s="86"/>
      <c r="B221" s="86"/>
      <c r="C221" s="86"/>
      <c r="D221" s="86"/>
      <c r="E221" s="86"/>
      <c r="F221" s="86"/>
      <c r="G221" s="86"/>
    </row>
    <row r="222" ht="15.75" customHeight="1">
      <c r="A222" s="82"/>
      <c r="B222" s="82"/>
      <c r="C222" s="82"/>
      <c r="D222" s="82"/>
      <c r="E222" s="82"/>
      <c r="F222" s="82"/>
      <c r="G222" s="82"/>
    </row>
    <row r="223" ht="15.75" customHeight="1">
      <c r="A223" s="82"/>
      <c r="B223" s="82"/>
      <c r="C223" s="82"/>
      <c r="D223" s="82"/>
      <c r="E223" s="82"/>
      <c r="F223" s="82"/>
      <c r="G223" s="82"/>
    </row>
    <row r="224" ht="15.75" customHeight="1">
      <c r="A224" s="82"/>
      <c r="B224" s="82"/>
      <c r="C224" s="82"/>
      <c r="D224" s="82"/>
      <c r="E224" s="82"/>
      <c r="F224" s="82"/>
      <c r="G224" s="82"/>
    </row>
    <row r="225" ht="15.75" customHeight="1">
      <c r="A225" s="82"/>
      <c r="B225" s="82"/>
      <c r="C225" s="82"/>
      <c r="D225" s="82"/>
      <c r="E225" s="82"/>
      <c r="F225" s="82"/>
      <c r="G225" s="82"/>
    </row>
    <row r="226" ht="15.75" customHeight="1">
      <c r="A226" s="82"/>
      <c r="B226" s="82"/>
      <c r="C226" s="82"/>
      <c r="D226" s="82"/>
      <c r="E226" s="82"/>
      <c r="F226" s="82"/>
      <c r="G226" s="82"/>
    </row>
    <row r="227" ht="15.75" customHeight="1">
      <c r="A227" s="82"/>
      <c r="B227" s="82"/>
      <c r="C227" s="82"/>
      <c r="D227" s="82"/>
      <c r="E227" s="82"/>
      <c r="F227" s="82"/>
      <c r="G227" s="82"/>
    </row>
    <row r="228" ht="15.75" customHeight="1">
      <c r="A228" s="82"/>
      <c r="B228" s="82"/>
      <c r="C228" s="82"/>
      <c r="D228" s="82"/>
      <c r="E228" s="82"/>
      <c r="F228" s="82"/>
      <c r="G228" s="82"/>
    </row>
    <row r="229" ht="15.75" customHeight="1">
      <c r="A229" s="82"/>
      <c r="B229" s="82"/>
      <c r="C229" s="82"/>
      <c r="D229" s="82"/>
      <c r="E229" s="82"/>
      <c r="F229" s="82"/>
      <c r="G229" s="82"/>
    </row>
    <row r="230" ht="15.75" customHeight="1">
      <c r="A230" s="82"/>
      <c r="B230" s="82"/>
      <c r="C230" s="82"/>
      <c r="D230" s="82"/>
      <c r="E230" s="82"/>
      <c r="F230" s="82"/>
      <c r="G230" s="82"/>
    </row>
    <row r="231" ht="15.75" customHeight="1">
      <c r="A231" s="82"/>
      <c r="B231" s="82"/>
      <c r="C231" s="82"/>
      <c r="D231" s="82"/>
      <c r="E231" s="82"/>
      <c r="F231" s="82"/>
      <c r="G231" s="82"/>
    </row>
    <row r="232" ht="15.75" customHeight="1">
      <c r="A232" s="82"/>
      <c r="B232" s="82"/>
      <c r="C232" s="82"/>
      <c r="D232" s="82"/>
      <c r="E232" s="82"/>
      <c r="F232" s="82"/>
      <c r="G232" s="82"/>
    </row>
    <row r="233" ht="15.75" customHeight="1">
      <c r="A233" s="82"/>
      <c r="B233" s="82"/>
      <c r="C233" s="82"/>
      <c r="D233" s="82"/>
      <c r="E233" s="82"/>
      <c r="F233" s="82"/>
      <c r="G233" s="82"/>
    </row>
    <row r="234" ht="15.75" customHeight="1">
      <c r="A234" s="82"/>
      <c r="B234" s="82"/>
      <c r="C234" s="82"/>
      <c r="D234" s="82"/>
      <c r="E234" s="82"/>
      <c r="F234" s="82"/>
      <c r="G234" s="82"/>
    </row>
    <row r="235" ht="15.75" customHeight="1">
      <c r="A235" s="82"/>
      <c r="B235" s="82"/>
      <c r="C235" s="82"/>
      <c r="D235" s="82"/>
      <c r="E235" s="82"/>
      <c r="F235" s="82"/>
      <c r="G235" s="82"/>
    </row>
    <row r="236" ht="15.75" customHeight="1">
      <c r="A236" s="82"/>
      <c r="B236" s="82"/>
      <c r="C236" s="82"/>
      <c r="D236" s="82"/>
      <c r="E236" s="82"/>
      <c r="F236" s="82"/>
      <c r="G236" s="82"/>
    </row>
    <row r="237" ht="15.75" customHeight="1">
      <c r="A237" s="82"/>
      <c r="B237" s="82"/>
      <c r="C237" s="82"/>
      <c r="D237" s="82"/>
      <c r="E237" s="82"/>
      <c r="F237" s="82"/>
      <c r="G237" s="82"/>
    </row>
    <row r="238" ht="15.75" customHeight="1">
      <c r="A238" s="82"/>
      <c r="B238" s="82"/>
      <c r="C238" s="82"/>
      <c r="D238" s="82"/>
      <c r="E238" s="82"/>
      <c r="F238" s="82"/>
      <c r="G238" s="82"/>
    </row>
    <row r="239" ht="15.75" customHeight="1">
      <c r="A239" s="82"/>
      <c r="B239" s="82"/>
      <c r="C239" s="82"/>
      <c r="D239" s="82"/>
      <c r="E239" s="82"/>
      <c r="F239" s="82"/>
      <c r="G239" s="82"/>
    </row>
    <row r="240" ht="15.75" customHeight="1">
      <c r="A240" s="82"/>
      <c r="B240" s="82"/>
      <c r="C240" s="82"/>
      <c r="D240" s="82"/>
      <c r="E240" s="82"/>
      <c r="F240" s="82"/>
      <c r="G240" s="82"/>
    </row>
    <row r="241" ht="15.75" customHeight="1">
      <c r="A241" s="82"/>
      <c r="B241" s="82"/>
      <c r="C241" s="82"/>
      <c r="D241" s="82"/>
      <c r="E241" s="82"/>
      <c r="F241" s="82"/>
      <c r="G241" s="82"/>
    </row>
    <row r="242" ht="15.75" customHeight="1">
      <c r="A242" s="82"/>
      <c r="B242" s="82"/>
      <c r="C242" s="82"/>
      <c r="D242" s="82"/>
      <c r="E242" s="82"/>
      <c r="F242" s="82"/>
      <c r="G242" s="82"/>
    </row>
    <row r="243" ht="15.75" customHeight="1">
      <c r="A243" s="82"/>
      <c r="B243" s="82"/>
      <c r="C243" s="82"/>
      <c r="D243" s="82"/>
      <c r="E243" s="82"/>
      <c r="F243" s="82"/>
      <c r="G243" s="82"/>
    </row>
    <row r="244" ht="15.75" customHeight="1">
      <c r="A244" s="82"/>
      <c r="B244" s="82"/>
      <c r="C244" s="82"/>
      <c r="D244" s="82"/>
      <c r="E244" s="82"/>
      <c r="F244" s="82"/>
      <c r="G244" s="82"/>
    </row>
    <row r="245" ht="15.75" customHeight="1">
      <c r="A245" s="82"/>
      <c r="B245" s="82"/>
      <c r="C245" s="82"/>
      <c r="D245" s="82"/>
      <c r="E245" s="82"/>
      <c r="F245" s="82"/>
      <c r="G245" s="82"/>
    </row>
    <row r="246" ht="15.75" customHeight="1">
      <c r="A246" s="82"/>
      <c r="B246" s="82"/>
      <c r="C246" s="82"/>
      <c r="D246" s="82"/>
      <c r="E246" s="82"/>
      <c r="F246" s="82"/>
      <c r="G246" s="82"/>
    </row>
    <row r="247" ht="15.75" customHeight="1">
      <c r="A247" s="82"/>
      <c r="B247" s="82"/>
      <c r="C247" s="82"/>
      <c r="D247" s="82"/>
      <c r="E247" s="82"/>
      <c r="F247" s="82"/>
      <c r="G247" s="82"/>
    </row>
    <row r="248" ht="15.75" customHeight="1">
      <c r="A248" s="82"/>
      <c r="B248" s="82"/>
      <c r="C248" s="82"/>
      <c r="D248" s="82"/>
      <c r="E248" s="82"/>
      <c r="F248" s="82"/>
      <c r="G248" s="82"/>
    </row>
    <row r="249" ht="15.75" customHeight="1">
      <c r="A249" s="82"/>
      <c r="B249" s="82"/>
      <c r="C249" s="82"/>
      <c r="D249" s="82"/>
      <c r="E249" s="82"/>
      <c r="F249" s="82"/>
      <c r="G249" s="82"/>
    </row>
    <row r="250" ht="15.75" customHeight="1">
      <c r="A250" s="82"/>
      <c r="B250" s="82"/>
      <c r="C250" s="82"/>
      <c r="D250" s="82"/>
      <c r="E250" s="82"/>
      <c r="F250" s="82"/>
      <c r="G250" s="82"/>
    </row>
    <row r="251" ht="15.75" customHeight="1">
      <c r="A251" s="82"/>
      <c r="B251" s="82"/>
      <c r="C251" s="82"/>
      <c r="D251" s="82"/>
      <c r="E251" s="82"/>
      <c r="F251" s="82"/>
      <c r="G251" s="82"/>
    </row>
    <row r="252" ht="15.75" customHeight="1">
      <c r="A252" s="82"/>
      <c r="B252" s="82"/>
      <c r="C252" s="82"/>
      <c r="D252" s="82"/>
      <c r="E252" s="82"/>
      <c r="F252" s="82"/>
      <c r="G252" s="82"/>
    </row>
    <row r="253" ht="15.75" customHeight="1">
      <c r="A253" s="82"/>
      <c r="B253" s="82"/>
      <c r="C253" s="82"/>
      <c r="D253" s="82"/>
      <c r="E253" s="82"/>
      <c r="F253" s="82"/>
      <c r="G253" s="82"/>
    </row>
    <row r="254" ht="15.75" customHeight="1">
      <c r="A254" s="82"/>
      <c r="B254" s="82"/>
      <c r="C254" s="82"/>
      <c r="D254" s="82"/>
      <c r="E254" s="82"/>
      <c r="F254" s="82"/>
      <c r="G254" s="82"/>
    </row>
    <row r="255" ht="15.75" customHeight="1">
      <c r="A255" s="82"/>
      <c r="B255" s="82"/>
      <c r="C255" s="82"/>
      <c r="D255" s="82"/>
      <c r="E255" s="82"/>
      <c r="F255" s="82"/>
      <c r="G255" s="82"/>
    </row>
    <row r="256" ht="15.75" customHeight="1">
      <c r="A256" s="82"/>
      <c r="B256" s="82"/>
      <c r="C256" s="82"/>
      <c r="D256" s="82"/>
      <c r="E256" s="82"/>
      <c r="F256" s="82"/>
      <c r="G256" s="82"/>
    </row>
    <row r="257" ht="15.75" customHeight="1">
      <c r="A257" s="82"/>
      <c r="B257" s="82"/>
      <c r="C257" s="82"/>
      <c r="D257" s="82"/>
      <c r="E257" s="82"/>
      <c r="F257" s="82"/>
      <c r="G257" s="82"/>
    </row>
    <row r="258" ht="15.75" customHeight="1">
      <c r="A258" s="82"/>
      <c r="B258" s="82"/>
      <c r="C258" s="82"/>
      <c r="D258" s="82"/>
      <c r="E258" s="82"/>
      <c r="F258" s="82"/>
      <c r="G258" s="82"/>
    </row>
    <row r="259" ht="15.75" customHeight="1">
      <c r="A259" s="82"/>
      <c r="B259" s="82"/>
      <c r="C259" s="82"/>
      <c r="D259" s="82"/>
      <c r="E259" s="82"/>
      <c r="F259" s="82"/>
      <c r="G259" s="82"/>
    </row>
    <row r="260" ht="15.75" customHeight="1">
      <c r="A260" s="82"/>
      <c r="B260" s="82"/>
      <c r="C260" s="82"/>
      <c r="D260" s="82"/>
      <c r="E260" s="82"/>
      <c r="F260" s="82"/>
      <c r="G260" s="82"/>
    </row>
    <row r="261" ht="15.75" customHeight="1">
      <c r="A261" s="82"/>
      <c r="B261" s="82"/>
      <c r="C261" s="82"/>
      <c r="D261" s="82"/>
      <c r="E261" s="82"/>
      <c r="F261" s="82"/>
      <c r="G261" s="82"/>
    </row>
    <row r="262" ht="15.75" customHeight="1">
      <c r="A262" s="82"/>
      <c r="B262" s="82"/>
      <c r="C262" s="82"/>
      <c r="D262" s="82"/>
      <c r="E262" s="82"/>
      <c r="F262" s="82"/>
      <c r="G262" s="82"/>
    </row>
    <row r="263" ht="15.75" customHeight="1">
      <c r="A263" s="82"/>
      <c r="B263" s="82"/>
      <c r="C263" s="82"/>
      <c r="D263" s="82"/>
      <c r="E263" s="82"/>
      <c r="F263" s="82"/>
      <c r="G263" s="82"/>
    </row>
    <row r="264" ht="15.75" customHeight="1">
      <c r="A264" s="82"/>
      <c r="B264" s="82"/>
      <c r="C264" s="82"/>
      <c r="D264" s="82"/>
      <c r="E264" s="82"/>
      <c r="F264" s="82"/>
      <c r="G264" s="82"/>
    </row>
    <row r="265" ht="15.75" customHeight="1">
      <c r="A265" s="82"/>
      <c r="B265" s="82"/>
      <c r="C265" s="82"/>
      <c r="D265" s="82"/>
      <c r="E265" s="82"/>
      <c r="F265" s="82"/>
      <c r="G265" s="82"/>
    </row>
    <row r="266" ht="15.75" customHeight="1">
      <c r="A266" s="82"/>
      <c r="B266" s="82"/>
      <c r="C266" s="82"/>
      <c r="D266" s="82"/>
      <c r="E266" s="82"/>
      <c r="F266" s="82"/>
      <c r="G266" s="82"/>
    </row>
    <row r="267" ht="15.75" customHeight="1">
      <c r="A267" s="82"/>
      <c r="B267" s="82"/>
      <c r="C267" s="82"/>
      <c r="D267" s="82"/>
      <c r="E267" s="82"/>
      <c r="F267" s="82"/>
      <c r="G267" s="82"/>
    </row>
    <row r="268" ht="15.75" customHeight="1">
      <c r="A268" s="82"/>
      <c r="B268" s="82"/>
      <c r="C268" s="82"/>
      <c r="D268" s="82"/>
      <c r="E268" s="82"/>
      <c r="F268" s="82"/>
      <c r="G268" s="82"/>
    </row>
    <row r="269" ht="15.75" customHeight="1">
      <c r="A269" s="82"/>
      <c r="B269" s="82"/>
      <c r="C269" s="82"/>
      <c r="D269" s="82"/>
      <c r="E269" s="82"/>
      <c r="F269" s="82"/>
      <c r="G269" s="82"/>
    </row>
    <row r="270" ht="15.75" customHeight="1">
      <c r="A270" s="82"/>
      <c r="B270" s="82"/>
      <c r="C270" s="82"/>
      <c r="D270" s="82"/>
      <c r="E270" s="82"/>
      <c r="F270" s="82"/>
      <c r="G270" s="82"/>
    </row>
    <row r="271" ht="15.75" customHeight="1">
      <c r="A271" s="82"/>
      <c r="B271" s="82"/>
      <c r="C271" s="82"/>
      <c r="D271" s="82"/>
      <c r="E271" s="82"/>
      <c r="F271" s="82"/>
      <c r="G271" s="82"/>
    </row>
    <row r="272" ht="15.75" customHeight="1">
      <c r="A272" s="82"/>
      <c r="B272" s="82"/>
      <c r="C272" s="82"/>
      <c r="D272" s="82"/>
      <c r="E272" s="82"/>
      <c r="F272" s="82"/>
      <c r="G272" s="82"/>
    </row>
    <row r="273" ht="15.75" customHeight="1">
      <c r="A273" s="82"/>
      <c r="B273" s="82"/>
      <c r="C273" s="82"/>
      <c r="D273" s="82"/>
      <c r="E273" s="82"/>
      <c r="F273" s="82"/>
      <c r="G273" s="82"/>
    </row>
    <row r="274" ht="15.75" customHeight="1">
      <c r="A274" s="82"/>
      <c r="B274" s="82"/>
      <c r="C274" s="82"/>
      <c r="D274" s="82"/>
      <c r="E274" s="82"/>
      <c r="F274" s="82"/>
      <c r="G274" s="82"/>
    </row>
    <row r="275" ht="15.75" customHeight="1">
      <c r="A275" s="82"/>
      <c r="B275" s="82"/>
      <c r="C275" s="82"/>
      <c r="D275" s="82"/>
      <c r="E275" s="82"/>
      <c r="F275" s="82"/>
      <c r="G275" s="82"/>
    </row>
    <row r="276" ht="15.75" customHeight="1">
      <c r="A276" s="82"/>
      <c r="B276" s="82"/>
      <c r="C276" s="82"/>
      <c r="D276" s="82"/>
      <c r="E276" s="82"/>
      <c r="F276" s="82"/>
      <c r="G276" s="82"/>
    </row>
    <row r="277" ht="15.75" customHeight="1">
      <c r="A277" s="82"/>
      <c r="B277" s="82"/>
      <c r="C277" s="82"/>
      <c r="D277" s="82"/>
      <c r="E277" s="82"/>
      <c r="F277" s="82"/>
      <c r="G277" s="82"/>
    </row>
    <row r="278" ht="15.75" customHeight="1">
      <c r="A278" s="82"/>
      <c r="B278" s="82"/>
      <c r="C278" s="82"/>
      <c r="D278" s="82"/>
      <c r="E278" s="82"/>
      <c r="F278" s="82"/>
      <c r="G278" s="82"/>
    </row>
    <row r="279" ht="15.75" customHeight="1">
      <c r="A279" s="82"/>
      <c r="B279" s="82"/>
      <c r="C279" s="82"/>
      <c r="D279" s="82"/>
      <c r="E279" s="82"/>
      <c r="F279" s="82"/>
      <c r="G279" s="82"/>
    </row>
    <row r="280" ht="15.75" customHeight="1">
      <c r="A280" s="82"/>
      <c r="B280" s="82"/>
      <c r="C280" s="82"/>
      <c r="D280" s="82"/>
      <c r="E280" s="82"/>
      <c r="F280" s="82"/>
      <c r="G280" s="82"/>
    </row>
    <row r="281" ht="15.75" customHeight="1">
      <c r="A281" s="82"/>
      <c r="B281" s="82"/>
      <c r="C281" s="82"/>
      <c r="D281" s="82"/>
      <c r="E281" s="82"/>
      <c r="F281" s="82"/>
      <c r="G281" s="82"/>
    </row>
    <row r="282" ht="15.75" customHeight="1">
      <c r="A282" s="82"/>
      <c r="B282" s="82"/>
      <c r="C282" s="82"/>
      <c r="D282" s="82"/>
      <c r="E282" s="82"/>
      <c r="F282" s="82"/>
      <c r="G282" s="82"/>
    </row>
    <row r="283" ht="15.75" customHeight="1">
      <c r="A283" s="82"/>
      <c r="B283" s="82"/>
      <c r="C283" s="82"/>
      <c r="D283" s="82"/>
      <c r="E283" s="82"/>
      <c r="F283" s="82"/>
      <c r="G283" s="82"/>
    </row>
    <row r="284" ht="15.75" customHeight="1">
      <c r="A284" s="82"/>
      <c r="B284" s="82"/>
      <c r="C284" s="82"/>
      <c r="D284" s="82"/>
      <c r="E284" s="82"/>
      <c r="F284" s="82"/>
      <c r="G284" s="82"/>
    </row>
    <row r="285" ht="15.75" customHeight="1">
      <c r="A285" s="82"/>
      <c r="B285" s="82"/>
      <c r="C285" s="82"/>
      <c r="D285" s="82"/>
      <c r="E285" s="82"/>
      <c r="F285" s="82"/>
      <c r="G285" s="82"/>
    </row>
    <row r="286" ht="15.75" customHeight="1">
      <c r="A286" s="82"/>
      <c r="B286" s="82"/>
      <c r="C286" s="82"/>
      <c r="D286" s="82"/>
      <c r="E286" s="82"/>
      <c r="F286" s="82"/>
      <c r="G286" s="82"/>
    </row>
    <row r="287" ht="15.75" customHeight="1">
      <c r="A287" s="82"/>
      <c r="B287" s="82"/>
      <c r="C287" s="82"/>
      <c r="D287" s="82"/>
      <c r="E287" s="82"/>
      <c r="F287" s="82"/>
      <c r="G287" s="82"/>
    </row>
    <row r="288" ht="15.75" customHeight="1">
      <c r="A288" s="82"/>
      <c r="B288" s="82"/>
      <c r="C288" s="82"/>
      <c r="D288" s="82"/>
      <c r="E288" s="82"/>
      <c r="F288" s="82"/>
      <c r="G288" s="82"/>
    </row>
    <row r="289" ht="15.75" customHeight="1">
      <c r="A289" s="82"/>
      <c r="B289" s="82"/>
      <c r="C289" s="82"/>
      <c r="D289" s="82"/>
      <c r="E289" s="82"/>
      <c r="F289" s="82"/>
      <c r="G289" s="82"/>
    </row>
    <row r="290" ht="15.75" customHeight="1">
      <c r="A290" s="82"/>
      <c r="B290" s="82"/>
      <c r="C290" s="82"/>
      <c r="D290" s="82"/>
      <c r="E290" s="82"/>
      <c r="F290" s="82"/>
      <c r="G290" s="82"/>
    </row>
    <row r="291" ht="15.75" customHeight="1">
      <c r="A291" s="82"/>
      <c r="B291" s="82"/>
      <c r="C291" s="82"/>
      <c r="D291" s="82"/>
      <c r="E291" s="82"/>
      <c r="F291" s="82"/>
      <c r="G291" s="82"/>
    </row>
    <row r="292" ht="15.75" customHeight="1">
      <c r="A292" s="82"/>
      <c r="B292" s="82"/>
      <c r="C292" s="82"/>
      <c r="D292" s="82"/>
      <c r="E292" s="82"/>
      <c r="F292" s="82"/>
      <c r="G292" s="82"/>
    </row>
    <row r="293" ht="15.75" customHeight="1">
      <c r="A293" s="82"/>
      <c r="B293" s="82"/>
      <c r="C293" s="82"/>
      <c r="D293" s="82"/>
      <c r="E293" s="82"/>
      <c r="F293" s="82"/>
      <c r="G293" s="82"/>
    </row>
    <row r="294" ht="15.75" customHeight="1">
      <c r="A294" s="82"/>
      <c r="B294" s="82"/>
      <c r="C294" s="82"/>
      <c r="D294" s="82"/>
      <c r="E294" s="82"/>
      <c r="F294" s="82"/>
      <c r="G294" s="82"/>
    </row>
    <row r="295" ht="15.75" customHeight="1">
      <c r="A295" s="82"/>
      <c r="B295" s="82"/>
      <c r="C295" s="82"/>
      <c r="D295" s="82"/>
      <c r="E295" s="82"/>
      <c r="F295" s="82"/>
      <c r="G295" s="82"/>
    </row>
    <row r="296" ht="15.75" customHeight="1">
      <c r="A296" s="82"/>
      <c r="B296" s="82"/>
      <c r="C296" s="82"/>
      <c r="D296" s="82"/>
      <c r="E296" s="82"/>
      <c r="F296" s="82"/>
      <c r="G296" s="82"/>
    </row>
    <row r="297" ht="15.75" customHeight="1">
      <c r="A297" s="82"/>
      <c r="B297" s="82"/>
      <c r="C297" s="82"/>
      <c r="D297" s="82"/>
      <c r="E297" s="82"/>
      <c r="F297" s="82"/>
      <c r="G297" s="82"/>
    </row>
    <row r="298" ht="15.75" customHeight="1">
      <c r="A298" s="82"/>
      <c r="B298" s="82"/>
      <c r="C298" s="82"/>
      <c r="D298" s="82"/>
      <c r="E298" s="82"/>
      <c r="F298" s="82"/>
      <c r="G298" s="82"/>
    </row>
    <row r="299" ht="15.75" customHeight="1">
      <c r="A299" s="82"/>
      <c r="B299" s="82"/>
      <c r="C299" s="82"/>
      <c r="D299" s="82"/>
      <c r="E299" s="82"/>
      <c r="F299" s="82"/>
      <c r="G299" s="82"/>
    </row>
    <row r="300" ht="15.75" customHeight="1">
      <c r="A300" s="82"/>
      <c r="B300" s="82"/>
      <c r="C300" s="82"/>
      <c r="D300" s="82"/>
      <c r="E300" s="82"/>
      <c r="F300" s="82"/>
      <c r="G300" s="82"/>
    </row>
    <row r="301" ht="15.75" customHeight="1">
      <c r="A301" s="82"/>
      <c r="B301" s="82"/>
      <c r="C301" s="82"/>
      <c r="D301" s="82"/>
      <c r="E301" s="82"/>
      <c r="F301" s="82"/>
      <c r="G301" s="82"/>
    </row>
    <row r="302" ht="15.75" customHeight="1">
      <c r="A302" s="82"/>
      <c r="B302" s="82"/>
      <c r="C302" s="82"/>
      <c r="D302" s="82"/>
      <c r="E302" s="82"/>
      <c r="F302" s="82"/>
      <c r="G302" s="82"/>
    </row>
    <row r="303" ht="15.75" customHeight="1">
      <c r="A303" s="82"/>
      <c r="B303" s="82"/>
      <c r="C303" s="82"/>
      <c r="D303" s="82"/>
      <c r="E303" s="82"/>
      <c r="F303" s="82"/>
      <c r="G303" s="82"/>
    </row>
    <row r="304" ht="15.75" customHeight="1">
      <c r="A304" s="82"/>
      <c r="B304" s="82"/>
      <c r="C304" s="82"/>
      <c r="D304" s="82"/>
      <c r="E304" s="82"/>
      <c r="F304" s="82"/>
      <c r="G304" s="82"/>
    </row>
    <row r="305" ht="15.75" customHeight="1">
      <c r="A305" s="82"/>
      <c r="B305" s="82"/>
      <c r="C305" s="82"/>
      <c r="D305" s="82"/>
      <c r="E305" s="82"/>
      <c r="F305" s="82"/>
      <c r="G305" s="82"/>
    </row>
    <row r="306" ht="15.75" customHeight="1">
      <c r="A306" s="82"/>
      <c r="B306" s="82"/>
      <c r="C306" s="82"/>
      <c r="D306" s="82"/>
      <c r="E306" s="82"/>
      <c r="F306" s="82"/>
      <c r="G306" s="82"/>
    </row>
    <row r="307" ht="15.75" customHeight="1">
      <c r="A307" s="82"/>
      <c r="B307" s="82"/>
      <c r="C307" s="82"/>
      <c r="D307" s="82"/>
      <c r="E307" s="82"/>
      <c r="F307" s="82"/>
      <c r="G307" s="82"/>
    </row>
    <row r="308" ht="15.75" customHeight="1">
      <c r="A308" s="82"/>
      <c r="B308" s="82"/>
      <c r="C308" s="82"/>
      <c r="D308" s="82"/>
      <c r="E308" s="82"/>
      <c r="F308" s="82"/>
      <c r="G308" s="82"/>
    </row>
    <row r="309" ht="15.75" customHeight="1">
      <c r="A309" s="82"/>
      <c r="B309" s="82"/>
      <c r="C309" s="82"/>
      <c r="D309" s="82"/>
      <c r="E309" s="82"/>
      <c r="F309" s="82"/>
      <c r="G309" s="82"/>
    </row>
    <row r="310" ht="15.75" customHeight="1">
      <c r="A310" s="82"/>
      <c r="B310" s="82"/>
      <c r="C310" s="82"/>
      <c r="D310" s="82"/>
      <c r="E310" s="82"/>
      <c r="F310" s="82"/>
      <c r="G310" s="82"/>
    </row>
    <row r="311" ht="15.75" customHeight="1">
      <c r="A311" s="82"/>
      <c r="B311" s="82"/>
      <c r="C311" s="82"/>
      <c r="D311" s="82"/>
      <c r="E311" s="82"/>
      <c r="F311" s="82"/>
      <c r="G311" s="82"/>
    </row>
    <row r="312" ht="15.75" customHeight="1">
      <c r="A312" s="82"/>
      <c r="B312" s="82"/>
      <c r="C312" s="82"/>
      <c r="D312" s="82"/>
      <c r="E312" s="82"/>
      <c r="F312" s="82"/>
      <c r="G312" s="82"/>
    </row>
    <row r="313" ht="15.75" customHeight="1">
      <c r="A313" s="82"/>
      <c r="B313" s="82"/>
      <c r="C313" s="82"/>
      <c r="D313" s="82"/>
      <c r="E313" s="82"/>
      <c r="F313" s="82"/>
      <c r="G313" s="82"/>
    </row>
    <row r="314" ht="15.75" customHeight="1">
      <c r="A314" s="82"/>
      <c r="B314" s="82"/>
      <c r="C314" s="82"/>
      <c r="D314" s="82"/>
      <c r="E314" s="82"/>
      <c r="F314" s="82"/>
      <c r="G314" s="82"/>
    </row>
    <row r="315" ht="15.75" customHeight="1">
      <c r="A315" s="82"/>
      <c r="B315" s="82"/>
      <c r="C315" s="82"/>
      <c r="D315" s="82"/>
      <c r="E315" s="82"/>
      <c r="F315" s="82"/>
      <c r="G315" s="82"/>
    </row>
    <row r="316" ht="15.75" customHeight="1">
      <c r="A316" s="82"/>
      <c r="B316" s="82"/>
      <c r="C316" s="82"/>
      <c r="D316" s="82"/>
      <c r="E316" s="82"/>
      <c r="F316" s="82"/>
      <c r="G316" s="82"/>
    </row>
    <row r="317" ht="15.75" customHeight="1">
      <c r="A317" s="82"/>
      <c r="B317" s="82"/>
      <c r="C317" s="82"/>
      <c r="D317" s="82"/>
      <c r="E317" s="82"/>
      <c r="F317" s="82"/>
      <c r="G317" s="82"/>
    </row>
    <row r="318" ht="15.75" customHeight="1">
      <c r="A318" s="82"/>
      <c r="B318" s="82"/>
      <c r="C318" s="82"/>
      <c r="D318" s="82"/>
      <c r="E318" s="82"/>
      <c r="F318" s="82"/>
      <c r="G318" s="82"/>
    </row>
    <row r="319" ht="15.75" customHeight="1">
      <c r="A319" s="82"/>
      <c r="B319" s="82"/>
      <c r="C319" s="82"/>
      <c r="D319" s="82"/>
      <c r="E319" s="82"/>
      <c r="F319" s="82"/>
      <c r="G319" s="82"/>
    </row>
    <row r="320" ht="15.75" customHeight="1">
      <c r="A320" s="82"/>
      <c r="B320" s="82"/>
      <c r="C320" s="82"/>
      <c r="D320" s="82"/>
      <c r="E320" s="82"/>
      <c r="F320" s="82"/>
      <c r="G320" s="82"/>
    </row>
    <row r="321" ht="15.75" customHeight="1">
      <c r="A321" s="82"/>
      <c r="B321" s="82"/>
      <c r="C321" s="82"/>
      <c r="D321" s="82"/>
      <c r="E321" s="82"/>
      <c r="F321" s="82"/>
      <c r="G321" s="82"/>
    </row>
    <row r="322" ht="15.75" customHeight="1">
      <c r="A322" s="82"/>
      <c r="B322" s="82"/>
      <c r="C322" s="82"/>
      <c r="D322" s="82"/>
      <c r="E322" s="82"/>
      <c r="F322" s="82"/>
      <c r="G322" s="82"/>
    </row>
    <row r="323" ht="15.75" customHeight="1">
      <c r="A323" s="82"/>
      <c r="B323" s="82"/>
      <c r="C323" s="82"/>
      <c r="D323" s="82"/>
      <c r="E323" s="82"/>
      <c r="F323" s="82"/>
      <c r="G323" s="82"/>
    </row>
    <row r="324" ht="15.75" customHeight="1">
      <c r="A324" s="82"/>
      <c r="B324" s="82"/>
      <c r="C324" s="82"/>
      <c r="D324" s="82"/>
      <c r="E324" s="82"/>
      <c r="F324" s="82"/>
      <c r="G324" s="82"/>
    </row>
    <row r="325" ht="15.75" customHeight="1">
      <c r="A325" s="82"/>
      <c r="B325" s="82"/>
      <c r="C325" s="82"/>
      <c r="D325" s="82"/>
      <c r="E325" s="82"/>
      <c r="F325" s="82"/>
      <c r="G325" s="82"/>
    </row>
    <row r="326" ht="15.75" customHeight="1">
      <c r="A326" s="82"/>
      <c r="B326" s="82"/>
      <c r="C326" s="82"/>
      <c r="D326" s="82"/>
      <c r="E326" s="82"/>
      <c r="F326" s="82"/>
      <c r="G326" s="82"/>
    </row>
    <row r="327" ht="15.75" customHeight="1">
      <c r="A327" s="82"/>
      <c r="B327" s="82"/>
      <c r="C327" s="82"/>
      <c r="D327" s="82"/>
      <c r="E327" s="82"/>
      <c r="F327" s="82"/>
      <c r="G327" s="82"/>
    </row>
    <row r="328" ht="15.75" customHeight="1">
      <c r="A328" s="82"/>
      <c r="B328" s="82"/>
      <c r="C328" s="82"/>
      <c r="D328" s="82"/>
      <c r="E328" s="82"/>
      <c r="F328" s="82"/>
      <c r="G328" s="82"/>
    </row>
    <row r="329" ht="15.75" customHeight="1">
      <c r="A329" s="82"/>
      <c r="B329" s="82"/>
      <c r="C329" s="82"/>
      <c r="D329" s="82"/>
      <c r="E329" s="82"/>
      <c r="F329" s="82"/>
      <c r="G329" s="82"/>
    </row>
    <row r="330" ht="15.75" customHeight="1">
      <c r="A330" s="82"/>
      <c r="B330" s="82"/>
      <c r="C330" s="82"/>
      <c r="D330" s="82"/>
      <c r="E330" s="82"/>
      <c r="F330" s="82"/>
      <c r="G330" s="82"/>
    </row>
    <row r="331" ht="15.75" customHeight="1">
      <c r="A331" s="82"/>
      <c r="B331" s="82"/>
      <c r="C331" s="82"/>
      <c r="D331" s="82"/>
      <c r="E331" s="82"/>
      <c r="F331" s="82"/>
      <c r="G331" s="82"/>
    </row>
    <row r="332" ht="15.75" customHeight="1">
      <c r="A332" s="82"/>
      <c r="B332" s="82"/>
      <c r="C332" s="82"/>
      <c r="D332" s="82"/>
      <c r="E332" s="82"/>
      <c r="F332" s="82"/>
      <c r="G332" s="82"/>
    </row>
    <row r="333" ht="15.75" customHeight="1">
      <c r="A333" s="82"/>
      <c r="B333" s="82"/>
      <c r="C333" s="82"/>
      <c r="D333" s="82"/>
      <c r="E333" s="82"/>
      <c r="F333" s="82"/>
      <c r="G333" s="82"/>
    </row>
    <row r="334" ht="15.75" customHeight="1">
      <c r="A334" s="82"/>
      <c r="B334" s="82"/>
      <c r="C334" s="82"/>
      <c r="D334" s="82"/>
      <c r="E334" s="82"/>
      <c r="F334" s="82"/>
      <c r="G334" s="82"/>
    </row>
    <row r="335" ht="15.75" customHeight="1">
      <c r="A335" s="82"/>
      <c r="B335" s="82"/>
      <c r="C335" s="82"/>
      <c r="D335" s="82"/>
      <c r="E335" s="82"/>
      <c r="F335" s="82"/>
      <c r="G335" s="82"/>
    </row>
    <row r="336" ht="15.75" customHeight="1">
      <c r="A336" s="82"/>
      <c r="B336" s="82"/>
      <c r="C336" s="82"/>
      <c r="D336" s="82"/>
      <c r="E336" s="82"/>
      <c r="F336" s="82"/>
      <c r="G336" s="82"/>
    </row>
    <row r="337" ht="15.75" customHeight="1">
      <c r="A337" s="82"/>
      <c r="B337" s="82"/>
      <c r="C337" s="82"/>
      <c r="D337" s="82"/>
      <c r="E337" s="82"/>
      <c r="F337" s="82"/>
      <c r="G337" s="82"/>
    </row>
    <row r="338" ht="15.75" customHeight="1">
      <c r="A338" s="82"/>
      <c r="B338" s="82"/>
      <c r="C338" s="82"/>
      <c r="D338" s="82"/>
      <c r="E338" s="82"/>
      <c r="F338" s="82"/>
      <c r="G338" s="82"/>
    </row>
    <row r="339" ht="15.75" customHeight="1">
      <c r="A339" s="82"/>
      <c r="B339" s="82"/>
      <c r="C339" s="82"/>
      <c r="D339" s="82"/>
      <c r="E339" s="82"/>
      <c r="F339" s="82"/>
      <c r="G339" s="82"/>
    </row>
    <row r="340" ht="15.75" customHeight="1">
      <c r="A340" s="82"/>
      <c r="B340" s="82"/>
      <c r="C340" s="82"/>
      <c r="D340" s="82"/>
      <c r="E340" s="82"/>
      <c r="F340" s="82"/>
      <c r="G340" s="82"/>
    </row>
    <row r="341" ht="15.75" customHeight="1">
      <c r="A341" s="82"/>
      <c r="B341" s="82"/>
      <c r="C341" s="82"/>
      <c r="D341" s="82"/>
      <c r="E341" s="82"/>
      <c r="F341" s="82"/>
      <c r="G341" s="82"/>
    </row>
    <row r="342" ht="15.75" customHeight="1">
      <c r="A342" s="82"/>
      <c r="B342" s="82"/>
      <c r="C342" s="82"/>
      <c r="D342" s="82"/>
      <c r="E342" s="82"/>
      <c r="F342" s="82"/>
      <c r="G342" s="82"/>
    </row>
    <row r="343" ht="15.75" customHeight="1">
      <c r="A343" s="82"/>
      <c r="B343" s="82"/>
      <c r="C343" s="82"/>
      <c r="D343" s="82"/>
      <c r="E343" s="82"/>
      <c r="F343" s="82"/>
      <c r="G343" s="82"/>
    </row>
    <row r="344" ht="15.75" customHeight="1">
      <c r="A344" s="82"/>
      <c r="B344" s="82"/>
      <c r="C344" s="82"/>
      <c r="D344" s="82"/>
      <c r="E344" s="82"/>
      <c r="F344" s="82"/>
      <c r="G344" s="82"/>
    </row>
    <row r="345" ht="15.75" customHeight="1">
      <c r="A345" s="82"/>
      <c r="B345" s="82"/>
      <c r="C345" s="82"/>
      <c r="D345" s="82"/>
      <c r="E345" s="82"/>
      <c r="F345" s="82"/>
      <c r="G345" s="82"/>
    </row>
    <row r="346" ht="15.75" customHeight="1">
      <c r="A346" s="82"/>
      <c r="B346" s="82"/>
      <c r="C346" s="82"/>
      <c r="D346" s="82"/>
      <c r="E346" s="82"/>
      <c r="F346" s="82"/>
      <c r="G346" s="82"/>
    </row>
    <row r="347" ht="15.75" customHeight="1">
      <c r="A347" s="82"/>
      <c r="B347" s="82"/>
      <c r="C347" s="82"/>
      <c r="D347" s="82"/>
      <c r="E347" s="82"/>
      <c r="F347" s="82"/>
      <c r="G347" s="82"/>
    </row>
    <row r="348" ht="15.75" customHeight="1">
      <c r="A348" s="82"/>
      <c r="B348" s="82"/>
      <c r="C348" s="82"/>
      <c r="D348" s="82"/>
      <c r="E348" s="82"/>
      <c r="F348" s="82"/>
      <c r="G348" s="82"/>
    </row>
    <row r="349" ht="15.75" customHeight="1">
      <c r="A349" s="82"/>
      <c r="B349" s="82"/>
      <c r="C349" s="82"/>
      <c r="D349" s="82"/>
      <c r="E349" s="82"/>
      <c r="F349" s="82"/>
      <c r="G349" s="82"/>
    </row>
    <row r="350" ht="15.75" customHeight="1">
      <c r="A350" s="82"/>
      <c r="B350" s="82"/>
      <c r="C350" s="82"/>
      <c r="D350" s="82"/>
      <c r="E350" s="82"/>
      <c r="F350" s="82"/>
      <c r="G350" s="82"/>
    </row>
    <row r="351" ht="15.75" customHeight="1">
      <c r="A351" s="82"/>
      <c r="B351" s="82"/>
      <c r="C351" s="82"/>
      <c r="D351" s="82"/>
      <c r="E351" s="82"/>
      <c r="F351" s="82"/>
      <c r="G351" s="82"/>
    </row>
    <row r="352" ht="15.75" customHeight="1">
      <c r="A352" s="82"/>
      <c r="B352" s="82"/>
      <c r="C352" s="82"/>
      <c r="D352" s="82"/>
      <c r="E352" s="82"/>
      <c r="F352" s="82"/>
      <c r="G352" s="82"/>
    </row>
    <row r="353" ht="15.75" customHeight="1">
      <c r="A353" s="82"/>
      <c r="B353" s="82"/>
      <c r="C353" s="82"/>
      <c r="D353" s="82"/>
      <c r="E353" s="82"/>
      <c r="F353" s="82"/>
      <c r="G353" s="82"/>
    </row>
    <row r="354" ht="15.75" customHeight="1">
      <c r="A354" s="82"/>
      <c r="B354" s="82"/>
      <c r="C354" s="82"/>
      <c r="D354" s="82"/>
      <c r="E354" s="82"/>
      <c r="F354" s="82"/>
      <c r="G354" s="82"/>
    </row>
    <row r="355" ht="15.75" customHeight="1">
      <c r="A355" s="82"/>
      <c r="B355" s="82"/>
      <c r="C355" s="82"/>
      <c r="D355" s="82"/>
      <c r="E355" s="82"/>
      <c r="F355" s="82"/>
      <c r="G355" s="82"/>
    </row>
    <row r="356" ht="15.75" customHeight="1">
      <c r="A356" s="82"/>
      <c r="B356" s="82"/>
      <c r="C356" s="82"/>
      <c r="D356" s="82"/>
      <c r="E356" s="82"/>
      <c r="F356" s="82"/>
      <c r="G356" s="82"/>
    </row>
    <row r="357" ht="15.75" customHeight="1">
      <c r="A357" s="82"/>
      <c r="B357" s="82"/>
      <c r="C357" s="82"/>
      <c r="D357" s="82"/>
      <c r="E357" s="82"/>
      <c r="F357" s="82"/>
      <c r="G357" s="82"/>
    </row>
    <row r="358" ht="15.75" customHeight="1">
      <c r="A358" s="82"/>
      <c r="B358" s="82"/>
      <c r="C358" s="82"/>
      <c r="D358" s="82"/>
      <c r="E358" s="82"/>
      <c r="F358" s="82"/>
      <c r="G358" s="82"/>
    </row>
    <row r="359" ht="15.75" customHeight="1">
      <c r="A359" s="82"/>
      <c r="B359" s="82"/>
      <c r="C359" s="82"/>
      <c r="D359" s="82"/>
      <c r="E359" s="82"/>
      <c r="F359" s="82"/>
      <c r="G359" s="82"/>
    </row>
    <row r="360" ht="15.75" customHeight="1">
      <c r="A360" s="82"/>
      <c r="B360" s="82"/>
      <c r="C360" s="82"/>
      <c r="D360" s="82"/>
      <c r="E360" s="82"/>
      <c r="F360" s="82"/>
      <c r="G360" s="82"/>
    </row>
    <row r="361" ht="15.75" customHeight="1">
      <c r="A361" s="82"/>
      <c r="B361" s="82"/>
      <c r="C361" s="82"/>
      <c r="D361" s="82"/>
      <c r="E361" s="82"/>
      <c r="F361" s="82"/>
      <c r="G361" s="82"/>
    </row>
    <row r="362" ht="15.75" customHeight="1">
      <c r="A362" s="82"/>
      <c r="B362" s="82"/>
      <c r="C362" s="82"/>
      <c r="D362" s="82"/>
      <c r="E362" s="82"/>
      <c r="F362" s="82"/>
      <c r="G362" s="82"/>
    </row>
    <row r="363" ht="15.75" customHeight="1">
      <c r="A363" s="82"/>
      <c r="B363" s="82"/>
      <c r="C363" s="82"/>
      <c r="D363" s="82"/>
      <c r="E363" s="82"/>
      <c r="F363" s="82"/>
      <c r="G363" s="82"/>
    </row>
    <row r="364" ht="15.75" customHeight="1">
      <c r="A364" s="82"/>
      <c r="B364" s="82"/>
      <c r="C364" s="82"/>
      <c r="D364" s="82"/>
      <c r="E364" s="82"/>
      <c r="F364" s="82"/>
      <c r="G364" s="82"/>
    </row>
    <row r="365" ht="15.75" customHeight="1">
      <c r="A365" s="82"/>
      <c r="B365" s="82"/>
      <c r="C365" s="82"/>
      <c r="D365" s="82"/>
      <c r="E365" s="82"/>
      <c r="F365" s="82"/>
      <c r="G365" s="82"/>
    </row>
    <row r="366" ht="15.75" customHeight="1">
      <c r="A366" s="82"/>
      <c r="B366" s="82"/>
      <c r="C366" s="82"/>
      <c r="D366" s="82"/>
      <c r="E366" s="82"/>
      <c r="F366" s="82"/>
      <c r="G366" s="82"/>
    </row>
    <row r="367" ht="15.75" customHeight="1">
      <c r="A367" s="82"/>
      <c r="B367" s="82"/>
      <c r="C367" s="82"/>
      <c r="D367" s="82"/>
      <c r="E367" s="82"/>
      <c r="F367" s="82"/>
      <c r="G367" s="82"/>
    </row>
    <row r="368" ht="15.75" customHeight="1">
      <c r="A368" s="82"/>
      <c r="B368" s="82"/>
      <c r="C368" s="82"/>
      <c r="D368" s="82"/>
      <c r="E368" s="82"/>
      <c r="F368" s="82"/>
      <c r="G368" s="82"/>
    </row>
    <row r="369" ht="15.75" customHeight="1">
      <c r="A369" s="82"/>
      <c r="B369" s="82"/>
      <c r="C369" s="82"/>
      <c r="D369" s="82"/>
      <c r="E369" s="82"/>
      <c r="F369" s="82"/>
      <c r="G369" s="82"/>
    </row>
    <row r="370" ht="15.75" customHeight="1">
      <c r="A370" s="82"/>
      <c r="B370" s="82"/>
      <c r="C370" s="82"/>
      <c r="D370" s="82"/>
      <c r="E370" s="82"/>
      <c r="F370" s="82"/>
      <c r="G370" s="82"/>
    </row>
    <row r="371" ht="15.75" customHeight="1">
      <c r="A371" s="82"/>
      <c r="B371" s="82"/>
      <c r="C371" s="82"/>
      <c r="D371" s="82"/>
      <c r="E371" s="82"/>
      <c r="F371" s="82"/>
      <c r="G371" s="82"/>
    </row>
    <row r="372" ht="15.75" customHeight="1">
      <c r="A372" s="82"/>
      <c r="B372" s="82"/>
      <c r="C372" s="82"/>
      <c r="D372" s="82"/>
      <c r="E372" s="82"/>
      <c r="F372" s="82"/>
      <c r="G372" s="82"/>
    </row>
    <row r="373" ht="15.75" customHeight="1">
      <c r="A373" s="82"/>
      <c r="B373" s="82"/>
      <c r="C373" s="82"/>
      <c r="D373" s="82"/>
      <c r="E373" s="82"/>
      <c r="F373" s="82"/>
      <c r="G373" s="82"/>
    </row>
    <row r="374" ht="15.75" customHeight="1">
      <c r="A374" s="82"/>
      <c r="B374" s="82"/>
      <c r="C374" s="82"/>
      <c r="D374" s="82"/>
      <c r="E374" s="82"/>
      <c r="F374" s="82"/>
      <c r="G374" s="82"/>
    </row>
    <row r="375" ht="15.75" customHeight="1">
      <c r="A375" s="82"/>
      <c r="B375" s="82"/>
      <c r="C375" s="82"/>
      <c r="D375" s="82"/>
      <c r="E375" s="82"/>
      <c r="F375" s="82"/>
      <c r="G375" s="82"/>
    </row>
    <row r="376" ht="15.75" customHeight="1">
      <c r="A376" s="82"/>
      <c r="B376" s="82"/>
      <c r="C376" s="82"/>
      <c r="D376" s="82"/>
      <c r="E376" s="82"/>
      <c r="F376" s="82"/>
      <c r="G376" s="82"/>
    </row>
    <row r="377" ht="15.75" customHeight="1">
      <c r="A377" s="82"/>
      <c r="B377" s="82"/>
      <c r="C377" s="82"/>
      <c r="D377" s="82"/>
      <c r="E377" s="82"/>
      <c r="F377" s="82"/>
      <c r="G377" s="82"/>
    </row>
    <row r="378" ht="15.75" customHeight="1">
      <c r="A378" s="82"/>
      <c r="B378" s="82"/>
      <c r="C378" s="82"/>
      <c r="D378" s="82"/>
      <c r="E378" s="82"/>
      <c r="F378" s="82"/>
      <c r="G378" s="82"/>
    </row>
    <row r="379" ht="15.75" customHeight="1">
      <c r="A379" s="82"/>
      <c r="B379" s="82"/>
      <c r="C379" s="82"/>
      <c r="D379" s="82"/>
      <c r="E379" s="82"/>
      <c r="F379" s="82"/>
      <c r="G379" s="82"/>
    </row>
    <row r="380" ht="15.75" customHeight="1">
      <c r="A380" s="82"/>
      <c r="B380" s="82"/>
      <c r="C380" s="82"/>
      <c r="D380" s="82"/>
      <c r="E380" s="82"/>
      <c r="F380" s="82"/>
      <c r="G380" s="82"/>
    </row>
    <row r="381" ht="15.75" customHeight="1">
      <c r="A381" s="82"/>
      <c r="B381" s="82"/>
      <c r="C381" s="82"/>
      <c r="D381" s="82"/>
      <c r="E381" s="82"/>
      <c r="F381" s="82"/>
      <c r="G381" s="82"/>
    </row>
    <row r="382" ht="15.75" customHeight="1">
      <c r="A382" s="82"/>
      <c r="B382" s="82"/>
      <c r="C382" s="82"/>
      <c r="D382" s="82"/>
      <c r="E382" s="82"/>
      <c r="F382" s="82"/>
      <c r="G382" s="82"/>
    </row>
    <row r="383" ht="15.75" customHeight="1">
      <c r="A383" s="82"/>
      <c r="B383" s="82"/>
      <c r="C383" s="82"/>
      <c r="D383" s="82"/>
      <c r="E383" s="82"/>
      <c r="F383" s="82"/>
      <c r="G383" s="82"/>
    </row>
    <row r="384" ht="15.75" customHeight="1">
      <c r="A384" s="82"/>
      <c r="B384" s="82"/>
      <c r="C384" s="82"/>
      <c r="D384" s="82"/>
      <c r="E384" s="82"/>
      <c r="F384" s="82"/>
      <c r="G384" s="82"/>
    </row>
    <row r="385" ht="15.75" customHeight="1">
      <c r="A385" s="82"/>
      <c r="B385" s="82"/>
      <c r="C385" s="82"/>
      <c r="D385" s="82"/>
      <c r="E385" s="82"/>
      <c r="F385" s="82"/>
      <c r="G385" s="82"/>
    </row>
    <row r="386" ht="15.75" customHeight="1">
      <c r="A386" s="82"/>
      <c r="B386" s="82"/>
      <c r="C386" s="82"/>
      <c r="D386" s="82"/>
      <c r="E386" s="82"/>
      <c r="F386" s="82"/>
      <c r="G386" s="82"/>
    </row>
    <row r="387" ht="15.75" customHeight="1">
      <c r="A387" s="82"/>
      <c r="B387" s="82"/>
      <c r="C387" s="82"/>
      <c r="D387" s="82"/>
      <c r="E387" s="82"/>
      <c r="F387" s="82"/>
      <c r="G387" s="82"/>
    </row>
    <row r="388" ht="15.75" customHeight="1">
      <c r="A388" s="82"/>
      <c r="B388" s="82"/>
      <c r="C388" s="82"/>
      <c r="D388" s="82"/>
      <c r="E388" s="82"/>
      <c r="F388" s="82"/>
      <c r="G388" s="82"/>
    </row>
    <row r="389" ht="15.75" customHeight="1">
      <c r="A389" s="82"/>
      <c r="B389" s="82"/>
      <c r="C389" s="82"/>
      <c r="D389" s="82"/>
      <c r="E389" s="82"/>
      <c r="F389" s="82"/>
      <c r="G389" s="82"/>
    </row>
    <row r="390" ht="15.75" customHeight="1">
      <c r="A390" s="82"/>
      <c r="B390" s="82"/>
      <c r="C390" s="82"/>
      <c r="D390" s="82"/>
      <c r="E390" s="82"/>
      <c r="F390" s="82"/>
      <c r="G390" s="82"/>
    </row>
    <row r="391" ht="15.75" customHeight="1">
      <c r="A391" s="82"/>
      <c r="B391" s="82"/>
      <c r="C391" s="82"/>
      <c r="D391" s="82"/>
      <c r="E391" s="82"/>
      <c r="F391" s="82"/>
      <c r="G391" s="82"/>
    </row>
    <row r="392" ht="15.75" customHeight="1">
      <c r="A392" s="82"/>
      <c r="B392" s="82"/>
      <c r="C392" s="82"/>
      <c r="D392" s="82"/>
      <c r="E392" s="82"/>
      <c r="F392" s="82"/>
      <c r="G392" s="82"/>
    </row>
    <row r="393" ht="15.75" customHeight="1">
      <c r="A393" s="82"/>
      <c r="B393" s="82"/>
      <c r="C393" s="82"/>
      <c r="D393" s="82"/>
      <c r="E393" s="82"/>
      <c r="F393" s="82"/>
      <c r="G393" s="82"/>
    </row>
    <row r="394" ht="15.75" customHeight="1">
      <c r="A394" s="82"/>
      <c r="B394" s="82"/>
      <c r="C394" s="82"/>
      <c r="D394" s="82"/>
      <c r="E394" s="82"/>
      <c r="F394" s="82"/>
      <c r="G394" s="82"/>
    </row>
    <row r="395" ht="15.75" customHeight="1">
      <c r="A395" s="82"/>
      <c r="B395" s="82"/>
      <c r="C395" s="82"/>
      <c r="D395" s="82"/>
      <c r="E395" s="82"/>
      <c r="F395" s="82"/>
      <c r="G395" s="82"/>
    </row>
    <row r="396" ht="15.75" customHeight="1">
      <c r="A396" s="82"/>
      <c r="B396" s="82"/>
      <c r="C396" s="82"/>
      <c r="D396" s="82"/>
      <c r="E396" s="82"/>
      <c r="F396" s="82"/>
      <c r="G396" s="82"/>
    </row>
    <row r="397" ht="15.75" customHeight="1">
      <c r="A397" s="82"/>
      <c r="B397" s="82"/>
      <c r="C397" s="82"/>
      <c r="D397" s="82"/>
      <c r="E397" s="82"/>
      <c r="F397" s="82"/>
      <c r="G397" s="82"/>
    </row>
    <row r="398" ht="15.75" customHeight="1">
      <c r="A398" s="82"/>
      <c r="B398" s="82"/>
      <c r="C398" s="82"/>
      <c r="D398" s="82"/>
      <c r="E398" s="82"/>
      <c r="F398" s="82"/>
      <c r="G398" s="82"/>
    </row>
    <row r="399" ht="15.75" customHeight="1">
      <c r="A399" s="82"/>
      <c r="B399" s="82"/>
      <c r="C399" s="82"/>
      <c r="D399" s="82"/>
      <c r="E399" s="82"/>
      <c r="F399" s="82"/>
      <c r="G399" s="82"/>
    </row>
    <row r="400" ht="15.75" customHeight="1">
      <c r="A400" s="82"/>
      <c r="B400" s="82"/>
      <c r="C400" s="82"/>
      <c r="D400" s="82"/>
      <c r="E400" s="82"/>
      <c r="F400" s="82"/>
      <c r="G400" s="82"/>
    </row>
    <row r="401" ht="15.75" customHeight="1">
      <c r="A401" s="82"/>
      <c r="B401" s="82"/>
      <c r="C401" s="82"/>
      <c r="D401" s="82"/>
      <c r="E401" s="82"/>
      <c r="F401" s="82"/>
      <c r="G401" s="82"/>
    </row>
    <row r="402" ht="15.75" customHeight="1">
      <c r="A402" s="82"/>
      <c r="B402" s="82"/>
      <c r="C402" s="82"/>
      <c r="D402" s="82"/>
      <c r="E402" s="82"/>
      <c r="F402" s="82"/>
      <c r="G402" s="82"/>
    </row>
    <row r="403" ht="15.75" customHeight="1">
      <c r="A403" s="82"/>
      <c r="B403" s="82"/>
      <c r="C403" s="82"/>
      <c r="D403" s="82"/>
      <c r="E403" s="82"/>
      <c r="F403" s="82"/>
      <c r="G403" s="82"/>
    </row>
    <row r="404" ht="15.75" customHeight="1">
      <c r="A404" s="82"/>
      <c r="B404" s="82"/>
      <c r="C404" s="82"/>
      <c r="D404" s="82"/>
      <c r="E404" s="82"/>
      <c r="F404" s="82"/>
      <c r="G404" s="82"/>
    </row>
    <row r="405" ht="15.75" customHeight="1">
      <c r="A405" s="82"/>
      <c r="B405" s="82"/>
      <c r="C405" s="82"/>
      <c r="D405" s="82"/>
      <c r="E405" s="82"/>
      <c r="F405" s="82"/>
      <c r="G405" s="82"/>
    </row>
    <row r="406" ht="15.75" customHeight="1">
      <c r="A406" s="82"/>
      <c r="B406" s="82"/>
      <c r="C406" s="82"/>
      <c r="D406" s="82"/>
      <c r="E406" s="82"/>
      <c r="F406" s="82"/>
      <c r="G406" s="82"/>
    </row>
    <row r="407" ht="15.75" customHeight="1">
      <c r="A407" s="82"/>
      <c r="B407" s="82"/>
      <c r="C407" s="82"/>
      <c r="D407" s="82"/>
      <c r="E407" s="82"/>
      <c r="F407" s="82"/>
      <c r="G407" s="82"/>
    </row>
    <row r="408" ht="15.75" customHeight="1">
      <c r="A408" s="82"/>
      <c r="B408" s="82"/>
      <c r="C408" s="82"/>
      <c r="D408" s="82"/>
      <c r="E408" s="82"/>
      <c r="F408" s="82"/>
      <c r="G408" s="82"/>
    </row>
    <row r="409" ht="15.75" customHeight="1">
      <c r="A409" s="82"/>
      <c r="B409" s="82"/>
      <c r="C409" s="82"/>
      <c r="D409" s="82"/>
      <c r="E409" s="82"/>
      <c r="F409" s="82"/>
      <c r="G409" s="82"/>
    </row>
    <row r="410" ht="15.75" customHeight="1">
      <c r="A410" s="82"/>
      <c r="B410" s="82"/>
      <c r="C410" s="82"/>
      <c r="D410" s="82"/>
      <c r="E410" s="82"/>
      <c r="F410" s="82"/>
      <c r="G410" s="82"/>
    </row>
    <row r="411" ht="15.75" customHeight="1">
      <c r="A411" s="82"/>
      <c r="B411" s="82"/>
      <c r="C411" s="82"/>
      <c r="D411" s="82"/>
      <c r="E411" s="82"/>
      <c r="F411" s="82"/>
      <c r="G411" s="82"/>
    </row>
    <row r="412" ht="15.75" customHeight="1">
      <c r="A412" s="82"/>
      <c r="B412" s="82"/>
      <c r="C412" s="82"/>
      <c r="D412" s="82"/>
      <c r="E412" s="82"/>
      <c r="F412" s="82"/>
      <c r="G412" s="82"/>
    </row>
    <row r="413" ht="15.75" customHeight="1">
      <c r="A413" s="82"/>
      <c r="B413" s="82"/>
      <c r="C413" s="82"/>
      <c r="D413" s="82"/>
      <c r="E413" s="82"/>
      <c r="F413" s="82"/>
      <c r="G413" s="82"/>
    </row>
    <row r="414" ht="15.75" customHeight="1">
      <c r="A414" s="82"/>
      <c r="B414" s="82"/>
      <c r="C414" s="82"/>
      <c r="D414" s="82"/>
      <c r="E414" s="82"/>
      <c r="F414" s="82"/>
      <c r="G414" s="82"/>
    </row>
    <row r="415" ht="15.75" customHeight="1">
      <c r="A415" s="82"/>
      <c r="B415" s="82"/>
      <c r="C415" s="82"/>
      <c r="D415" s="82"/>
      <c r="E415" s="82"/>
      <c r="F415" s="82"/>
      <c r="G415" s="82"/>
    </row>
    <row r="416" ht="15.75" customHeight="1">
      <c r="A416" s="82"/>
      <c r="B416" s="82"/>
      <c r="C416" s="82"/>
      <c r="D416" s="82"/>
      <c r="E416" s="82"/>
      <c r="F416" s="82"/>
      <c r="G416" s="82"/>
    </row>
    <row r="417" ht="15.75" customHeight="1">
      <c r="A417" s="82"/>
      <c r="B417" s="82"/>
      <c r="C417" s="82"/>
      <c r="D417" s="82"/>
      <c r="E417" s="82"/>
      <c r="F417" s="82"/>
      <c r="G417" s="82"/>
    </row>
    <row r="418" ht="15.75" customHeight="1">
      <c r="A418" s="82"/>
      <c r="B418" s="82"/>
      <c r="C418" s="82"/>
      <c r="D418" s="82"/>
      <c r="E418" s="82"/>
      <c r="F418" s="82"/>
      <c r="G418" s="82"/>
    </row>
    <row r="419" ht="15.75" customHeight="1">
      <c r="A419" s="82"/>
      <c r="B419" s="82"/>
      <c r="C419" s="82"/>
      <c r="D419" s="82"/>
      <c r="E419" s="82"/>
      <c r="F419" s="82"/>
      <c r="G419" s="82"/>
    </row>
    <row r="420" ht="15.75" customHeight="1">
      <c r="A420" s="82"/>
      <c r="B420" s="82"/>
      <c r="C420" s="82"/>
      <c r="D420" s="82"/>
      <c r="E420" s="82"/>
      <c r="F420" s="82"/>
      <c r="G420" s="82"/>
    </row>
    <row r="421" ht="15.75" customHeight="1">
      <c r="A421" s="82"/>
      <c r="B421" s="82"/>
      <c r="C421" s="82"/>
      <c r="D421" s="82"/>
      <c r="E421" s="82"/>
      <c r="F421" s="82"/>
      <c r="G421" s="82"/>
    </row>
    <row r="422" ht="15.75" customHeight="1">
      <c r="A422" s="82"/>
      <c r="B422" s="82"/>
      <c r="C422" s="82"/>
      <c r="D422" s="82"/>
      <c r="E422" s="82"/>
      <c r="F422" s="82"/>
      <c r="G422" s="82"/>
    </row>
    <row r="423" ht="15.75" customHeight="1">
      <c r="A423" s="82"/>
      <c r="B423" s="82"/>
      <c r="C423" s="82"/>
      <c r="D423" s="82"/>
      <c r="E423" s="82"/>
      <c r="F423" s="82"/>
      <c r="G423" s="82"/>
    </row>
    <row r="424" ht="15.75" customHeight="1">
      <c r="A424" s="82"/>
      <c r="B424" s="82"/>
      <c r="C424" s="82"/>
      <c r="D424" s="82"/>
      <c r="E424" s="82"/>
      <c r="F424" s="82"/>
      <c r="G424" s="82"/>
    </row>
    <row r="425" ht="15.75" customHeight="1">
      <c r="A425" s="82"/>
      <c r="B425" s="82"/>
      <c r="C425" s="82"/>
      <c r="D425" s="82"/>
      <c r="E425" s="82"/>
      <c r="F425" s="82"/>
      <c r="G425" s="82"/>
    </row>
    <row r="426" ht="15.75" customHeight="1">
      <c r="A426" s="82"/>
      <c r="B426" s="82"/>
      <c r="C426" s="82"/>
      <c r="D426" s="82"/>
      <c r="E426" s="82"/>
      <c r="F426" s="82"/>
      <c r="G426" s="82"/>
    </row>
    <row r="427" ht="15.75" customHeight="1">
      <c r="A427" s="82"/>
      <c r="B427" s="82"/>
      <c r="C427" s="82"/>
      <c r="D427" s="82"/>
      <c r="E427" s="82"/>
      <c r="F427" s="82"/>
      <c r="G427" s="82"/>
    </row>
    <row r="428" ht="15.75" customHeight="1">
      <c r="A428" s="82"/>
      <c r="B428" s="82"/>
      <c r="C428" s="82"/>
      <c r="D428" s="82"/>
      <c r="E428" s="82"/>
      <c r="F428" s="82"/>
      <c r="G428" s="82"/>
    </row>
    <row r="429" ht="15.75" customHeight="1">
      <c r="A429" s="82"/>
      <c r="B429" s="82"/>
      <c r="C429" s="82"/>
      <c r="D429" s="82"/>
      <c r="E429" s="82"/>
      <c r="F429" s="82"/>
      <c r="G429" s="82"/>
    </row>
    <row r="430" ht="15.75" customHeight="1">
      <c r="A430" s="82"/>
      <c r="B430" s="82"/>
      <c r="C430" s="82"/>
      <c r="D430" s="82"/>
      <c r="E430" s="82"/>
      <c r="F430" s="82"/>
      <c r="G430" s="82"/>
    </row>
    <row r="431" ht="15.75" customHeight="1">
      <c r="A431" s="82"/>
      <c r="B431" s="82"/>
      <c r="C431" s="82"/>
      <c r="D431" s="82"/>
      <c r="E431" s="82"/>
      <c r="F431" s="82"/>
      <c r="G431" s="82"/>
    </row>
    <row r="432" ht="15.75" customHeight="1">
      <c r="A432" s="82"/>
      <c r="B432" s="82"/>
      <c r="C432" s="82"/>
      <c r="D432" s="82"/>
      <c r="E432" s="82"/>
      <c r="F432" s="82"/>
      <c r="G432" s="82"/>
    </row>
    <row r="433" ht="15.75" customHeight="1">
      <c r="A433" s="82"/>
      <c r="B433" s="82"/>
      <c r="C433" s="82"/>
      <c r="D433" s="82"/>
      <c r="E433" s="82"/>
      <c r="F433" s="82"/>
      <c r="G433" s="82"/>
    </row>
    <row r="434" ht="15.75" customHeight="1">
      <c r="A434" s="82"/>
      <c r="B434" s="82"/>
      <c r="C434" s="82"/>
      <c r="D434" s="82"/>
      <c r="E434" s="82"/>
      <c r="F434" s="82"/>
      <c r="G434" s="82"/>
    </row>
    <row r="435" ht="15.75" customHeight="1">
      <c r="A435" s="82"/>
      <c r="B435" s="82"/>
      <c r="C435" s="82"/>
      <c r="D435" s="82"/>
      <c r="E435" s="82"/>
      <c r="F435" s="82"/>
      <c r="G435" s="82"/>
    </row>
    <row r="436" ht="15.75" customHeight="1">
      <c r="A436" s="82"/>
      <c r="B436" s="82"/>
      <c r="C436" s="82"/>
      <c r="D436" s="82"/>
      <c r="E436" s="82"/>
      <c r="F436" s="82"/>
      <c r="G436" s="82"/>
    </row>
    <row r="437" ht="15.75" customHeight="1">
      <c r="A437" s="82"/>
      <c r="B437" s="82"/>
      <c r="C437" s="82"/>
      <c r="D437" s="82"/>
      <c r="E437" s="82"/>
      <c r="F437" s="82"/>
      <c r="G437" s="82"/>
    </row>
    <row r="438" ht="15.75" customHeight="1">
      <c r="A438" s="82"/>
      <c r="B438" s="82"/>
      <c r="C438" s="82"/>
      <c r="D438" s="82"/>
      <c r="E438" s="82"/>
      <c r="F438" s="82"/>
      <c r="G438" s="82"/>
    </row>
    <row r="439" ht="15.75" customHeight="1">
      <c r="A439" s="82"/>
      <c r="B439" s="82"/>
      <c r="C439" s="82"/>
      <c r="D439" s="82"/>
      <c r="E439" s="82"/>
      <c r="F439" s="82"/>
      <c r="G439" s="82"/>
    </row>
    <row r="440" ht="15.75" customHeight="1">
      <c r="A440" s="82"/>
      <c r="B440" s="82"/>
      <c r="C440" s="82"/>
      <c r="D440" s="82"/>
      <c r="E440" s="82"/>
      <c r="F440" s="82"/>
      <c r="G440" s="82"/>
    </row>
    <row r="441" ht="15.75" customHeight="1">
      <c r="A441" s="82"/>
      <c r="B441" s="82"/>
      <c r="C441" s="82"/>
      <c r="D441" s="82"/>
      <c r="E441" s="82"/>
      <c r="F441" s="82"/>
      <c r="G441" s="82"/>
    </row>
    <row r="442" ht="15.75" customHeight="1">
      <c r="A442" s="82"/>
      <c r="B442" s="82"/>
      <c r="C442" s="82"/>
      <c r="D442" s="82"/>
      <c r="E442" s="82"/>
      <c r="F442" s="82"/>
      <c r="G442" s="82"/>
    </row>
    <row r="443" ht="15.75" customHeight="1">
      <c r="A443" s="82"/>
      <c r="B443" s="82"/>
      <c r="C443" s="82"/>
      <c r="D443" s="82"/>
      <c r="E443" s="82"/>
      <c r="F443" s="82"/>
      <c r="G443" s="82"/>
    </row>
    <row r="444" ht="15.75" customHeight="1">
      <c r="A444" s="82"/>
      <c r="B444" s="82"/>
      <c r="C444" s="82"/>
      <c r="D444" s="82"/>
      <c r="E444" s="82"/>
      <c r="F444" s="82"/>
      <c r="G444" s="82"/>
    </row>
    <row r="445" ht="15.75" customHeight="1">
      <c r="A445" s="82"/>
      <c r="B445" s="82"/>
      <c r="C445" s="82"/>
      <c r="D445" s="82"/>
      <c r="E445" s="82"/>
      <c r="F445" s="82"/>
      <c r="G445" s="82"/>
    </row>
    <row r="446" ht="15.75" customHeight="1">
      <c r="A446" s="82"/>
      <c r="B446" s="82"/>
      <c r="C446" s="82"/>
      <c r="D446" s="82"/>
      <c r="E446" s="82"/>
      <c r="F446" s="82"/>
      <c r="G446" s="82"/>
    </row>
    <row r="447" ht="15.75" customHeight="1">
      <c r="A447" s="82"/>
      <c r="B447" s="82"/>
      <c r="C447" s="82"/>
      <c r="D447" s="82"/>
      <c r="E447" s="82"/>
      <c r="F447" s="82"/>
      <c r="G447" s="82"/>
    </row>
    <row r="448" ht="15.75" customHeight="1">
      <c r="A448" s="82"/>
      <c r="B448" s="82"/>
      <c r="C448" s="82"/>
      <c r="D448" s="82"/>
      <c r="E448" s="82"/>
      <c r="F448" s="82"/>
      <c r="G448" s="82"/>
    </row>
    <row r="449" ht="15.75" customHeight="1">
      <c r="A449" s="82"/>
      <c r="B449" s="82"/>
      <c r="C449" s="82"/>
      <c r="D449" s="82"/>
      <c r="E449" s="82"/>
      <c r="F449" s="82"/>
      <c r="G449" s="82"/>
    </row>
    <row r="450" ht="15.75" customHeight="1">
      <c r="A450" s="82"/>
      <c r="B450" s="82"/>
      <c r="C450" s="82"/>
      <c r="D450" s="82"/>
      <c r="E450" s="82"/>
      <c r="F450" s="82"/>
      <c r="G450" s="82"/>
    </row>
    <row r="451" ht="15.75" customHeight="1">
      <c r="A451" s="82"/>
      <c r="B451" s="82"/>
      <c r="C451" s="82"/>
      <c r="D451" s="82"/>
      <c r="E451" s="82"/>
      <c r="F451" s="82"/>
      <c r="G451" s="82"/>
    </row>
    <row r="452" ht="15.75" customHeight="1">
      <c r="A452" s="82"/>
      <c r="B452" s="82"/>
      <c r="C452" s="82"/>
      <c r="D452" s="82"/>
      <c r="E452" s="82"/>
      <c r="F452" s="82"/>
      <c r="G452" s="82"/>
    </row>
    <row r="453" ht="15.75" customHeight="1">
      <c r="A453" s="82"/>
      <c r="B453" s="82"/>
      <c r="C453" s="82"/>
      <c r="D453" s="82"/>
      <c r="E453" s="82"/>
      <c r="F453" s="82"/>
      <c r="G453" s="82"/>
    </row>
    <row r="454" ht="15.75" customHeight="1">
      <c r="A454" s="82"/>
      <c r="B454" s="82"/>
      <c r="C454" s="82"/>
      <c r="D454" s="82"/>
      <c r="E454" s="82"/>
      <c r="F454" s="82"/>
      <c r="G454" s="82"/>
    </row>
    <row r="455" ht="15.75" customHeight="1">
      <c r="A455" s="82"/>
      <c r="B455" s="82"/>
      <c r="C455" s="82"/>
      <c r="D455" s="82"/>
      <c r="E455" s="82"/>
      <c r="F455" s="82"/>
      <c r="G455" s="82"/>
    </row>
    <row r="456" ht="15.75" customHeight="1">
      <c r="A456" s="82"/>
      <c r="B456" s="82"/>
      <c r="C456" s="82"/>
      <c r="D456" s="82"/>
      <c r="E456" s="82"/>
      <c r="F456" s="82"/>
      <c r="G456" s="82"/>
    </row>
    <row r="457" ht="15.75" customHeight="1">
      <c r="A457" s="82"/>
      <c r="B457" s="82"/>
      <c r="C457" s="82"/>
      <c r="D457" s="82"/>
      <c r="E457" s="82"/>
      <c r="F457" s="82"/>
      <c r="G457" s="82"/>
    </row>
    <row r="458" ht="15.75" customHeight="1">
      <c r="A458" s="82"/>
      <c r="B458" s="82"/>
      <c r="C458" s="82"/>
      <c r="D458" s="82"/>
      <c r="E458" s="82"/>
      <c r="F458" s="82"/>
      <c r="G458" s="82"/>
    </row>
    <row r="459" ht="15.75" customHeight="1">
      <c r="A459" s="82"/>
      <c r="B459" s="82"/>
      <c r="C459" s="82"/>
      <c r="D459" s="82"/>
      <c r="E459" s="82"/>
      <c r="F459" s="82"/>
      <c r="G459" s="82"/>
    </row>
    <row r="460" ht="15.75" customHeight="1">
      <c r="A460" s="82"/>
      <c r="B460" s="82"/>
      <c r="C460" s="82"/>
      <c r="D460" s="82"/>
      <c r="E460" s="82"/>
      <c r="F460" s="82"/>
      <c r="G460" s="82"/>
    </row>
    <row r="461" ht="15.75" customHeight="1">
      <c r="A461" s="82"/>
      <c r="B461" s="82"/>
      <c r="C461" s="82"/>
      <c r="D461" s="82"/>
      <c r="E461" s="82"/>
      <c r="F461" s="82"/>
      <c r="G461" s="82"/>
    </row>
    <row r="462" ht="15.75" customHeight="1">
      <c r="A462" s="82"/>
      <c r="B462" s="82"/>
      <c r="C462" s="82"/>
      <c r="D462" s="82"/>
      <c r="E462" s="82"/>
      <c r="F462" s="82"/>
      <c r="G462" s="82"/>
    </row>
    <row r="463" ht="15.75" customHeight="1">
      <c r="A463" s="82"/>
      <c r="B463" s="82"/>
      <c r="C463" s="82"/>
      <c r="D463" s="82"/>
      <c r="E463" s="82"/>
      <c r="F463" s="82"/>
      <c r="G463" s="82"/>
    </row>
    <row r="464" ht="15.75" customHeight="1">
      <c r="A464" s="82"/>
      <c r="B464" s="82"/>
      <c r="C464" s="82"/>
      <c r="D464" s="82"/>
      <c r="E464" s="82"/>
      <c r="F464" s="82"/>
      <c r="G464" s="82"/>
    </row>
    <row r="465" ht="15.75" customHeight="1">
      <c r="A465" s="82"/>
      <c r="B465" s="82"/>
      <c r="C465" s="82"/>
      <c r="D465" s="82"/>
      <c r="E465" s="82"/>
      <c r="F465" s="82"/>
      <c r="G465" s="82"/>
    </row>
    <row r="466" ht="15.75" customHeight="1">
      <c r="A466" s="82"/>
      <c r="B466" s="82"/>
      <c r="C466" s="82"/>
      <c r="D466" s="82"/>
      <c r="E466" s="82"/>
      <c r="F466" s="82"/>
      <c r="G466" s="82"/>
    </row>
    <row r="467" ht="15.75" customHeight="1">
      <c r="A467" s="82"/>
      <c r="B467" s="82"/>
      <c r="C467" s="82"/>
      <c r="D467" s="82"/>
      <c r="E467" s="82"/>
      <c r="F467" s="82"/>
      <c r="G467" s="82"/>
    </row>
    <row r="468" ht="15.75" customHeight="1">
      <c r="A468" s="82"/>
      <c r="B468" s="82"/>
      <c r="C468" s="82"/>
      <c r="D468" s="82"/>
      <c r="E468" s="82"/>
      <c r="F468" s="82"/>
      <c r="G468" s="82"/>
    </row>
    <row r="469" ht="15.75" customHeight="1">
      <c r="A469" s="82"/>
      <c r="B469" s="82"/>
      <c r="C469" s="82"/>
      <c r="D469" s="82"/>
      <c r="E469" s="82"/>
      <c r="F469" s="82"/>
      <c r="G469" s="82"/>
    </row>
    <row r="470" ht="15.75" customHeight="1">
      <c r="A470" s="82"/>
      <c r="B470" s="82"/>
      <c r="C470" s="82"/>
      <c r="D470" s="82"/>
      <c r="E470" s="82"/>
      <c r="F470" s="82"/>
      <c r="G470" s="82"/>
    </row>
    <row r="471" ht="15.75" customHeight="1">
      <c r="A471" s="82"/>
      <c r="B471" s="82"/>
      <c r="C471" s="82"/>
      <c r="D471" s="82"/>
      <c r="E471" s="82"/>
      <c r="F471" s="82"/>
      <c r="G471" s="82"/>
    </row>
    <row r="472" ht="15.75" customHeight="1">
      <c r="A472" s="82"/>
      <c r="B472" s="82"/>
      <c r="C472" s="82"/>
      <c r="D472" s="82"/>
      <c r="E472" s="82"/>
      <c r="F472" s="82"/>
      <c r="G472" s="82"/>
    </row>
    <row r="473" ht="15.75" customHeight="1">
      <c r="A473" s="82"/>
      <c r="B473" s="82"/>
      <c r="C473" s="82"/>
      <c r="D473" s="82"/>
      <c r="E473" s="82"/>
      <c r="F473" s="82"/>
      <c r="G473" s="82"/>
    </row>
    <row r="474" ht="15.75" customHeight="1">
      <c r="A474" s="82"/>
      <c r="B474" s="82"/>
      <c r="C474" s="82"/>
      <c r="D474" s="82"/>
      <c r="E474" s="82"/>
      <c r="F474" s="82"/>
      <c r="G474" s="82"/>
    </row>
    <row r="475" ht="15.75" customHeight="1">
      <c r="A475" s="82"/>
      <c r="B475" s="82"/>
      <c r="C475" s="82"/>
      <c r="D475" s="82"/>
      <c r="E475" s="82"/>
      <c r="F475" s="82"/>
      <c r="G475" s="82"/>
    </row>
    <row r="476" ht="15.75" customHeight="1">
      <c r="A476" s="82"/>
      <c r="B476" s="82"/>
      <c r="C476" s="82"/>
      <c r="D476" s="82"/>
      <c r="E476" s="82"/>
      <c r="F476" s="82"/>
      <c r="G476" s="82"/>
    </row>
    <row r="477" ht="15.75" customHeight="1">
      <c r="A477" s="82"/>
      <c r="B477" s="82"/>
      <c r="C477" s="82"/>
      <c r="D477" s="82"/>
      <c r="E477" s="82"/>
      <c r="F477" s="82"/>
      <c r="G477" s="82"/>
    </row>
    <row r="478" ht="15.75" customHeight="1">
      <c r="A478" s="82"/>
      <c r="B478" s="82"/>
      <c r="C478" s="82"/>
      <c r="D478" s="82"/>
      <c r="E478" s="82"/>
      <c r="F478" s="82"/>
      <c r="G478" s="82"/>
    </row>
    <row r="479" ht="15.75" customHeight="1">
      <c r="A479" s="82"/>
      <c r="B479" s="82"/>
      <c r="C479" s="82"/>
      <c r="D479" s="82"/>
      <c r="E479" s="82"/>
      <c r="F479" s="82"/>
      <c r="G479" s="82"/>
    </row>
    <row r="480" ht="15.75" customHeight="1">
      <c r="A480" s="82"/>
      <c r="B480" s="82"/>
      <c r="C480" s="82"/>
      <c r="D480" s="82"/>
      <c r="E480" s="82"/>
      <c r="F480" s="82"/>
      <c r="G480" s="82"/>
    </row>
    <row r="481" ht="15.75" customHeight="1">
      <c r="A481" s="82"/>
      <c r="B481" s="82"/>
      <c r="C481" s="82"/>
      <c r="D481" s="82"/>
      <c r="E481" s="82"/>
      <c r="F481" s="82"/>
      <c r="G481" s="82"/>
    </row>
    <row r="482" ht="15.75" customHeight="1">
      <c r="A482" s="82"/>
      <c r="B482" s="82"/>
      <c r="C482" s="82"/>
      <c r="D482" s="82"/>
      <c r="E482" s="82"/>
      <c r="F482" s="82"/>
      <c r="G482" s="82"/>
    </row>
    <row r="483" ht="15.75" customHeight="1">
      <c r="A483" s="82"/>
      <c r="B483" s="82"/>
      <c r="C483" s="82"/>
      <c r="D483" s="82"/>
      <c r="E483" s="82"/>
      <c r="F483" s="82"/>
      <c r="G483" s="82"/>
    </row>
    <row r="484" ht="15.75" customHeight="1">
      <c r="A484" s="82"/>
      <c r="B484" s="82"/>
      <c r="C484" s="82"/>
      <c r="D484" s="82"/>
      <c r="E484" s="82"/>
      <c r="F484" s="82"/>
      <c r="G484" s="82"/>
    </row>
    <row r="485" ht="15.75" customHeight="1">
      <c r="A485" s="82"/>
      <c r="B485" s="82"/>
      <c r="C485" s="82"/>
      <c r="D485" s="82"/>
      <c r="E485" s="82"/>
      <c r="F485" s="82"/>
      <c r="G485" s="82"/>
    </row>
    <row r="486" ht="15.75" customHeight="1">
      <c r="A486" s="82"/>
      <c r="B486" s="82"/>
      <c r="C486" s="82"/>
      <c r="D486" s="82"/>
      <c r="E486" s="82"/>
      <c r="F486" s="82"/>
      <c r="G486" s="82"/>
    </row>
    <row r="487" ht="15.75" customHeight="1">
      <c r="A487" s="82"/>
      <c r="B487" s="82"/>
      <c r="C487" s="82"/>
      <c r="D487" s="82"/>
      <c r="E487" s="82"/>
      <c r="F487" s="82"/>
      <c r="G487" s="82"/>
    </row>
    <row r="488" ht="15.75" customHeight="1">
      <c r="A488" s="82"/>
      <c r="B488" s="82"/>
      <c r="C488" s="82"/>
      <c r="D488" s="82"/>
      <c r="E488" s="82"/>
      <c r="F488" s="82"/>
      <c r="G488" s="82"/>
    </row>
    <row r="489" ht="15.75" customHeight="1">
      <c r="A489" s="82"/>
      <c r="B489" s="82"/>
      <c r="C489" s="82"/>
      <c r="D489" s="82"/>
      <c r="E489" s="82"/>
      <c r="F489" s="82"/>
      <c r="G489" s="82"/>
    </row>
    <row r="490" ht="15.75" customHeight="1">
      <c r="A490" s="82"/>
      <c r="B490" s="82"/>
      <c r="C490" s="82"/>
      <c r="D490" s="82"/>
      <c r="E490" s="82"/>
      <c r="F490" s="82"/>
      <c r="G490" s="82"/>
    </row>
    <row r="491" ht="15.75" customHeight="1">
      <c r="A491" s="82"/>
      <c r="B491" s="82"/>
      <c r="C491" s="82"/>
      <c r="D491" s="82"/>
      <c r="E491" s="82"/>
      <c r="F491" s="82"/>
      <c r="G491" s="82"/>
    </row>
    <row r="492" ht="15.75" customHeight="1">
      <c r="A492" s="82"/>
      <c r="B492" s="82"/>
      <c r="C492" s="82"/>
      <c r="D492" s="82"/>
      <c r="E492" s="82"/>
      <c r="F492" s="82"/>
      <c r="G492" s="82"/>
    </row>
    <row r="493" ht="15.75" customHeight="1">
      <c r="A493" s="82"/>
      <c r="B493" s="82"/>
      <c r="C493" s="82"/>
      <c r="D493" s="82"/>
      <c r="E493" s="82"/>
      <c r="F493" s="82"/>
      <c r="G493" s="82"/>
    </row>
    <row r="494" ht="15.75" customHeight="1">
      <c r="A494" s="82"/>
      <c r="B494" s="82"/>
      <c r="C494" s="82"/>
      <c r="D494" s="82"/>
      <c r="E494" s="82"/>
      <c r="F494" s="82"/>
      <c r="G494" s="82"/>
    </row>
    <row r="495" ht="15.75" customHeight="1">
      <c r="A495" s="82"/>
      <c r="B495" s="82"/>
      <c r="C495" s="82"/>
      <c r="D495" s="82"/>
      <c r="E495" s="82"/>
      <c r="F495" s="82"/>
      <c r="G495" s="82"/>
    </row>
    <row r="496" ht="15.75" customHeight="1">
      <c r="A496" s="82"/>
      <c r="B496" s="82"/>
      <c r="C496" s="82"/>
      <c r="D496" s="82"/>
      <c r="E496" s="82"/>
      <c r="F496" s="82"/>
      <c r="G496" s="82"/>
    </row>
    <row r="497" ht="15.75" customHeight="1">
      <c r="A497" s="82"/>
      <c r="B497" s="82"/>
      <c r="C497" s="82"/>
      <c r="D497" s="82"/>
      <c r="E497" s="82"/>
      <c r="F497" s="82"/>
      <c r="G497" s="82"/>
    </row>
    <row r="498" ht="15.75" customHeight="1">
      <c r="A498" s="82"/>
      <c r="B498" s="82"/>
      <c r="C498" s="82"/>
      <c r="D498" s="82"/>
      <c r="E498" s="82"/>
      <c r="F498" s="82"/>
      <c r="G498" s="82"/>
    </row>
    <row r="499" ht="15.75" customHeight="1">
      <c r="A499" s="82"/>
      <c r="B499" s="82"/>
      <c r="C499" s="82"/>
      <c r="D499" s="82"/>
      <c r="E499" s="82"/>
      <c r="F499" s="82"/>
      <c r="G499" s="82"/>
    </row>
    <row r="500" ht="15.75" customHeight="1">
      <c r="A500" s="82"/>
      <c r="B500" s="82"/>
      <c r="C500" s="82"/>
      <c r="D500" s="82"/>
      <c r="E500" s="82"/>
      <c r="F500" s="82"/>
      <c r="G500" s="82"/>
    </row>
    <row r="501" ht="15.75" customHeight="1">
      <c r="A501" s="82"/>
      <c r="B501" s="82"/>
      <c r="C501" s="82"/>
      <c r="D501" s="82"/>
      <c r="E501" s="82"/>
      <c r="F501" s="82"/>
      <c r="G501" s="82"/>
    </row>
    <row r="502" ht="15.75" customHeight="1">
      <c r="A502" s="82"/>
      <c r="B502" s="82"/>
      <c r="C502" s="82"/>
      <c r="D502" s="82"/>
      <c r="E502" s="82"/>
      <c r="F502" s="82"/>
      <c r="G502" s="82"/>
    </row>
    <row r="503" ht="15.75" customHeight="1">
      <c r="A503" s="82"/>
      <c r="B503" s="82"/>
      <c r="C503" s="82"/>
      <c r="D503" s="82"/>
      <c r="E503" s="82"/>
      <c r="F503" s="82"/>
      <c r="G503" s="82"/>
    </row>
    <row r="504" ht="15.75" customHeight="1">
      <c r="A504" s="82"/>
      <c r="B504" s="82"/>
      <c r="C504" s="82"/>
      <c r="D504" s="82"/>
      <c r="E504" s="82"/>
      <c r="F504" s="82"/>
      <c r="G504" s="82"/>
    </row>
    <row r="505" ht="15.75" customHeight="1">
      <c r="A505" s="82"/>
      <c r="B505" s="82"/>
      <c r="C505" s="82"/>
      <c r="D505" s="82"/>
      <c r="E505" s="82"/>
      <c r="F505" s="82"/>
      <c r="G505" s="82"/>
    </row>
    <row r="506" ht="15.75" customHeight="1">
      <c r="A506" s="82"/>
      <c r="B506" s="82"/>
      <c r="C506" s="82"/>
      <c r="D506" s="82"/>
      <c r="E506" s="82"/>
      <c r="F506" s="82"/>
      <c r="G506" s="82"/>
    </row>
    <row r="507" ht="15.75" customHeight="1">
      <c r="A507" s="82"/>
      <c r="B507" s="82"/>
      <c r="C507" s="82"/>
      <c r="D507" s="82"/>
      <c r="E507" s="82"/>
      <c r="F507" s="82"/>
      <c r="G507" s="82"/>
    </row>
    <row r="508" ht="15.75" customHeight="1">
      <c r="A508" s="82"/>
      <c r="B508" s="82"/>
      <c r="C508" s="82"/>
      <c r="D508" s="82"/>
      <c r="E508" s="82"/>
      <c r="F508" s="82"/>
      <c r="G508" s="82"/>
    </row>
    <row r="509" ht="15.75" customHeight="1">
      <c r="A509" s="82"/>
      <c r="B509" s="82"/>
      <c r="C509" s="82"/>
      <c r="D509" s="82"/>
      <c r="E509" s="82"/>
      <c r="F509" s="82"/>
      <c r="G509" s="82"/>
    </row>
    <row r="510" ht="15.75" customHeight="1">
      <c r="A510" s="82"/>
      <c r="B510" s="82"/>
      <c r="C510" s="82"/>
      <c r="D510" s="82"/>
      <c r="E510" s="82"/>
      <c r="F510" s="82"/>
      <c r="G510" s="82"/>
    </row>
    <row r="511" ht="15.75" customHeight="1">
      <c r="A511" s="82"/>
      <c r="B511" s="82"/>
      <c r="C511" s="82"/>
      <c r="D511" s="82"/>
      <c r="E511" s="82"/>
      <c r="F511" s="82"/>
      <c r="G511" s="82"/>
    </row>
    <row r="512" ht="15.75" customHeight="1">
      <c r="A512" s="82"/>
      <c r="B512" s="82"/>
      <c r="C512" s="82"/>
      <c r="D512" s="82"/>
      <c r="E512" s="82"/>
      <c r="F512" s="82"/>
      <c r="G512" s="82"/>
    </row>
    <row r="513" ht="15.75" customHeight="1">
      <c r="A513" s="82"/>
      <c r="B513" s="82"/>
      <c r="C513" s="82"/>
      <c r="D513" s="82"/>
      <c r="E513" s="82"/>
      <c r="F513" s="82"/>
      <c r="G513" s="82"/>
    </row>
    <row r="514" ht="15.75" customHeight="1">
      <c r="A514" s="82"/>
      <c r="B514" s="82"/>
      <c r="C514" s="82"/>
      <c r="D514" s="82"/>
      <c r="E514" s="82"/>
      <c r="F514" s="82"/>
      <c r="G514" s="82"/>
    </row>
    <row r="515" ht="15.75" customHeight="1">
      <c r="A515" s="82"/>
      <c r="B515" s="82"/>
      <c r="C515" s="82"/>
      <c r="D515" s="82"/>
      <c r="E515" s="82"/>
      <c r="F515" s="82"/>
      <c r="G515" s="82"/>
    </row>
    <row r="516" ht="15.75" customHeight="1">
      <c r="A516" s="82"/>
      <c r="B516" s="82"/>
      <c r="C516" s="82"/>
      <c r="D516" s="82"/>
      <c r="E516" s="82"/>
      <c r="F516" s="82"/>
      <c r="G516" s="82"/>
    </row>
    <row r="517" ht="15.75" customHeight="1">
      <c r="A517" s="82"/>
      <c r="B517" s="82"/>
      <c r="C517" s="82"/>
      <c r="D517" s="82"/>
      <c r="E517" s="82"/>
      <c r="F517" s="82"/>
      <c r="G517" s="82"/>
    </row>
    <row r="518" ht="15.75" customHeight="1">
      <c r="A518" s="82"/>
      <c r="B518" s="82"/>
      <c r="C518" s="82"/>
      <c r="D518" s="82"/>
      <c r="E518" s="82"/>
      <c r="F518" s="82"/>
      <c r="G518" s="82"/>
    </row>
    <row r="519" ht="15.75" customHeight="1">
      <c r="A519" s="82"/>
      <c r="B519" s="82"/>
      <c r="C519" s="82"/>
      <c r="D519" s="82"/>
      <c r="E519" s="82"/>
      <c r="F519" s="82"/>
      <c r="G519" s="82"/>
    </row>
    <row r="520" ht="15.75" customHeight="1">
      <c r="A520" s="82"/>
      <c r="B520" s="82"/>
      <c r="C520" s="82"/>
      <c r="D520" s="82"/>
      <c r="E520" s="82"/>
      <c r="F520" s="82"/>
      <c r="G520" s="82"/>
    </row>
    <row r="521" ht="15.75" customHeight="1">
      <c r="A521" s="82"/>
      <c r="B521" s="82"/>
      <c r="C521" s="82"/>
      <c r="D521" s="82"/>
      <c r="E521" s="82"/>
      <c r="F521" s="82"/>
      <c r="G521" s="82"/>
    </row>
    <row r="522" ht="15.75" customHeight="1">
      <c r="A522" s="82"/>
      <c r="B522" s="82"/>
      <c r="C522" s="82"/>
      <c r="D522" s="82"/>
      <c r="E522" s="82"/>
      <c r="F522" s="82"/>
      <c r="G522" s="82"/>
    </row>
    <row r="523" ht="15.75" customHeight="1">
      <c r="A523" s="82"/>
      <c r="B523" s="82"/>
      <c r="C523" s="82"/>
      <c r="D523" s="82"/>
      <c r="E523" s="82"/>
      <c r="F523" s="82"/>
      <c r="G523" s="82"/>
    </row>
    <row r="524" ht="15.75" customHeight="1">
      <c r="A524" s="82"/>
      <c r="B524" s="82"/>
      <c r="C524" s="82"/>
      <c r="D524" s="82"/>
      <c r="E524" s="82"/>
      <c r="F524" s="82"/>
      <c r="G524" s="82"/>
    </row>
    <row r="525" ht="15.75" customHeight="1">
      <c r="A525" s="82"/>
      <c r="B525" s="82"/>
      <c r="C525" s="82"/>
      <c r="D525" s="82"/>
      <c r="E525" s="82"/>
      <c r="F525" s="82"/>
      <c r="G525" s="82"/>
    </row>
    <row r="526" ht="15.75" customHeight="1">
      <c r="A526" s="82"/>
      <c r="B526" s="82"/>
      <c r="C526" s="82"/>
      <c r="D526" s="82"/>
      <c r="E526" s="82"/>
      <c r="F526" s="82"/>
      <c r="G526" s="82"/>
    </row>
    <row r="527" ht="15.75" customHeight="1">
      <c r="A527" s="82"/>
      <c r="B527" s="82"/>
      <c r="C527" s="82"/>
      <c r="D527" s="82"/>
      <c r="E527" s="82"/>
      <c r="F527" s="82"/>
      <c r="G527" s="82"/>
    </row>
    <row r="528" ht="15.75" customHeight="1">
      <c r="A528" s="82"/>
      <c r="B528" s="82"/>
      <c r="C528" s="82"/>
      <c r="D528" s="82"/>
      <c r="E528" s="82"/>
      <c r="F528" s="82"/>
      <c r="G528" s="82"/>
    </row>
    <row r="529" ht="15.75" customHeight="1">
      <c r="A529" s="82"/>
      <c r="B529" s="82"/>
      <c r="C529" s="82"/>
      <c r="D529" s="82"/>
      <c r="E529" s="82"/>
      <c r="F529" s="82"/>
      <c r="G529" s="82"/>
    </row>
    <row r="530" ht="15.75" customHeight="1">
      <c r="A530" s="82"/>
      <c r="B530" s="82"/>
      <c r="C530" s="82"/>
      <c r="D530" s="82"/>
      <c r="E530" s="82"/>
      <c r="F530" s="82"/>
      <c r="G530" s="82"/>
    </row>
    <row r="531" ht="15.75" customHeight="1">
      <c r="A531" s="82"/>
      <c r="B531" s="82"/>
      <c r="C531" s="82"/>
      <c r="D531" s="82"/>
      <c r="E531" s="82"/>
      <c r="F531" s="82"/>
      <c r="G531" s="82"/>
    </row>
    <row r="532" ht="15.75" customHeight="1">
      <c r="A532" s="82"/>
      <c r="B532" s="82"/>
      <c r="C532" s="82"/>
      <c r="D532" s="82"/>
      <c r="E532" s="82"/>
      <c r="F532" s="82"/>
      <c r="G532" s="82"/>
    </row>
    <row r="533" ht="15.75" customHeight="1">
      <c r="A533" s="82"/>
      <c r="B533" s="82"/>
      <c r="C533" s="82"/>
      <c r="D533" s="82"/>
      <c r="E533" s="82"/>
      <c r="F533" s="82"/>
      <c r="G533" s="82"/>
    </row>
    <row r="534" ht="15.75" customHeight="1">
      <c r="A534" s="82"/>
      <c r="B534" s="82"/>
      <c r="C534" s="82"/>
      <c r="D534" s="82"/>
      <c r="E534" s="82"/>
      <c r="F534" s="82"/>
      <c r="G534" s="82"/>
    </row>
    <row r="535" ht="15.75" customHeight="1">
      <c r="A535" s="82"/>
      <c r="B535" s="82"/>
      <c r="C535" s="82"/>
      <c r="D535" s="82"/>
      <c r="E535" s="82"/>
      <c r="F535" s="82"/>
      <c r="G535" s="82"/>
    </row>
    <row r="536" ht="15.75" customHeight="1">
      <c r="A536" s="82"/>
      <c r="B536" s="82"/>
      <c r="C536" s="82"/>
      <c r="D536" s="82"/>
      <c r="E536" s="82"/>
      <c r="F536" s="82"/>
      <c r="G536" s="82"/>
    </row>
    <row r="537" ht="15.75" customHeight="1">
      <c r="A537" s="82"/>
      <c r="B537" s="82"/>
      <c r="C537" s="82"/>
      <c r="D537" s="82"/>
      <c r="E537" s="82"/>
      <c r="F537" s="82"/>
      <c r="G537" s="82"/>
    </row>
    <row r="538" ht="15.75" customHeight="1">
      <c r="A538" s="82"/>
      <c r="B538" s="82"/>
      <c r="C538" s="82"/>
      <c r="D538" s="82"/>
      <c r="E538" s="82"/>
      <c r="F538" s="82"/>
      <c r="G538" s="82"/>
    </row>
    <row r="539" ht="15.75" customHeight="1">
      <c r="A539" s="82"/>
      <c r="B539" s="82"/>
      <c r="C539" s="82"/>
      <c r="D539" s="82"/>
      <c r="E539" s="82"/>
      <c r="F539" s="82"/>
      <c r="G539" s="82"/>
    </row>
    <row r="540" ht="15.75" customHeight="1">
      <c r="A540" s="82"/>
      <c r="B540" s="82"/>
      <c r="C540" s="82"/>
      <c r="D540" s="82"/>
      <c r="E540" s="82"/>
      <c r="F540" s="82"/>
      <c r="G540" s="82"/>
    </row>
    <row r="541" ht="15.75" customHeight="1">
      <c r="A541" s="82"/>
      <c r="B541" s="82"/>
      <c r="C541" s="82"/>
      <c r="D541" s="82"/>
      <c r="E541" s="82"/>
      <c r="F541" s="82"/>
      <c r="G541" s="82"/>
    </row>
    <row r="542" ht="15.75" customHeight="1">
      <c r="A542" s="82"/>
      <c r="B542" s="82"/>
      <c r="C542" s="82"/>
      <c r="D542" s="82"/>
      <c r="E542" s="82"/>
      <c r="F542" s="82"/>
      <c r="G542" s="82"/>
    </row>
    <row r="543" ht="15.75" customHeight="1">
      <c r="A543" s="82"/>
      <c r="B543" s="82"/>
      <c r="C543" s="82"/>
      <c r="D543" s="82"/>
      <c r="E543" s="82"/>
      <c r="F543" s="82"/>
      <c r="G543" s="82"/>
    </row>
    <row r="544" ht="15.75" customHeight="1">
      <c r="A544" s="82"/>
      <c r="B544" s="82"/>
      <c r="C544" s="82"/>
      <c r="D544" s="82"/>
      <c r="E544" s="82"/>
      <c r="F544" s="82"/>
      <c r="G544" s="82"/>
    </row>
    <row r="545" ht="15.75" customHeight="1">
      <c r="A545" s="82"/>
      <c r="B545" s="82"/>
      <c r="C545" s="82"/>
      <c r="D545" s="82"/>
      <c r="E545" s="82"/>
      <c r="F545" s="82"/>
      <c r="G545" s="82"/>
    </row>
    <row r="546" ht="15.75" customHeight="1">
      <c r="A546" s="82"/>
      <c r="B546" s="82"/>
      <c r="C546" s="82"/>
      <c r="D546" s="82"/>
      <c r="E546" s="82"/>
      <c r="F546" s="82"/>
      <c r="G546" s="82"/>
    </row>
    <row r="547" ht="15.75" customHeight="1">
      <c r="A547" s="82"/>
      <c r="B547" s="82"/>
      <c r="C547" s="82"/>
      <c r="D547" s="82"/>
      <c r="E547" s="82"/>
      <c r="F547" s="82"/>
      <c r="G547" s="82"/>
    </row>
    <row r="548" ht="15.75" customHeight="1">
      <c r="A548" s="82"/>
      <c r="B548" s="82"/>
      <c r="C548" s="82"/>
      <c r="D548" s="82"/>
      <c r="E548" s="82"/>
      <c r="F548" s="82"/>
      <c r="G548" s="82"/>
    </row>
    <row r="549" ht="15.75" customHeight="1">
      <c r="A549" s="82"/>
      <c r="B549" s="82"/>
      <c r="C549" s="82"/>
      <c r="D549" s="82"/>
      <c r="E549" s="82"/>
      <c r="F549" s="82"/>
      <c r="G549" s="82"/>
    </row>
    <row r="550" ht="15.75" customHeight="1">
      <c r="A550" s="82"/>
      <c r="B550" s="82"/>
      <c r="C550" s="82"/>
      <c r="D550" s="82"/>
      <c r="E550" s="82"/>
      <c r="F550" s="82"/>
      <c r="G550" s="82"/>
    </row>
    <row r="551" ht="15.75" customHeight="1">
      <c r="A551" s="82"/>
      <c r="B551" s="82"/>
      <c r="C551" s="82"/>
      <c r="D551" s="82"/>
      <c r="E551" s="82"/>
      <c r="F551" s="82"/>
      <c r="G551" s="82"/>
    </row>
    <row r="552" ht="15.75" customHeight="1">
      <c r="A552" s="82"/>
      <c r="B552" s="82"/>
      <c r="C552" s="82"/>
      <c r="D552" s="82"/>
      <c r="E552" s="82"/>
      <c r="F552" s="82"/>
      <c r="G552" s="82"/>
    </row>
    <row r="553" ht="15.75" customHeight="1">
      <c r="A553" s="82"/>
      <c r="B553" s="82"/>
      <c r="C553" s="82"/>
      <c r="D553" s="82"/>
      <c r="E553" s="82"/>
      <c r="F553" s="82"/>
      <c r="G553" s="82"/>
    </row>
    <row r="554" ht="15.75" customHeight="1">
      <c r="A554" s="82"/>
      <c r="B554" s="82"/>
      <c r="C554" s="82"/>
      <c r="D554" s="82"/>
      <c r="E554" s="82"/>
      <c r="F554" s="82"/>
      <c r="G554" s="82"/>
    </row>
    <row r="555" ht="15.75" customHeight="1">
      <c r="A555" s="82"/>
      <c r="B555" s="82"/>
      <c r="C555" s="82"/>
      <c r="D555" s="82"/>
      <c r="E555" s="82"/>
      <c r="F555" s="82"/>
      <c r="G555" s="82"/>
    </row>
    <row r="556" ht="15.75" customHeight="1">
      <c r="A556" s="82"/>
      <c r="B556" s="82"/>
      <c r="C556" s="82"/>
      <c r="D556" s="82"/>
      <c r="E556" s="82"/>
      <c r="F556" s="82"/>
      <c r="G556" s="82"/>
    </row>
    <row r="557" ht="15.75" customHeight="1">
      <c r="A557" s="82"/>
      <c r="B557" s="82"/>
      <c r="C557" s="82"/>
      <c r="D557" s="82"/>
      <c r="E557" s="82"/>
      <c r="F557" s="82"/>
      <c r="G557" s="82"/>
    </row>
    <row r="558" ht="15.75" customHeight="1">
      <c r="A558" s="82"/>
      <c r="B558" s="82"/>
      <c r="C558" s="82"/>
      <c r="D558" s="82"/>
      <c r="E558" s="82"/>
      <c r="F558" s="82"/>
      <c r="G558" s="82"/>
    </row>
    <row r="559" ht="15.75" customHeight="1">
      <c r="A559" s="82"/>
      <c r="B559" s="82"/>
      <c r="C559" s="82"/>
      <c r="D559" s="82"/>
      <c r="E559" s="82"/>
      <c r="F559" s="82"/>
      <c r="G559" s="82"/>
    </row>
    <row r="560" ht="15.75" customHeight="1">
      <c r="A560" s="82"/>
      <c r="B560" s="82"/>
      <c r="C560" s="82"/>
      <c r="D560" s="82"/>
      <c r="E560" s="82"/>
      <c r="F560" s="82"/>
      <c r="G560" s="82"/>
    </row>
    <row r="561" ht="15.75" customHeight="1">
      <c r="A561" s="82"/>
      <c r="B561" s="82"/>
      <c r="C561" s="82"/>
      <c r="D561" s="82"/>
      <c r="E561" s="82"/>
      <c r="F561" s="82"/>
      <c r="G561" s="82"/>
    </row>
    <row r="562" ht="15.75" customHeight="1">
      <c r="A562" s="82"/>
      <c r="B562" s="82"/>
      <c r="C562" s="82"/>
      <c r="D562" s="82"/>
      <c r="E562" s="82"/>
      <c r="F562" s="82"/>
      <c r="G562" s="82"/>
    </row>
    <row r="563" ht="15.75" customHeight="1">
      <c r="A563" s="82"/>
      <c r="B563" s="82"/>
      <c r="C563" s="82"/>
      <c r="D563" s="82"/>
      <c r="E563" s="82"/>
      <c r="F563" s="82"/>
      <c r="G563" s="82"/>
    </row>
    <row r="564" ht="15.75" customHeight="1">
      <c r="A564" s="82"/>
      <c r="B564" s="82"/>
      <c r="C564" s="82"/>
      <c r="D564" s="82"/>
      <c r="E564" s="82"/>
      <c r="F564" s="82"/>
      <c r="G564" s="82"/>
    </row>
    <row r="565" ht="15.75" customHeight="1">
      <c r="A565" s="82"/>
      <c r="B565" s="82"/>
      <c r="C565" s="82"/>
      <c r="D565" s="82"/>
      <c r="E565" s="82"/>
      <c r="F565" s="82"/>
      <c r="G565" s="82"/>
    </row>
    <row r="566" ht="15.75" customHeight="1">
      <c r="A566" s="82"/>
      <c r="B566" s="82"/>
      <c r="C566" s="82"/>
      <c r="D566" s="82"/>
      <c r="E566" s="82"/>
      <c r="F566" s="82"/>
      <c r="G566" s="82"/>
    </row>
    <row r="567" ht="15.75" customHeight="1">
      <c r="A567" s="82"/>
      <c r="B567" s="82"/>
      <c r="C567" s="82"/>
      <c r="D567" s="82"/>
      <c r="E567" s="82"/>
      <c r="F567" s="82"/>
      <c r="G567" s="82"/>
    </row>
    <row r="568" ht="15.75" customHeight="1">
      <c r="A568" s="82"/>
      <c r="B568" s="82"/>
      <c r="C568" s="82"/>
      <c r="D568" s="82"/>
      <c r="E568" s="82"/>
      <c r="F568" s="82"/>
      <c r="G568" s="82"/>
    </row>
    <row r="569" ht="15.75" customHeight="1">
      <c r="A569" s="82"/>
      <c r="B569" s="82"/>
      <c r="C569" s="82"/>
      <c r="D569" s="82"/>
      <c r="E569" s="82"/>
      <c r="F569" s="82"/>
      <c r="G569" s="82"/>
    </row>
    <row r="570" ht="15.75" customHeight="1">
      <c r="A570" s="82"/>
      <c r="B570" s="82"/>
      <c r="C570" s="82"/>
      <c r="D570" s="82"/>
      <c r="E570" s="82"/>
      <c r="F570" s="82"/>
      <c r="G570" s="82"/>
    </row>
    <row r="571" ht="15.75" customHeight="1">
      <c r="A571" s="82"/>
      <c r="B571" s="82"/>
      <c r="C571" s="82"/>
      <c r="D571" s="82"/>
      <c r="E571" s="82"/>
      <c r="F571" s="82"/>
      <c r="G571" s="82"/>
    </row>
    <row r="572" ht="15.75" customHeight="1">
      <c r="A572" s="82"/>
      <c r="B572" s="82"/>
      <c r="C572" s="82"/>
      <c r="D572" s="82"/>
      <c r="E572" s="82"/>
      <c r="F572" s="82"/>
      <c r="G572" s="82"/>
    </row>
    <row r="573" ht="15.75" customHeight="1">
      <c r="A573" s="82"/>
      <c r="B573" s="82"/>
      <c r="C573" s="82"/>
      <c r="D573" s="82"/>
      <c r="E573" s="82"/>
      <c r="F573" s="82"/>
      <c r="G573" s="82"/>
    </row>
    <row r="574" ht="15.75" customHeight="1">
      <c r="A574" s="82"/>
      <c r="B574" s="82"/>
      <c r="C574" s="82"/>
      <c r="D574" s="82"/>
      <c r="E574" s="82"/>
      <c r="F574" s="82"/>
      <c r="G574" s="82"/>
    </row>
    <row r="575" ht="15.75" customHeight="1">
      <c r="A575" s="82"/>
      <c r="B575" s="82"/>
      <c r="C575" s="82"/>
      <c r="D575" s="82"/>
      <c r="E575" s="82"/>
      <c r="F575" s="82"/>
      <c r="G575" s="82"/>
    </row>
    <row r="576" ht="15.75" customHeight="1">
      <c r="A576" s="82"/>
      <c r="B576" s="82"/>
      <c r="C576" s="82"/>
      <c r="D576" s="82"/>
      <c r="E576" s="82"/>
      <c r="F576" s="82"/>
      <c r="G576" s="82"/>
    </row>
    <row r="577" ht="15.75" customHeight="1">
      <c r="A577" s="82"/>
      <c r="B577" s="82"/>
      <c r="C577" s="82"/>
      <c r="D577" s="82"/>
      <c r="E577" s="82"/>
      <c r="F577" s="82"/>
      <c r="G577" s="82"/>
    </row>
    <row r="578" ht="15.75" customHeight="1">
      <c r="A578" s="82"/>
      <c r="B578" s="82"/>
      <c r="C578" s="82"/>
      <c r="D578" s="82"/>
      <c r="E578" s="82"/>
      <c r="F578" s="82"/>
      <c r="G578" s="82"/>
    </row>
    <row r="579" ht="15.75" customHeight="1">
      <c r="A579" s="82"/>
      <c r="B579" s="82"/>
      <c r="C579" s="82"/>
      <c r="D579" s="82"/>
      <c r="E579" s="82"/>
      <c r="F579" s="82"/>
      <c r="G579" s="82"/>
    </row>
    <row r="580" ht="15.75" customHeight="1">
      <c r="A580" s="82"/>
      <c r="B580" s="82"/>
      <c r="C580" s="82"/>
      <c r="D580" s="82"/>
      <c r="E580" s="82"/>
      <c r="F580" s="82"/>
      <c r="G580" s="82"/>
    </row>
    <row r="581" ht="15.75" customHeight="1">
      <c r="A581" s="82"/>
      <c r="B581" s="82"/>
      <c r="C581" s="82"/>
      <c r="D581" s="82"/>
      <c r="E581" s="82"/>
      <c r="F581" s="82"/>
      <c r="G581" s="82"/>
    </row>
    <row r="582" ht="15.75" customHeight="1">
      <c r="A582" s="82"/>
      <c r="B582" s="82"/>
      <c r="C582" s="82"/>
      <c r="D582" s="82"/>
      <c r="E582" s="82"/>
      <c r="F582" s="82"/>
      <c r="G582" s="82"/>
    </row>
    <row r="583" ht="15.75" customHeight="1">
      <c r="A583" s="82"/>
      <c r="B583" s="82"/>
      <c r="C583" s="82"/>
      <c r="D583" s="82"/>
      <c r="E583" s="82"/>
      <c r="F583" s="82"/>
      <c r="G583" s="82"/>
    </row>
    <row r="584" ht="15.75" customHeight="1">
      <c r="A584" s="82"/>
      <c r="B584" s="82"/>
      <c r="C584" s="82"/>
      <c r="D584" s="82"/>
      <c r="E584" s="82"/>
      <c r="F584" s="82"/>
      <c r="G584" s="82"/>
    </row>
    <row r="585" ht="15.75" customHeight="1">
      <c r="A585" s="82"/>
      <c r="B585" s="82"/>
      <c r="C585" s="82"/>
      <c r="D585" s="82"/>
      <c r="E585" s="82"/>
      <c r="F585" s="82"/>
      <c r="G585" s="82"/>
    </row>
    <row r="586" ht="15.75" customHeight="1">
      <c r="A586" s="82"/>
      <c r="B586" s="82"/>
      <c r="C586" s="82"/>
      <c r="D586" s="82"/>
      <c r="E586" s="82"/>
      <c r="F586" s="82"/>
      <c r="G586" s="82"/>
    </row>
    <row r="587" ht="15.75" customHeight="1">
      <c r="A587" s="82"/>
      <c r="B587" s="82"/>
      <c r="C587" s="82"/>
      <c r="D587" s="82"/>
      <c r="E587" s="82"/>
      <c r="F587" s="82"/>
      <c r="G587" s="82"/>
    </row>
    <row r="588" ht="15.75" customHeight="1">
      <c r="A588" s="82"/>
      <c r="B588" s="82"/>
      <c r="C588" s="82"/>
      <c r="D588" s="82"/>
      <c r="E588" s="82"/>
      <c r="F588" s="82"/>
      <c r="G588" s="82"/>
    </row>
    <row r="589" ht="15.75" customHeight="1">
      <c r="A589" s="82"/>
      <c r="B589" s="82"/>
      <c r="C589" s="82"/>
      <c r="D589" s="82"/>
      <c r="E589" s="82"/>
      <c r="F589" s="82"/>
      <c r="G589" s="82"/>
    </row>
    <row r="590" ht="15.75" customHeight="1">
      <c r="A590" s="82"/>
      <c r="B590" s="82"/>
      <c r="C590" s="82"/>
      <c r="D590" s="82"/>
      <c r="E590" s="82"/>
      <c r="F590" s="82"/>
      <c r="G590" s="82"/>
    </row>
    <row r="591" ht="15.75" customHeight="1">
      <c r="A591" s="82"/>
      <c r="B591" s="82"/>
      <c r="C591" s="82"/>
      <c r="D591" s="82"/>
      <c r="E591" s="82"/>
      <c r="F591" s="82"/>
      <c r="G591" s="82"/>
    </row>
    <row r="592" ht="15.75" customHeight="1">
      <c r="A592" s="82"/>
      <c r="B592" s="82"/>
      <c r="C592" s="82"/>
      <c r="D592" s="82"/>
      <c r="E592" s="82"/>
      <c r="F592" s="82"/>
      <c r="G592" s="82"/>
    </row>
    <row r="593" ht="15.75" customHeight="1">
      <c r="A593" s="82"/>
      <c r="B593" s="82"/>
      <c r="C593" s="82"/>
      <c r="D593" s="82"/>
      <c r="E593" s="82"/>
      <c r="F593" s="82"/>
      <c r="G593" s="82"/>
    </row>
    <row r="594" ht="15.75" customHeight="1">
      <c r="A594" s="82"/>
      <c r="B594" s="82"/>
      <c r="C594" s="82"/>
      <c r="D594" s="82"/>
      <c r="E594" s="82"/>
      <c r="F594" s="82"/>
      <c r="G594" s="82"/>
    </row>
    <row r="595" ht="15.75" customHeight="1">
      <c r="A595" s="82"/>
      <c r="B595" s="82"/>
      <c r="C595" s="82"/>
      <c r="D595" s="82"/>
      <c r="E595" s="82"/>
      <c r="F595" s="82"/>
      <c r="G595" s="82"/>
    </row>
    <row r="596" ht="15.75" customHeight="1">
      <c r="A596" s="82"/>
      <c r="B596" s="82"/>
      <c r="C596" s="82"/>
      <c r="D596" s="82"/>
      <c r="E596" s="82"/>
      <c r="F596" s="82"/>
      <c r="G596" s="82"/>
    </row>
    <row r="597" ht="15.75" customHeight="1">
      <c r="A597" s="82"/>
      <c r="B597" s="82"/>
      <c r="C597" s="82"/>
      <c r="D597" s="82"/>
      <c r="E597" s="82"/>
      <c r="F597" s="82"/>
      <c r="G597" s="82"/>
    </row>
    <row r="598" ht="15.75" customHeight="1">
      <c r="A598" s="82"/>
      <c r="B598" s="82"/>
      <c r="C598" s="82"/>
      <c r="D598" s="82"/>
      <c r="E598" s="82"/>
      <c r="F598" s="82"/>
      <c r="G598" s="82"/>
    </row>
    <row r="599" ht="15.75" customHeight="1">
      <c r="A599" s="82"/>
      <c r="B599" s="82"/>
      <c r="C599" s="82"/>
      <c r="D599" s="82"/>
      <c r="E599" s="82"/>
      <c r="F599" s="82"/>
      <c r="G599" s="82"/>
    </row>
    <row r="600" ht="15.75" customHeight="1">
      <c r="A600" s="82"/>
      <c r="B600" s="82"/>
      <c r="C600" s="82"/>
      <c r="D600" s="82"/>
      <c r="E600" s="82"/>
      <c r="F600" s="82"/>
      <c r="G600" s="82"/>
    </row>
    <row r="601" ht="15.75" customHeight="1">
      <c r="A601" s="82"/>
      <c r="B601" s="82"/>
      <c r="C601" s="82"/>
      <c r="D601" s="82"/>
      <c r="E601" s="82"/>
      <c r="F601" s="82"/>
      <c r="G601" s="82"/>
    </row>
    <row r="602" ht="15.75" customHeight="1">
      <c r="A602" s="82"/>
      <c r="B602" s="82"/>
      <c r="C602" s="82"/>
      <c r="D602" s="82"/>
      <c r="E602" s="82"/>
      <c r="F602" s="82"/>
      <c r="G602" s="82"/>
    </row>
    <row r="603" ht="15.75" customHeight="1">
      <c r="A603" s="82"/>
      <c r="B603" s="82"/>
      <c r="C603" s="82"/>
      <c r="D603" s="82"/>
      <c r="E603" s="82"/>
      <c r="F603" s="82"/>
      <c r="G603" s="82"/>
    </row>
    <row r="604" ht="15.75" customHeight="1">
      <c r="A604" s="82"/>
      <c r="B604" s="82"/>
      <c r="C604" s="82"/>
      <c r="D604" s="82"/>
      <c r="E604" s="82"/>
      <c r="F604" s="82"/>
      <c r="G604" s="82"/>
    </row>
    <row r="605" ht="15.75" customHeight="1">
      <c r="A605" s="82"/>
      <c r="B605" s="82"/>
      <c r="C605" s="82"/>
      <c r="D605" s="82"/>
      <c r="E605" s="82"/>
      <c r="F605" s="82"/>
      <c r="G605" s="82"/>
    </row>
    <row r="606" ht="15.75" customHeight="1">
      <c r="A606" s="82"/>
      <c r="B606" s="82"/>
      <c r="C606" s="82"/>
      <c r="D606" s="82"/>
      <c r="E606" s="82"/>
      <c r="F606" s="82"/>
      <c r="G606" s="82"/>
    </row>
    <row r="607" ht="15.75" customHeight="1">
      <c r="A607" s="82"/>
      <c r="B607" s="82"/>
      <c r="C607" s="82"/>
      <c r="D607" s="82"/>
      <c r="E607" s="82"/>
      <c r="F607" s="82"/>
      <c r="G607" s="82"/>
    </row>
    <row r="608" ht="15.75" customHeight="1">
      <c r="A608" s="82"/>
      <c r="B608" s="82"/>
      <c r="C608" s="82"/>
      <c r="D608" s="82"/>
      <c r="E608" s="82"/>
      <c r="F608" s="82"/>
      <c r="G608" s="82"/>
    </row>
    <row r="609" ht="15.75" customHeight="1">
      <c r="A609" s="82"/>
      <c r="B609" s="82"/>
      <c r="C609" s="82"/>
      <c r="D609" s="82"/>
      <c r="E609" s="82"/>
      <c r="F609" s="82"/>
      <c r="G609" s="82"/>
    </row>
    <row r="610" ht="15.75" customHeight="1">
      <c r="A610" s="82"/>
      <c r="B610" s="82"/>
      <c r="C610" s="82"/>
      <c r="D610" s="82"/>
      <c r="E610" s="82"/>
      <c r="F610" s="82"/>
      <c r="G610" s="82"/>
    </row>
    <row r="611" ht="15.75" customHeight="1">
      <c r="A611" s="82"/>
      <c r="B611" s="82"/>
      <c r="C611" s="82"/>
      <c r="D611" s="82"/>
      <c r="E611" s="82"/>
      <c r="F611" s="82"/>
      <c r="G611" s="82"/>
    </row>
    <row r="612" ht="15.75" customHeight="1">
      <c r="A612" s="82"/>
      <c r="B612" s="82"/>
      <c r="C612" s="82"/>
      <c r="D612" s="82"/>
      <c r="E612" s="82"/>
      <c r="F612" s="82"/>
      <c r="G612" s="82"/>
    </row>
    <row r="613" ht="15.75" customHeight="1">
      <c r="A613" s="82"/>
      <c r="B613" s="82"/>
      <c r="C613" s="82"/>
      <c r="D613" s="82"/>
      <c r="E613" s="82"/>
      <c r="F613" s="82"/>
      <c r="G613" s="82"/>
    </row>
    <row r="614" ht="15.75" customHeight="1">
      <c r="A614" s="82"/>
      <c r="B614" s="82"/>
      <c r="C614" s="82"/>
      <c r="D614" s="82"/>
      <c r="E614" s="82"/>
      <c r="F614" s="82"/>
      <c r="G614" s="82"/>
    </row>
    <row r="615" ht="15.75" customHeight="1">
      <c r="A615" s="82"/>
      <c r="B615" s="82"/>
      <c r="C615" s="82"/>
      <c r="D615" s="82"/>
      <c r="E615" s="82"/>
      <c r="F615" s="82"/>
      <c r="G615" s="82"/>
    </row>
    <row r="616" ht="15.75" customHeight="1">
      <c r="A616" s="82"/>
      <c r="B616" s="82"/>
      <c r="C616" s="82"/>
      <c r="D616" s="82"/>
      <c r="E616" s="82"/>
      <c r="F616" s="82"/>
      <c r="G616" s="82"/>
    </row>
    <row r="617" ht="15.75" customHeight="1">
      <c r="A617" s="82"/>
      <c r="B617" s="82"/>
      <c r="C617" s="82"/>
      <c r="D617" s="82"/>
      <c r="E617" s="82"/>
      <c r="F617" s="82"/>
      <c r="G617" s="82"/>
    </row>
    <row r="618" ht="15.75" customHeight="1">
      <c r="A618" s="82"/>
      <c r="B618" s="82"/>
      <c r="C618" s="82"/>
      <c r="D618" s="82"/>
      <c r="E618" s="82"/>
      <c r="F618" s="82"/>
      <c r="G618" s="82"/>
    </row>
    <row r="619" ht="15.75" customHeight="1">
      <c r="A619" s="82"/>
      <c r="B619" s="82"/>
      <c r="C619" s="82"/>
      <c r="D619" s="82"/>
      <c r="E619" s="82"/>
      <c r="F619" s="82"/>
      <c r="G619" s="82"/>
    </row>
    <row r="620" ht="15.75" customHeight="1">
      <c r="A620" s="82"/>
      <c r="B620" s="82"/>
      <c r="C620" s="82"/>
      <c r="D620" s="82"/>
      <c r="E620" s="82"/>
      <c r="F620" s="82"/>
      <c r="G620" s="82"/>
    </row>
    <row r="621" ht="15.75" customHeight="1">
      <c r="A621" s="82"/>
      <c r="B621" s="82"/>
      <c r="C621" s="82"/>
      <c r="D621" s="82"/>
      <c r="E621" s="82"/>
      <c r="F621" s="82"/>
      <c r="G621" s="82"/>
    </row>
    <row r="622" ht="15.75" customHeight="1">
      <c r="A622" s="82"/>
      <c r="B622" s="82"/>
      <c r="C622" s="82"/>
      <c r="D622" s="82"/>
      <c r="E622" s="82"/>
      <c r="F622" s="82"/>
      <c r="G622" s="82"/>
    </row>
    <row r="623" ht="15.75" customHeight="1">
      <c r="A623" s="82"/>
      <c r="B623" s="82"/>
      <c r="C623" s="82"/>
      <c r="D623" s="82"/>
      <c r="E623" s="82"/>
      <c r="F623" s="82"/>
      <c r="G623" s="82"/>
    </row>
    <row r="624" ht="15.75" customHeight="1">
      <c r="A624" s="82"/>
      <c r="B624" s="82"/>
      <c r="C624" s="82"/>
      <c r="D624" s="82"/>
      <c r="E624" s="82"/>
      <c r="F624" s="82"/>
      <c r="G624" s="82"/>
    </row>
    <row r="625" ht="15.75" customHeight="1">
      <c r="A625" s="82"/>
      <c r="B625" s="82"/>
      <c r="C625" s="82"/>
      <c r="D625" s="82"/>
      <c r="E625" s="82"/>
      <c r="F625" s="82"/>
      <c r="G625" s="82"/>
    </row>
    <row r="626" ht="15.75" customHeight="1">
      <c r="A626" s="82"/>
      <c r="B626" s="82"/>
      <c r="C626" s="82"/>
      <c r="D626" s="82"/>
      <c r="E626" s="82"/>
      <c r="F626" s="82"/>
      <c r="G626" s="82"/>
    </row>
    <row r="627" ht="15.75" customHeight="1">
      <c r="A627" s="82"/>
      <c r="B627" s="82"/>
      <c r="C627" s="82"/>
      <c r="D627" s="82"/>
      <c r="E627" s="82"/>
      <c r="F627" s="82"/>
      <c r="G627" s="82"/>
    </row>
    <row r="628" ht="15.75" customHeight="1">
      <c r="A628" s="82"/>
      <c r="B628" s="82"/>
      <c r="C628" s="82"/>
      <c r="D628" s="82"/>
      <c r="E628" s="82"/>
      <c r="F628" s="82"/>
      <c r="G628" s="82"/>
    </row>
    <row r="629" ht="15.75" customHeight="1">
      <c r="A629" s="82"/>
      <c r="B629" s="82"/>
      <c r="C629" s="82"/>
      <c r="D629" s="82"/>
      <c r="E629" s="82"/>
      <c r="F629" s="82"/>
      <c r="G629" s="82"/>
    </row>
    <row r="630" ht="15.75" customHeight="1">
      <c r="A630" s="82"/>
      <c r="B630" s="82"/>
      <c r="C630" s="82"/>
      <c r="D630" s="82"/>
      <c r="E630" s="82"/>
      <c r="F630" s="82"/>
      <c r="G630" s="82"/>
    </row>
    <row r="631" ht="15.75" customHeight="1">
      <c r="A631" s="82"/>
      <c r="B631" s="82"/>
      <c r="C631" s="82"/>
      <c r="D631" s="82"/>
      <c r="E631" s="82"/>
      <c r="F631" s="82"/>
      <c r="G631" s="82"/>
    </row>
    <row r="632" ht="15.75" customHeight="1">
      <c r="A632" s="82"/>
      <c r="B632" s="82"/>
      <c r="C632" s="82"/>
      <c r="D632" s="82"/>
      <c r="E632" s="82"/>
      <c r="F632" s="82"/>
      <c r="G632" s="82"/>
    </row>
    <row r="633" ht="15.75" customHeight="1">
      <c r="A633" s="82"/>
      <c r="B633" s="82"/>
      <c r="C633" s="82"/>
      <c r="D633" s="82"/>
      <c r="E633" s="82"/>
      <c r="F633" s="82"/>
      <c r="G633" s="82"/>
    </row>
    <row r="634" ht="15.75" customHeight="1">
      <c r="A634" s="82"/>
      <c r="B634" s="82"/>
      <c r="C634" s="82"/>
      <c r="D634" s="82"/>
      <c r="E634" s="82"/>
      <c r="F634" s="82"/>
      <c r="G634" s="82"/>
    </row>
    <row r="635" ht="15.75" customHeight="1">
      <c r="A635" s="82"/>
      <c r="B635" s="82"/>
      <c r="C635" s="82"/>
      <c r="D635" s="82"/>
      <c r="E635" s="82"/>
      <c r="F635" s="82"/>
      <c r="G635" s="82"/>
    </row>
    <row r="636" ht="15.75" customHeight="1">
      <c r="A636" s="82"/>
      <c r="B636" s="82"/>
      <c r="C636" s="82"/>
      <c r="D636" s="82"/>
      <c r="E636" s="82"/>
      <c r="F636" s="82"/>
      <c r="G636" s="82"/>
    </row>
    <row r="637" ht="15.75" customHeight="1">
      <c r="A637" s="82"/>
      <c r="B637" s="82"/>
      <c r="C637" s="82"/>
      <c r="D637" s="82"/>
      <c r="E637" s="82"/>
      <c r="F637" s="82"/>
      <c r="G637" s="82"/>
    </row>
    <row r="638" ht="15.75" customHeight="1">
      <c r="A638" s="82"/>
      <c r="B638" s="82"/>
      <c r="C638" s="82"/>
      <c r="D638" s="82"/>
      <c r="E638" s="82"/>
      <c r="F638" s="82"/>
      <c r="G638" s="82"/>
    </row>
    <row r="639" ht="15.75" customHeight="1">
      <c r="A639" s="82"/>
      <c r="B639" s="82"/>
      <c r="C639" s="82"/>
      <c r="D639" s="82"/>
      <c r="E639" s="82"/>
      <c r="F639" s="82"/>
      <c r="G639" s="82"/>
    </row>
    <row r="640" ht="15.75" customHeight="1">
      <c r="A640" s="82"/>
      <c r="B640" s="82"/>
      <c r="C640" s="82"/>
      <c r="D640" s="82"/>
      <c r="E640" s="82"/>
      <c r="F640" s="82"/>
      <c r="G640" s="82"/>
    </row>
    <row r="641" ht="15.75" customHeight="1">
      <c r="A641" s="82"/>
      <c r="B641" s="82"/>
      <c r="C641" s="82"/>
      <c r="D641" s="82"/>
      <c r="E641" s="82"/>
      <c r="F641" s="82"/>
      <c r="G641" s="82"/>
    </row>
    <row r="642" ht="15.75" customHeight="1">
      <c r="A642" s="82"/>
      <c r="B642" s="82"/>
      <c r="C642" s="82"/>
      <c r="D642" s="82"/>
      <c r="E642" s="82"/>
      <c r="F642" s="82"/>
      <c r="G642" s="82"/>
    </row>
    <row r="643" ht="15.75" customHeight="1">
      <c r="A643" s="82"/>
      <c r="B643" s="82"/>
      <c r="C643" s="82"/>
      <c r="D643" s="82"/>
      <c r="E643" s="82"/>
      <c r="F643" s="82"/>
      <c r="G643" s="82"/>
    </row>
    <row r="644" ht="15.75" customHeight="1">
      <c r="A644" s="82"/>
      <c r="B644" s="82"/>
      <c r="C644" s="82"/>
      <c r="D644" s="82"/>
      <c r="E644" s="82"/>
      <c r="F644" s="82"/>
      <c r="G644" s="82"/>
    </row>
    <row r="645" ht="15.75" customHeight="1">
      <c r="A645" s="82"/>
      <c r="B645" s="82"/>
      <c r="C645" s="82"/>
      <c r="D645" s="82"/>
      <c r="E645" s="82"/>
      <c r="F645" s="82"/>
      <c r="G645" s="82"/>
    </row>
    <row r="646" ht="15.75" customHeight="1">
      <c r="A646" s="82"/>
      <c r="B646" s="82"/>
      <c r="C646" s="82"/>
      <c r="D646" s="82"/>
      <c r="E646" s="82"/>
      <c r="F646" s="82"/>
      <c r="G646" s="82"/>
    </row>
    <row r="647" ht="15.75" customHeight="1">
      <c r="A647" s="82"/>
      <c r="B647" s="82"/>
      <c r="C647" s="82"/>
      <c r="D647" s="82"/>
      <c r="E647" s="82"/>
      <c r="F647" s="82"/>
      <c r="G647" s="82"/>
    </row>
    <row r="648" ht="15.75" customHeight="1">
      <c r="A648" s="82"/>
      <c r="B648" s="82"/>
      <c r="C648" s="82"/>
      <c r="D648" s="82"/>
      <c r="E648" s="82"/>
      <c r="F648" s="82"/>
      <c r="G648" s="82"/>
    </row>
    <row r="649" ht="15.75" customHeight="1">
      <c r="A649" s="82"/>
      <c r="B649" s="82"/>
      <c r="C649" s="82"/>
      <c r="D649" s="82"/>
      <c r="E649" s="82"/>
      <c r="F649" s="82"/>
      <c r="G649" s="82"/>
    </row>
    <row r="650" ht="15.75" customHeight="1">
      <c r="A650" s="82"/>
      <c r="B650" s="82"/>
      <c r="C650" s="82"/>
      <c r="D650" s="82"/>
      <c r="E650" s="82"/>
      <c r="F650" s="82"/>
      <c r="G650" s="82"/>
    </row>
    <row r="651" ht="15.75" customHeight="1">
      <c r="A651" s="82"/>
      <c r="B651" s="82"/>
      <c r="C651" s="82"/>
      <c r="D651" s="82"/>
      <c r="E651" s="82"/>
      <c r="F651" s="82"/>
      <c r="G651" s="82"/>
    </row>
    <row r="652" ht="15.75" customHeight="1">
      <c r="A652" s="82"/>
      <c r="B652" s="82"/>
      <c r="C652" s="82"/>
      <c r="D652" s="82"/>
      <c r="E652" s="82"/>
      <c r="F652" s="82"/>
      <c r="G652" s="82"/>
    </row>
    <row r="653" ht="15.75" customHeight="1">
      <c r="A653" s="82"/>
      <c r="B653" s="82"/>
      <c r="C653" s="82"/>
      <c r="D653" s="82"/>
      <c r="E653" s="82"/>
      <c r="F653" s="82"/>
      <c r="G653" s="82"/>
    </row>
    <row r="654" ht="15.75" customHeight="1">
      <c r="A654" s="82"/>
      <c r="B654" s="82"/>
      <c r="C654" s="82"/>
      <c r="D654" s="82"/>
      <c r="E654" s="82"/>
      <c r="F654" s="82"/>
      <c r="G654" s="82"/>
    </row>
    <row r="655" ht="15.75" customHeight="1">
      <c r="A655" s="82"/>
      <c r="B655" s="82"/>
      <c r="C655" s="82"/>
      <c r="D655" s="82"/>
      <c r="E655" s="82"/>
      <c r="F655" s="82"/>
      <c r="G655" s="82"/>
    </row>
    <row r="656" ht="15.75" customHeight="1">
      <c r="A656" s="82"/>
      <c r="B656" s="82"/>
      <c r="C656" s="82"/>
      <c r="D656" s="82"/>
      <c r="E656" s="82"/>
      <c r="F656" s="82"/>
      <c r="G656" s="82"/>
    </row>
    <row r="657" ht="15.75" customHeight="1">
      <c r="A657" s="82"/>
      <c r="B657" s="82"/>
      <c r="C657" s="82"/>
      <c r="D657" s="82"/>
      <c r="E657" s="82"/>
      <c r="F657" s="82"/>
      <c r="G657" s="82"/>
    </row>
    <row r="658" ht="15.75" customHeight="1">
      <c r="A658" s="82"/>
      <c r="B658" s="82"/>
      <c r="C658" s="82"/>
      <c r="D658" s="82"/>
      <c r="E658" s="82"/>
      <c r="F658" s="82"/>
      <c r="G658" s="82"/>
    </row>
    <row r="659" ht="15.75" customHeight="1">
      <c r="A659" s="82"/>
      <c r="B659" s="82"/>
      <c r="C659" s="82"/>
      <c r="D659" s="82"/>
      <c r="E659" s="82"/>
      <c r="F659" s="82"/>
      <c r="G659" s="82"/>
    </row>
    <row r="660" ht="15.75" customHeight="1">
      <c r="A660" s="82"/>
      <c r="B660" s="82"/>
      <c r="C660" s="82"/>
      <c r="D660" s="82"/>
      <c r="E660" s="82"/>
      <c r="F660" s="82"/>
      <c r="G660" s="82"/>
    </row>
    <row r="661" ht="15.75" customHeight="1">
      <c r="A661" s="82"/>
      <c r="B661" s="82"/>
      <c r="C661" s="82"/>
      <c r="D661" s="82"/>
      <c r="E661" s="82"/>
      <c r="F661" s="82"/>
      <c r="G661" s="82"/>
    </row>
    <row r="662" ht="15.75" customHeight="1">
      <c r="A662" s="82"/>
      <c r="B662" s="82"/>
      <c r="C662" s="82"/>
      <c r="D662" s="82"/>
      <c r="E662" s="82"/>
      <c r="F662" s="82"/>
      <c r="G662" s="82"/>
    </row>
    <row r="663" ht="15.75" customHeight="1">
      <c r="A663" s="82"/>
      <c r="B663" s="82"/>
      <c r="C663" s="82"/>
      <c r="D663" s="82"/>
      <c r="E663" s="82"/>
      <c r="F663" s="82"/>
      <c r="G663" s="82"/>
    </row>
    <row r="664" ht="15.75" customHeight="1">
      <c r="A664" s="82"/>
      <c r="B664" s="82"/>
      <c r="C664" s="82"/>
      <c r="D664" s="82"/>
      <c r="E664" s="82"/>
      <c r="F664" s="82"/>
      <c r="G664" s="82"/>
    </row>
    <row r="665" ht="15.75" customHeight="1">
      <c r="A665" s="82"/>
      <c r="B665" s="82"/>
      <c r="C665" s="82"/>
      <c r="D665" s="82"/>
      <c r="E665" s="82"/>
      <c r="F665" s="82"/>
      <c r="G665" s="82"/>
    </row>
    <row r="666" ht="15.75" customHeight="1">
      <c r="A666" s="82"/>
      <c r="B666" s="82"/>
      <c r="C666" s="82"/>
      <c r="D666" s="82"/>
      <c r="E666" s="82"/>
      <c r="F666" s="82"/>
      <c r="G666" s="82"/>
    </row>
    <row r="667" ht="15.75" customHeight="1">
      <c r="A667" s="82"/>
      <c r="B667" s="82"/>
      <c r="C667" s="82"/>
      <c r="D667" s="82"/>
      <c r="E667" s="82"/>
      <c r="F667" s="82"/>
      <c r="G667" s="82"/>
    </row>
    <row r="668" ht="15.75" customHeight="1">
      <c r="A668" s="82"/>
      <c r="B668" s="82"/>
      <c r="C668" s="82"/>
      <c r="D668" s="82"/>
      <c r="E668" s="82"/>
      <c r="F668" s="82"/>
      <c r="G668" s="82"/>
    </row>
    <row r="669" ht="15.75" customHeight="1">
      <c r="A669" s="82"/>
      <c r="B669" s="82"/>
      <c r="C669" s="82"/>
      <c r="D669" s="82"/>
      <c r="E669" s="82"/>
      <c r="F669" s="82"/>
      <c r="G669" s="82"/>
    </row>
    <row r="670" ht="15.75" customHeight="1">
      <c r="A670" s="82"/>
      <c r="B670" s="82"/>
      <c r="C670" s="82"/>
      <c r="D670" s="82"/>
      <c r="E670" s="82"/>
      <c r="F670" s="82"/>
      <c r="G670" s="82"/>
    </row>
    <row r="671" ht="15.75" customHeight="1">
      <c r="A671" s="82"/>
      <c r="B671" s="82"/>
      <c r="C671" s="82"/>
      <c r="D671" s="82"/>
      <c r="E671" s="82"/>
      <c r="F671" s="82"/>
      <c r="G671" s="82"/>
    </row>
    <row r="672" ht="15.75" customHeight="1">
      <c r="A672" s="82"/>
      <c r="B672" s="82"/>
      <c r="C672" s="82"/>
      <c r="D672" s="82"/>
      <c r="E672" s="82"/>
      <c r="F672" s="82"/>
      <c r="G672" s="82"/>
    </row>
    <row r="673" ht="15.75" customHeight="1">
      <c r="A673" s="82"/>
      <c r="B673" s="82"/>
      <c r="C673" s="82"/>
      <c r="D673" s="82"/>
      <c r="E673" s="82"/>
      <c r="F673" s="82"/>
      <c r="G673" s="82"/>
    </row>
    <row r="674" ht="15.75" customHeight="1">
      <c r="A674" s="82"/>
      <c r="B674" s="82"/>
      <c r="C674" s="82"/>
      <c r="D674" s="82"/>
      <c r="E674" s="82"/>
      <c r="F674" s="82"/>
      <c r="G674" s="82"/>
    </row>
    <row r="675" ht="15.75" customHeight="1">
      <c r="A675" s="82"/>
      <c r="B675" s="82"/>
      <c r="C675" s="82"/>
      <c r="D675" s="82"/>
      <c r="E675" s="82"/>
      <c r="F675" s="82"/>
      <c r="G675" s="82"/>
    </row>
    <row r="676" ht="15.75" customHeight="1">
      <c r="A676" s="82"/>
      <c r="B676" s="82"/>
      <c r="C676" s="82"/>
      <c r="D676" s="82"/>
      <c r="E676" s="82"/>
      <c r="F676" s="82"/>
      <c r="G676" s="82"/>
    </row>
    <row r="677" ht="15.75" customHeight="1">
      <c r="A677" s="82"/>
      <c r="B677" s="82"/>
      <c r="C677" s="82"/>
      <c r="D677" s="82"/>
      <c r="E677" s="82"/>
      <c r="F677" s="82"/>
      <c r="G677" s="82"/>
    </row>
    <row r="678" ht="15.75" customHeight="1">
      <c r="A678" s="82"/>
      <c r="B678" s="82"/>
      <c r="C678" s="82"/>
      <c r="D678" s="82"/>
      <c r="E678" s="82"/>
      <c r="F678" s="82"/>
      <c r="G678" s="82"/>
    </row>
    <row r="679" ht="15.75" customHeight="1">
      <c r="A679" s="82"/>
      <c r="B679" s="82"/>
      <c r="C679" s="82"/>
      <c r="D679" s="82"/>
      <c r="E679" s="82"/>
      <c r="F679" s="82"/>
      <c r="G679" s="82"/>
    </row>
    <row r="680" ht="15.75" customHeight="1">
      <c r="A680" s="82"/>
      <c r="B680" s="82"/>
      <c r="C680" s="82"/>
      <c r="D680" s="82"/>
      <c r="E680" s="82"/>
      <c r="F680" s="82"/>
      <c r="G680" s="82"/>
    </row>
    <row r="681" ht="15.75" customHeight="1">
      <c r="A681" s="82"/>
      <c r="B681" s="82"/>
      <c r="C681" s="82"/>
      <c r="D681" s="82"/>
      <c r="E681" s="82"/>
      <c r="F681" s="82"/>
      <c r="G681" s="82"/>
    </row>
    <row r="682" ht="15.75" customHeight="1">
      <c r="A682" s="82"/>
      <c r="B682" s="82"/>
      <c r="C682" s="82"/>
      <c r="D682" s="82"/>
      <c r="E682" s="82"/>
      <c r="F682" s="82"/>
      <c r="G682" s="82"/>
    </row>
    <row r="683" ht="15.75" customHeight="1">
      <c r="A683" s="82"/>
      <c r="B683" s="82"/>
      <c r="C683" s="82"/>
      <c r="D683" s="82"/>
      <c r="E683" s="82"/>
      <c r="F683" s="82"/>
      <c r="G683" s="82"/>
    </row>
    <row r="684" ht="15.75" customHeight="1">
      <c r="A684" s="82"/>
      <c r="B684" s="82"/>
      <c r="C684" s="82"/>
      <c r="D684" s="82"/>
      <c r="E684" s="82"/>
      <c r="F684" s="82"/>
      <c r="G684" s="82"/>
    </row>
    <row r="685" ht="15.75" customHeight="1">
      <c r="A685" s="82"/>
      <c r="B685" s="82"/>
      <c r="C685" s="82"/>
      <c r="D685" s="82"/>
      <c r="E685" s="82"/>
      <c r="F685" s="82"/>
      <c r="G685" s="82"/>
    </row>
    <row r="686" ht="15.75" customHeight="1">
      <c r="A686" s="82"/>
      <c r="B686" s="82"/>
      <c r="C686" s="82"/>
      <c r="D686" s="82"/>
      <c r="E686" s="82"/>
      <c r="F686" s="82"/>
      <c r="G686" s="82"/>
    </row>
    <row r="687" ht="15.75" customHeight="1">
      <c r="A687" s="82"/>
      <c r="B687" s="82"/>
      <c r="C687" s="82"/>
      <c r="D687" s="82"/>
      <c r="E687" s="82"/>
      <c r="F687" s="82"/>
      <c r="G687" s="82"/>
    </row>
    <row r="688" ht="15.75" customHeight="1">
      <c r="A688" s="82"/>
      <c r="B688" s="82"/>
      <c r="C688" s="82"/>
      <c r="D688" s="82"/>
      <c r="E688" s="82"/>
      <c r="F688" s="82"/>
      <c r="G688" s="82"/>
    </row>
    <row r="689" ht="15.75" customHeight="1">
      <c r="A689" s="82"/>
      <c r="B689" s="82"/>
      <c r="C689" s="82"/>
      <c r="D689" s="82"/>
      <c r="E689" s="82"/>
      <c r="F689" s="82"/>
      <c r="G689" s="82"/>
    </row>
    <row r="690" ht="15.75" customHeight="1">
      <c r="A690" s="82"/>
      <c r="B690" s="82"/>
      <c r="C690" s="82"/>
      <c r="D690" s="82"/>
      <c r="E690" s="82"/>
      <c r="F690" s="82"/>
      <c r="G690" s="82"/>
    </row>
    <row r="691" ht="15.75" customHeight="1">
      <c r="A691" s="82"/>
      <c r="B691" s="82"/>
      <c r="C691" s="82"/>
      <c r="D691" s="82"/>
      <c r="E691" s="82"/>
      <c r="F691" s="82"/>
      <c r="G691" s="82"/>
    </row>
    <row r="692" ht="15.75" customHeight="1">
      <c r="A692" s="82"/>
      <c r="B692" s="82"/>
      <c r="C692" s="82"/>
      <c r="D692" s="82"/>
      <c r="E692" s="82"/>
      <c r="F692" s="82"/>
      <c r="G692" s="82"/>
    </row>
    <row r="693" ht="15.75" customHeight="1">
      <c r="A693" s="82"/>
      <c r="B693" s="82"/>
      <c r="C693" s="82"/>
      <c r="D693" s="82"/>
      <c r="E693" s="82"/>
      <c r="F693" s="82"/>
      <c r="G693" s="82"/>
    </row>
    <row r="694" ht="15.75" customHeight="1">
      <c r="A694" s="82"/>
      <c r="B694" s="82"/>
      <c r="C694" s="82"/>
      <c r="D694" s="82"/>
      <c r="E694" s="82"/>
      <c r="F694" s="82"/>
      <c r="G694" s="82"/>
    </row>
    <row r="695" ht="15.75" customHeight="1">
      <c r="A695" s="82"/>
      <c r="B695" s="82"/>
      <c r="C695" s="82"/>
      <c r="D695" s="82"/>
      <c r="E695" s="82"/>
      <c r="F695" s="82"/>
      <c r="G695" s="82"/>
    </row>
    <row r="696" ht="15.75" customHeight="1">
      <c r="A696" s="82"/>
      <c r="B696" s="82"/>
      <c r="C696" s="82"/>
      <c r="D696" s="82"/>
      <c r="E696" s="82"/>
      <c r="F696" s="82"/>
      <c r="G696" s="82"/>
    </row>
    <row r="697" ht="15.75" customHeight="1">
      <c r="A697" s="82"/>
      <c r="B697" s="82"/>
      <c r="C697" s="82"/>
      <c r="D697" s="82"/>
      <c r="E697" s="82"/>
      <c r="F697" s="82"/>
      <c r="G697" s="82"/>
    </row>
    <row r="698" ht="15.75" customHeight="1">
      <c r="A698" s="82"/>
      <c r="B698" s="82"/>
      <c r="C698" s="82"/>
      <c r="D698" s="82"/>
      <c r="E698" s="82"/>
      <c r="F698" s="82"/>
      <c r="G698" s="82"/>
    </row>
    <row r="699" ht="15.75" customHeight="1">
      <c r="A699" s="82"/>
      <c r="B699" s="82"/>
      <c r="C699" s="82"/>
      <c r="D699" s="82"/>
      <c r="E699" s="82"/>
      <c r="F699" s="82"/>
      <c r="G699" s="82"/>
    </row>
    <row r="700" ht="15.75" customHeight="1">
      <c r="A700" s="82"/>
      <c r="B700" s="82"/>
      <c r="C700" s="82"/>
      <c r="D700" s="82"/>
      <c r="E700" s="82"/>
      <c r="F700" s="82"/>
      <c r="G700" s="82"/>
    </row>
    <row r="701" ht="15.75" customHeight="1">
      <c r="A701" s="82"/>
      <c r="B701" s="82"/>
      <c r="C701" s="82"/>
      <c r="D701" s="82"/>
      <c r="E701" s="82"/>
      <c r="F701" s="82"/>
      <c r="G701" s="82"/>
    </row>
    <row r="702" ht="15.75" customHeight="1">
      <c r="A702" s="82"/>
      <c r="B702" s="82"/>
      <c r="C702" s="82"/>
      <c r="D702" s="82"/>
      <c r="E702" s="82"/>
      <c r="F702" s="82"/>
      <c r="G702" s="82"/>
    </row>
    <row r="703" ht="15.75" customHeight="1">
      <c r="A703" s="82"/>
      <c r="B703" s="82"/>
      <c r="C703" s="82"/>
      <c r="D703" s="82"/>
      <c r="E703" s="82"/>
      <c r="F703" s="82"/>
      <c r="G703" s="82"/>
    </row>
    <row r="704" ht="15.75" customHeight="1">
      <c r="A704" s="82"/>
      <c r="B704" s="82"/>
      <c r="C704" s="82"/>
      <c r="D704" s="82"/>
      <c r="E704" s="82"/>
      <c r="F704" s="82"/>
      <c r="G704" s="82"/>
    </row>
    <row r="705" ht="15.75" customHeight="1">
      <c r="A705" s="82"/>
      <c r="B705" s="82"/>
      <c r="C705" s="82"/>
      <c r="D705" s="82"/>
      <c r="E705" s="82"/>
      <c r="F705" s="82"/>
      <c r="G705" s="82"/>
    </row>
    <row r="706" ht="15.75" customHeight="1">
      <c r="A706" s="82"/>
      <c r="B706" s="82"/>
      <c r="C706" s="82"/>
      <c r="D706" s="82"/>
      <c r="E706" s="82"/>
      <c r="F706" s="82"/>
      <c r="G706" s="82"/>
    </row>
    <row r="707" ht="15.75" customHeight="1">
      <c r="A707" s="82"/>
      <c r="B707" s="82"/>
      <c r="C707" s="82"/>
      <c r="D707" s="82"/>
      <c r="E707" s="82"/>
      <c r="F707" s="82"/>
      <c r="G707" s="82"/>
    </row>
    <row r="708" ht="15.75" customHeight="1">
      <c r="A708" s="82"/>
      <c r="B708" s="82"/>
      <c r="C708" s="82"/>
      <c r="D708" s="82"/>
      <c r="E708" s="82"/>
      <c r="F708" s="82"/>
      <c r="G708" s="82"/>
    </row>
    <row r="709" ht="15.75" customHeight="1">
      <c r="A709" s="82"/>
      <c r="B709" s="82"/>
      <c r="C709" s="82"/>
      <c r="D709" s="82"/>
      <c r="E709" s="82"/>
      <c r="F709" s="82"/>
      <c r="G709" s="82"/>
    </row>
    <row r="710" ht="15.75" customHeight="1">
      <c r="A710" s="82"/>
      <c r="B710" s="82"/>
      <c r="C710" s="82"/>
      <c r="D710" s="82"/>
      <c r="E710" s="82"/>
      <c r="F710" s="82"/>
      <c r="G710" s="82"/>
    </row>
    <row r="711" ht="15.75" customHeight="1">
      <c r="A711" s="82"/>
      <c r="B711" s="82"/>
      <c r="C711" s="82"/>
      <c r="D711" s="82"/>
      <c r="E711" s="82"/>
      <c r="F711" s="82"/>
      <c r="G711" s="82"/>
    </row>
    <row r="712" ht="15.75" customHeight="1">
      <c r="A712" s="82"/>
      <c r="B712" s="82"/>
      <c r="C712" s="82"/>
      <c r="D712" s="82"/>
      <c r="E712" s="82"/>
      <c r="F712" s="82"/>
      <c r="G712" s="82"/>
    </row>
    <row r="713" ht="15.75" customHeight="1">
      <c r="A713" s="82"/>
      <c r="B713" s="82"/>
      <c r="C713" s="82"/>
      <c r="D713" s="82"/>
      <c r="E713" s="82"/>
      <c r="F713" s="82"/>
      <c r="G713" s="82"/>
    </row>
    <row r="714" ht="15.75" customHeight="1">
      <c r="A714" s="82"/>
      <c r="B714" s="82"/>
      <c r="C714" s="82"/>
      <c r="D714" s="82"/>
      <c r="E714" s="82"/>
      <c r="F714" s="82"/>
      <c r="G714" s="82"/>
    </row>
    <row r="715" ht="15.75" customHeight="1">
      <c r="A715" s="82"/>
      <c r="B715" s="82"/>
      <c r="C715" s="82"/>
      <c r="D715" s="82"/>
      <c r="E715" s="82"/>
      <c r="F715" s="82"/>
      <c r="G715" s="82"/>
    </row>
    <row r="716" ht="15.75" customHeight="1">
      <c r="A716" s="82"/>
      <c r="B716" s="82"/>
      <c r="C716" s="82"/>
      <c r="D716" s="82"/>
      <c r="E716" s="82"/>
      <c r="F716" s="82"/>
      <c r="G716" s="82"/>
    </row>
    <row r="717" ht="15.75" customHeight="1">
      <c r="A717" s="82"/>
      <c r="B717" s="82"/>
      <c r="C717" s="82"/>
      <c r="D717" s="82"/>
      <c r="E717" s="82"/>
      <c r="F717" s="82"/>
      <c r="G717" s="82"/>
    </row>
    <row r="718" ht="15.75" customHeight="1">
      <c r="A718" s="82"/>
      <c r="B718" s="82"/>
      <c r="C718" s="82"/>
      <c r="D718" s="82"/>
      <c r="E718" s="82"/>
      <c r="F718" s="82"/>
      <c r="G718" s="82"/>
    </row>
    <row r="719" ht="15.75" customHeight="1">
      <c r="A719" s="82"/>
      <c r="B719" s="82"/>
      <c r="C719" s="82"/>
      <c r="D719" s="82"/>
      <c r="E719" s="82"/>
      <c r="F719" s="82"/>
      <c r="G719" s="82"/>
    </row>
    <row r="720" ht="15.75" customHeight="1">
      <c r="A720" s="82"/>
      <c r="B720" s="82"/>
      <c r="C720" s="82"/>
      <c r="D720" s="82"/>
      <c r="E720" s="82"/>
      <c r="F720" s="82"/>
      <c r="G720" s="82"/>
    </row>
    <row r="721" ht="15.75" customHeight="1">
      <c r="A721" s="82"/>
      <c r="B721" s="82"/>
      <c r="C721" s="82"/>
      <c r="D721" s="82"/>
      <c r="E721" s="82"/>
      <c r="F721" s="82"/>
      <c r="G721" s="82"/>
    </row>
    <row r="722" ht="15.75" customHeight="1">
      <c r="A722" s="82"/>
      <c r="B722" s="82"/>
      <c r="C722" s="82"/>
      <c r="D722" s="82"/>
      <c r="E722" s="82"/>
      <c r="F722" s="82"/>
      <c r="G722" s="82"/>
    </row>
    <row r="723" ht="15.75" customHeight="1">
      <c r="A723" s="82"/>
      <c r="B723" s="82"/>
      <c r="C723" s="82"/>
      <c r="D723" s="82"/>
      <c r="E723" s="82"/>
      <c r="F723" s="82"/>
      <c r="G723" s="82"/>
    </row>
    <row r="724" ht="15.75" customHeight="1">
      <c r="A724" s="82"/>
      <c r="B724" s="82"/>
      <c r="C724" s="82"/>
      <c r="D724" s="82"/>
      <c r="E724" s="82"/>
      <c r="F724" s="82"/>
      <c r="G724" s="82"/>
    </row>
    <row r="725" ht="15.75" customHeight="1">
      <c r="A725" s="82"/>
      <c r="B725" s="82"/>
      <c r="C725" s="82"/>
      <c r="D725" s="82"/>
      <c r="E725" s="82"/>
      <c r="F725" s="82"/>
      <c r="G725" s="82"/>
    </row>
    <row r="726" ht="15.75" customHeight="1">
      <c r="A726" s="82"/>
      <c r="B726" s="82"/>
      <c r="C726" s="82"/>
      <c r="D726" s="82"/>
      <c r="E726" s="82"/>
      <c r="F726" s="82"/>
      <c r="G726" s="82"/>
    </row>
    <row r="727" ht="15.75" customHeight="1">
      <c r="A727" s="82"/>
      <c r="B727" s="82"/>
      <c r="C727" s="82"/>
      <c r="D727" s="82"/>
      <c r="E727" s="82"/>
      <c r="F727" s="82"/>
      <c r="G727" s="82"/>
    </row>
    <row r="728" ht="15.75" customHeight="1">
      <c r="A728" s="82"/>
      <c r="B728" s="82"/>
      <c r="C728" s="82"/>
      <c r="D728" s="82"/>
      <c r="E728" s="82"/>
      <c r="F728" s="82"/>
      <c r="G728" s="82"/>
    </row>
    <row r="729" ht="15.75" customHeight="1">
      <c r="A729" s="82"/>
      <c r="B729" s="82"/>
      <c r="C729" s="82"/>
      <c r="D729" s="82"/>
      <c r="E729" s="82"/>
      <c r="F729" s="82"/>
      <c r="G729" s="82"/>
    </row>
    <row r="730" ht="15.75" customHeight="1">
      <c r="A730" s="82"/>
      <c r="B730" s="82"/>
      <c r="C730" s="82"/>
      <c r="D730" s="82"/>
      <c r="E730" s="82"/>
      <c r="F730" s="82"/>
      <c r="G730" s="82"/>
    </row>
    <row r="731" ht="15.75" customHeight="1">
      <c r="A731" s="82"/>
      <c r="B731" s="82"/>
      <c r="C731" s="82"/>
      <c r="D731" s="82"/>
      <c r="E731" s="82"/>
      <c r="F731" s="82"/>
      <c r="G731" s="82"/>
    </row>
    <row r="732" ht="15.75" customHeight="1">
      <c r="A732" s="82"/>
      <c r="B732" s="82"/>
      <c r="C732" s="82"/>
      <c r="D732" s="82"/>
      <c r="E732" s="82"/>
      <c r="F732" s="82"/>
      <c r="G732" s="82"/>
    </row>
    <row r="733" ht="15.75" customHeight="1">
      <c r="A733" s="82"/>
      <c r="B733" s="82"/>
      <c r="C733" s="82"/>
      <c r="D733" s="82"/>
      <c r="E733" s="82"/>
      <c r="F733" s="82"/>
      <c r="G733" s="82"/>
    </row>
    <row r="734" ht="15.75" customHeight="1">
      <c r="A734" s="82"/>
      <c r="B734" s="82"/>
      <c r="C734" s="82"/>
      <c r="D734" s="82"/>
      <c r="E734" s="82"/>
      <c r="F734" s="82"/>
      <c r="G734" s="82"/>
    </row>
    <row r="735" ht="15.75" customHeight="1">
      <c r="A735" s="82"/>
      <c r="B735" s="82"/>
      <c r="C735" s="82"/>
      <c r="D735" s="82"/>
      <c r="E735" s="82"/>
      <c r="F735" s="82"/>
      <c r="G735" s="82"/>
    </row>
    <row r="736" ht="15.75" customHeight="1">
      <c r="A736" s="82"/>
      <c r="B736" s="82"/>
      <c r="C736" s="82"/>
      <c r="D736" s="82"/>
      <c r="E736" s="82"/>
      <c r="F736" s="82"/>
      <c r="G736" s="82"/>
    </row>
    <row r="737" ht="15.75" customHeight="1">
      <c r="A737" s="82"/>
      <c r="B737" s="82"/>
      <c r="C737" s="82"/>
      <c r="D737" s="82"/>
      <c r="E737" s="82"/>
      <c r="F737" s="82"/>
      <c r="G737" s="82"/>
    </row>
    <row r="738" ht="15.75" customHeight="1">
      <c r="A738" s="82"/>
      <c r="B738" s="82"/>
      <c r="C738" s="82"/>
      <c r="D738" s="82"/>
      <c r="E738" s="82"/>
      <c r="F738" s="82"/>
      <c r="G738" s="82"/>
    </row>
    <row r="739" ht="15.75" customHeight="1">
      <c r="A739" s="82"/>
      <c r="B739" s="82"/>
      <c r="C739" s="82"/>
      <c r="D739" s="82"/>
      <c r="E739" s="82"/>
      <c r="F739" s="82"/>
      <c r="G739" s="82"/>
    </row>
    <row r="740" ht="15.75" customHeight="1">
      <c r="A740" s="82"/>
      <c r="B740" s="82"/>
      <c r="C740" s="82"/>
      <c r="D740" s="82"/>
      <c r="E740" s="82"/>
      <c r="F740" s="82"/>
      <c r="G740" s="82"/>
    </row>
    <row r="741" ht="15.75" customHeight="1">
      <c r="A741" s="82"/>
      <c r="B741" s="82"/>
      <c r="C741" s="82"/>
      <c r="D741" s="82"/>
      <c r="E741" s="82"/>
      <c r="F741" s="82"/>
      <c r="G741" s="82"/>
    </row>
    <row r="742" ht="15.75" customHeight="1">
      <c r="A742" s="82"/>
      <c r="B742" s="82"/>
      <c r="C742" s="82"/>
      <c r="D742" s="82"/>
      <c r="E742" s="82"/>
      <c r="F742" s="82"/>
      <c r="G742" s="82"/>
    </row>
    <row r="743" ht="15.75" customHeight="1">
      <c r="A743" s="82"/>
      <c r="B743" s="82"/>
      <c r="C743" s="82"/>
      <c r="D743" s="82"/>
      <c r="E743" s="82"/>
      <c r="F743" s="82"/>
      <c r="G743" s="82"/>
    </row>
    <row r="744" ht="15.75" customHeight="1">
      <c r="A744" s="82"/>
      <c r="B744" s="82"/>
      <c r="C744" s="82"/>
      <c r="D744" s="82"/>
      <c r="E744" s="82"/>
      <c r="F744" s="82"/>
      <c r="G744" s="82"/>
    </row>
    <row r="745" ht="15.75" customHeight="1">
      <c r="A745" s="82"/>
      <c r="B745" s="82"/>
      <c r="C745" s="82"/>
      <c r="D745" s="82"/>
      <c r="E745" s="82"/>
      <c r="F745" s="82"/>
      <c r="G745" s="82"/>
    </row>
    <row r="746" ht="15.75" customHeight="1">
      <c r="A746" s="82"/>
      <c r="B746" s="82"/>
      <c r="C746" s="82"/>
      <c r="D746" s="82"/>
      <c r="E746" s="82"/>
      <c r="F746" s="82"/>
      <c r="G746" s="82"/>
    </row>
    <row r="747" ht="15.75" customHeight="1">
      <c r="A747" s="82"/>
      <c r="B747" s="82"/>
      <c r="C747" s="82"/>
      <c r="D747" s="82"/>
      <c r="E747" s="82"/>
      <c r="F747" s="82"/>
      <c r="G747" s="82"/>
    </row>
    <row r="748" ht="15.75" customHeight="1">
      <c r="A748" s="82"/>
      <c r="B748" s="82"/>
      <c r="C748" s="82"/>
      <c r="D748" s="82"/>
      <c r="E748" s="82"/>
      <c r="F748" s="82"/>
      <c r="G748" s="82"/>
    </row>
    <row r="749" ht="15.75" customHeight="1">
      <c r="A749" s="82"/>
      <c r="B749" s="82"/>
      <c r="C749" s="82"/>
      <c r="D749" s="82"/>
      <c r="E749" s="82"/>
      <c r="F749" s="82"/>
      <c r="G749" s="82"/>
    </row>
    <row r="750" ht="15.75" customHeight="1">
      <c r="A750" s="82"/>
      <c r="B750" s="82"/>
      <c r="C750" s="82"/>
      <c r="D750" s="82"/>
      <c r="E750" s="82"/>
      <c r="F750" s="82"/>
      <c r="G750" s="82"/>
    </row>
    <row r="751" ht="15.75" customHeight="1">
      <c r="A751" s="82"/>
      <c r="B751" s="82"/>
      <c r="C751" s="82"/>
      <c r="D751" s="82"/>
      <c r="E751" s="82"/>
      <c r="F751" s="82"/>
      <c r="G751" s="82"/>
    </row>
    <row r="752" ht="15.75" customHeight="1">
      <c r="A752" s="82"/>
      <c r="B752" s="82"/>
      <c r="C752" s="82"/>
      <c r="D752" s="82"/>
      <c r="E752" s="82"/>
      <c r="F752" s="82"/>
      <c r="G752" s="82"/>
    </row>
    <row r="753" ht="15.75" customHeight="1">
      <c r="A753" s="82"/>
      <c r="B753" s="82"/>
      <c r="C753" s="82"/>
      <c r="D753" s="82"/>
      <c r="E753" s="82"/>
      <c r="F753" s="82"/>
      <c r="G753" s="82"/>
    </row>
    <row r="754" ht="15.75" customHeight="1">
      <c r="A754" s="82"/>
      <c r="B754" s="82"/>
      <c r="C754" s="82"/>
      <c r="D754" s="82"/>
      <c r="E754" s="82"/>
      <c r="F754" s="82"/>
      <c r="G754" s="82"/>
    </row>
    <row r="755" ht="15.75" customHeight="1">
      <c r="A755" s="82"/>
      <c r="B755" s="82"/>
      <c r="C755" s="82"/>
      <c r="D755" s="82"/>
      <c r="E755" s="82"/>
      <c r="F755" s="82"/>
      <c r="G755" s="82"/>
    </row>
    <row r="756" ht="15.75" customHeight="1">
      <c r="A756" s="82"/>
      <c r="B756" s="82"/>
      <c r="C756" s="82"/>
      <c r="D756" s="82"/>
      <c r="E756" s="82"/>
      <c r="F756" s="82"/>
      <c r="G756" s="82"/>
    </row>
    <row r="757" ht="15.75" customHeight="1">
      <c r="A757" s="82"/>
      <c r="B757" s="82"/>
      <c r="C757" s="82"/>
      <c r="D757" s="82"/>
      <c r="E757" s="82"/>
      <c r="F757" s="82"/>
      <c r="G757" s="82"/>
    </row>
    <row r="758" ht="15.75" customHeight="1">
      <c r="A758" s="82"/>
      <c r="B758" s="82"/>
      <c r="C758" s="82"/>
      <c r="D758" s="82"/>
      <c r="E758" s="82"/>
      <c r="F758" s="82"/>
      <c r="G758" s="82"/>
    </row>
    <row r="759" ht="15.75" customHeight="1">
      <c r="A759" s="82"/>
      <c r="B759" s="82"/>
      <c r="C759" s="82"/>
      <c r="D759" s="82"/>
      <c r="E759" s="82"/>
      <c r="F759" s="82"/>
      <c r="G759" s="82"/>
    </row>
    <row r="760" ht="15.75" customHeight="1">
      <c r="A760" s="82"/>
      <c r="B760" s="82"/>
      <c r="C760" s="82"/>
      <c r="D760" s="82"/>
      <c r="E760" s="82"/>
      <c r="F760" s="82"/>
      <c r="G760" s="82"/>
    </row>
    <row r="761" ht="15.75" customHeight="1">
      <c r="A761" s="82"/>
      <c r="B761" s="82"/>
      <c r="C761" s="82"/>
      <c r="D761" s="82"/>
      <c r="E761" s="82"/>
      <c r="F761" s="82"/>
      <c r="G761" s="82"/>
    </row>
    <row r="762" ht="15.75" customHeight="1">
      <c r="A762" s="82"/>
      <c r="B762" s="82"/>
      <c r="C762" s="82"/>
      <c r="D762" s="82"/>
      <c r="E762" s="82"/>
      <c r="F762" s="82"/>
      <c r="G762" s="82"/>
    </row>
    <row r="763" ht="15.75" customHeight="1">
      <c r="A763" s="82"/>
      <c r="B763" s="82"/>
      <c r="C763" s="82"/>
      <c r="D763" s="82"/>
      <c r="E763" s="82"/>
      <c r="F763" s="82"/>
      <c r="G763" s="82"/>
    </row>
    <row r="764" ht="15.75" customHeight="1">
      <c r="A764" s="82"/>
      <c r="B764" s="82"/>
      <c r="C764" s="82"/>
      <c r="D764" s="82"/>
      <c r="E764" s="82"/>
      <c r="F764" s="82"/>
      <c r="G764" s="82"/>
    </row>
    <row r="765" ht="15.75" customHeight="1">
      <c r="A765" s="82"/>
      <c r="B765" s="82"/>
      <c r="C765" s="82"/>
      <c r="D765" s="82"/>
      <c r="E765" s="82"/>
      <c r="F765" s="82"/>
      <c r="G765" s="82"/>
    </row>
    <row r="766" ht="15.75" customHeight="1">
      <c r="A766" s="82"/>
      <c r="B766" s="82"/>
      <c r="C766" s="82"/>
      <c r="D766" s="82"/>
      <c r="E766" s="82"/>
      <c r="F766" s="82"/>
      <c r="G766" s="82"/>
    </row>
    <row r="767" ht="15.75" customHeight="1">
      <c r="A767" s="82"/>
      <c r="B767" s="82"/>
      <c r="C767" s="82"/>
      <c r="D767" s="82"/>
      <c r="E767" s="82"/>
      <c r="F767" s="82"/>
      <c r="G767" s="82"/>
    </row>
    <row r="768" ht="15.75" customHeight="1">
      <c r="A768" s="82"/>
      <c r="B768" s="82"/>
      <c r="C768" s="82"/>
      <c r="D768" s="82"/>
      <c r="E768" s="82"/>
      <c r="F768" s="82"/>
      <c r="G768" s="82"/>
    </row>
    <row r="769" ht="15.75" customHeight="1">
      <c r="A769" s="82"/>
      <c r="B769" s="82"/>
      <c r="C769" s="82"/>
      <c r="D769" s="82"/>
      <c r="E769" s="82"/>
      <c r="F769" s="82"/>
      <c r="G769" s="82"/>
    </row>
    <row r="770" ht="15.75" customHeight="1">
      <c r="A770" s="82"/>
      <c r="B770" s="82"/>
      <c r="C770" s="82"/>
      <c r="D770" s="82"/>
      <c r="E770" s="82"/>
      <c r="F770" s="82"/>
      <c r="G770" s="82"/>
    </row>
    <row r="771" ht="15.75" customHeight="1">
      <c r="A771" s="82"/>
      <c r="B771" s="82"/>
      <c r="C771" s="82"/>
      <c r="D771" s="82"/>
      <c r="E771" s="82"/>
      <c r="F771" s="82"/>
      <c r="G771" s="82"/>
    </row>
    <row r="772" ht="15.75" customHeight="1">
      <c r="A772" s="82"/>
      <c r="B772" s="82"/>
      <c r="C772" s="82"/>
      <c r="D772" s="82"/>
      <c r="E772" s="82"/>
      <c r="F772" s="82"/>
      <c r="G772" s="82"/>
    </row>
    <row r="773" ht="15.75" customHeight="1">
      <c r="A773" s="82"/>
      <c r="B773" s="82"/>
      <c r="C773" s="82"/>
      <c r="D773" s="82"/>
      <c r="E773" s="82"/>
      <c r="F773" s="82"/>
      <c r="G773" s="82"/>
    </row>
    <row r="774" ht="15.75" customHeight="1">
      <c r="A774" s="82"/>
      <c r="B774" s="82"/>
      <c r="C774" s="82"/>
      <c r="D774" s="82"/>
      <c r="E774" s="82"/>
      <c r="F774" s="82"/>
      <c r="G774" s="82"/>
    </row>
    <row r="775" ht="15.75" customHeight="1">
      <c r="A775" s="82"/>
      <c r="B775" s="82"/>
      <c r="C775" s="82"/>
      <c r="D775" s="82"/>
      <c r="E775" s="82"/>
      <c r="F775" s="82"/>
      <c r="G775" s="82"/>
    </row>
    <row r="776" ht="15.75" customHeight="1">
      <c r="A776" s="82"/>
      <c r="B776" s="82"/>
      <c r="C776" s="82"/>
      <c r="D776" s="82"/>
      <c r="E776" s="82"/>
      <c r="F776" s="82"/>
      <c r="G776" s="82"/>
    </row>
    <row r="777" ht="15.75" customHeight="1">
      <c r="A777" s="82"/>
      <c r="B777" s="82"/>
      <c r="C777" s="82"/>
      <c r="D777" s="82"/>
      <c r="E777" s="82"/>
      <c r="F777" s="82"/>
      <c r="G777" s="82"/>
    </row>
    <row r="778" ht="15.75" customHeight="1">
      <c r="A778" s="82"/>
      <c r="B778" s="82"/>
      <c r="C778" s="82"/>
      <c r="D778" s="82"/>
      <c r="E778" s="82"/>
      <c r="F778" s="82"/>
      <c r="G778" s="82"/>
    </row>
    <row r="779" ht="15.75" customHeight="1">
      <c r="A779" s="82"/>
      <c r="B779" s="82"/>
      <c r="C779" s="82"/>
      <c r="D779" s="82"/>
      <c r="E779" s="82"/>
      <c r="F779" s="82"/>
      <c r="G779" s="82"/>
    </row>
    <row r="780" ht="15.75" customHeight="1">
      <c r="A780" s="82"/>
      <c r="B780" s="82"/>
      <c r="C780" s="82"/>
      <c r="D780" s="82"/>
      <c r="E780" s="82"/>
      <c r="F780" s="82"/>
      <c r="G780" s="82"/>
    </row>
    <row r="781" ht="15.75" customHeight="1">
      <c r="A781" s="82"/>
      <c r="B781" s="82"/>
      <c r="C781" s="82"/>
      <c r="D781" s="82"/>
      <c r="E781" s="82"/>
      <c r="F781" s="82"/>
      <c r="G781" s="82"/>
    </row>
    <row r="782" ht="15.75" customHeight="1">
      <c r="A782" s="82"/>
      <c r="B782" s="82"/>
      <c r="C782" s="82"/>
      <c r="D782" s="82"/>
      <c r="E782" s="82"/>
      <c r="F782" s="82"/>
      <c r="G782" s="82"/>
    </row>
    <row r="783" ht="15.75" customHeight="1">
      <c r="A783" s="82"/>
      <c r="B783" s="82"/>
      <c r="C783" s="82"/>
      <c r="D783" s="82"/>
      <c r="E783" s="82"/>
      <c r="F783" s="82"/>
      <c r="G783" s="82"/>
    </row>
    <row r="784" ht="15.75" customHeight="1">
      <c r="A784" s="82"/>
      <c r="B784" s="82"/>
      <c r="C784" s="82"/>
      <c r="D784" s="82"/>
      <c r="E784" s="82"/>
      <c r="F784" s="82"/>
      <c r="G784" s="82"/>
    </row>
    <row r="785" ht="15.75" customHeight="1">
      <c r="A785" s="82"/>
      <c r="B785" s="82"/>
      <c r="C785" s="82"/>
      <c r="D785" s="82"/>
      <c r="E785" s="82"/>
      <c r="F785" s="82"/>
      <c r="G785" s="82"/>
    </row>
    <row r="786" ht="15.75" customHeight="1">
      <c r="A786" s="82"/>
      <c r="B786" s="82"/>
      <c r="C786" s="82"/>
      <c r="D786" s="82"/>
      <c r="E786" s="82"/>
      <c r="F786" s="82"/>
      <c r="G786" s="82"/>
    </row>
    <row r="787" ht="15.75" customHeight="1">
      <c r="A787" s="82"/>
      <c r="B787" s="82"/>
      <c r="C787" s="82"/>
      <c r="D787" s="82"/>
      <c r="E787" s="82"/>
      <c r="F787" s="82"/>
      <c r="G787" s="82"/>
    </row>
    <row r="788" ht="15.75" customHeight="1">
      <c r="A788" s="82"/>
      <c r="B788" s="82"/>
      <c r="C788" s="82"/>
      <c r="D788" s="82"/>
      <c r="E788" s="82"/>
      <c r="F788" s="82"/>
      <c r="G788" s="82"/>
    </row>
    <row r="789" ht="15.75" customHeight="1">
      <c r="A789" s="82"/>
      <c r="B789" s="82"/>
      <c r="C789" s="82"/>
      <c r="D789" s="82"/>
      <c r="E789" s="82"/>
      <c r="F789" s="82"/>
      <c r="G789" s="82"/>
    </row>
    <row r="790" ht="15.75" customHeight="1">
      <c r="A790" s="82"/>
      <c r="B790" s="82"/>
      <c r="C790" s="82"/>
      <c r="D790" s="82"/>
      <c r="E790" s="82"/>
      <c r="F790" s="82"/>
      <c r="G790" s="82"/>
    </row>
    <row r="791" ht="15.75" customHeight="1">
      <c r="A791" s="82"/>
      <c r="B791" s="82"/>
      <c r="C791" s="82"/>
      <c r="D791" s="82"/>
      <c r="E791" s="82"/>
      <c r="F791" s="82"/>
      <c r="G791" s="82"/>
    </row>
    <row r="792" ht="15.75" customHeight="1">
      <c r="A792" s="82"/>
      <c r="B792" s="82"/>
      <c r="C792" s="82"/>
      <c r="D792" s="82"/>
      <c r="E792" s="82"/>
      <c r="F792" s="82"/>
      <c r="G792" s="82"/>
    </row>
    <row r="793" ht="15.75" customHeight="1">
      <c r="A793" s="82"/>
      <c r="B793" s="82"/>
      <c r="C793" s="82"/>
      <c r="D793" s="82"/>
      <c r="E793" s="82"/>
      <c r="F793" s="82"/>
      <c r="G793" s="82"/>
    </row>
    <row r="794" ht="15.75" customHeight="1">
      <c r="A794" s="82"/>
      <c r="B794" s="82"/>
      <c r="C794" s="82"/>
      <c r="D794" s="82"/>
      <c r="E794" s="82"/>
      <c r="F794" s="82"/>
      <c r="G794" s="82"/>
    </row>
    <row r="795" ht="15.75" customHeight="1">
      <c r="A795" s="82"/>
      <c r="B795" s="82"/>
      <c r="C795" s="82"/>
      <c r="D795" s="82"/>
      <c r="E795" s="82"/>
      <c r="F795" s="82"/>
      <c r="G795" s="82"/>
    </row>
    <row r="796" ht="15.75" customHeight="1">
      <c r="A796" s="82"/>
      <c r="B796" s="82"/>
      <c r="C796" s="82"/>
      <c r="D796" s="82"/>
      <c r="E796" s="82"/>
      <c r="F796" s="82"/>
      <c r="G796" s="82"/>
    </row>
    <row r="797" ht="15.75" customHeight="1">
      <c r="A797" s="82"/>
      <c r="B797" s="82"/>
      <c r="C797" s="82"/>
      <c r="D797" s="82"/>
      <c r="E797" s="82"/>
      <c r="F797" s="82"/>
      <c r="G797" s="82"/>
    </row>
    <row r="798" ht="15.75" customHeight="1">
      <c r="A798" s="82"/>
      <c r="B798" s="82"/>
      <c r="C798" s="82"/>
      <c r="D798" s="82"/>
      <c r="E798" s="82"/>
      <c r="F798" s="82"/>
      <c r="G798" s="82"/>
    </row>
    <row r="799" ht="15.75" customHeight="1">
      <c r="A799" s="82"/>
      <c r="B799" s="82"/>
      <c r="C799" s="82"/>
      <c r="D799" s="82"/>
      <c r="E799" s="82"/>
      <c r="F799" s="82"/>
      <c r="G799" s="82"/>
    </row>
    <row r="800" ht="15.75" customHeight="1">
      <c r="A800" s="82"/>
      <c r="B800" s="82"/>
      <c r="C800" s="82"/>
      <c r="D800" s="82"/>
      <c r="E800" s="82"/>
      <c r="F800" s="82"/>
      <c r="G800" s="82"/>
    </row>
    <row r="801" ht="15.75" customHeight="1">
      <c r="A801" s="82"/>
      <c r="B801" s="82"/>
      <c r="C801" s="82"/>
      <c r="D801" s="82"/>
      <c r="E801" s="82"/>
      <c r="F801" s="82"/>
      <c r="G801" s="82"/>
    </row>
    <row r="802" ht="15.75" customHeight="1">
      <c r="A802" s="82"/>
      <c r="B802" s="82"/>
      <c r="C802" s="82"/>
      <c r="D802" s="82"/>
      <c r="E802" s="82"/>
      <c r="F802" s="82"/>
      <c r="G802" s="82"/>
    </row>
    <row r="803" ht="15.75" customHeight="1">
      <c r="A803" s="82"/>
      <c r="B803" s="82"/>
      <c r="C803" s="82"/>
      <c r="D803" s="82"/>
      <c r="E803" s="82"/>
      <c r="F803" s="82"/>
      <c r="G803" s="82"/>
    </row>
    <row r="804" ht="15.75" customHeight="1">
      <c r="A804" s="82"/>
      <c r="B804" s="82"/>
      <c r="C804" s="82"/>
      <c r="D804" s="82"/>
      <c r="E804" s="82"/>
      <c r="F804" s="82"/>
      <c r="G804" s="82"/>
    </row>
    <row r="805" ht="15.75" customHeight="1">
      <c r="A805" s="82"/>
      <c r="B805" s="82"/>
      <c r="C805" s="82"/>
      <c r="D805" s="82"/>
      <c r="E805" s="82"/>
      <c r="F805" s="82"/>
      <c r="G805" s="82"/>
    </row>
    <row r="806" ht="15.75" customHeight="1">
      <c r="A806" s="82"/>
      <c r="B806" s="82"/>
      <c r="C806" s="82"/>
      <c r="D806" s="82"/>
      <c r="E806" s="82"/>
      <c r="F806" s="82"/>
      <c r="G806" s="82"/>
    </row>
    <row r="807" ht="15.75" customHeight="1">
      <c r="A807" s="82"/>
      <c r="B807" s="82"/>
      <c r="C807" s="82"/>
      <c r="D807" s="82"/>
      <c r="E807" s="82"/>
      <c r="F807" s="82"/>
      <c r="G807" s="82"/>
    </row>
    <row r="808" ht="15.75" customHeight="1">
      <c r="A808" s="82"/>
      <c r="B808" s="82"/>
      <c r="C808" s="82"/>
      <c r="D808" s="82"/>
      <c r="E808" s="82"/>
      <c r="F808" s="82"/>
      <c r="G808" s="82"/>
    </row>
    <row r="809" ht="15.75" customHeight="1">
      <c r="A809" s="82"/>
      <c r="B809" s="82"/>
      <c r="C809" s="82"/>
      <c r="D809" s="82"/>
      <c r="E809" s="82"/>
      <c r="F809" s="82"/>
      <c r="G809" s="82"/>
    </row>
    <row r="810" ht="15.75" customHeight="1">
      <c r="A810" s="82"/>
      <c r="B810" s="82"/>
      <c r="C810" s="82"/>
      <c r="D810" s="82"/>
      <c r="E810" s="82"/>
      <c r="F810" s="82"/>
      <c r="G810" s="82"/>
    </row>
    <row r="811" ht="15.75" customHeight="1">
      <c r="A811" s="82"/>
      <c r="B811" s="82"/>
      <c r="C811" s="82"/>
      <c r="D811" s="82"/>
      <c r="E811" s="82"/>
      <c r="F811" s="82"/>
      <c r="G811" s="82"/>
    </row>
    <row r="812" ht="15.75" customHeight="1">
      <c r="A812" s="82"/>
      <c r="B812" s="82"/>
      <c r="C812" s="82"/>
      <c r="D812" s="82"/>
      <c r="E812" s="82"/>
      <c r="F812" s="82"/>
      <c r="G812" s="82"/>
    </row>
    <row r="813" ht="15.75" customHeight="1">
      <c r="A813" s="82"/>
      <c r="B813" s="82"/>
      <c r="C813" s="82"/>
      <c r="D813" s="82"/>
      <c r="E813" s="82"/>
      <c r="F813" s="82"/>
      <c r="G813" s="82"/>
    </row>
    <row r="814" ht="15.75" customHeight="1">
      <c r="A814" s="82"/>
      <c r="B814" s="82"/>
      <c r="C814" s="82"/>
      <c r="D814" s="82"/>
      <c r="E814" s="82"/>
      <c r="F814" s="82"/>
      <c r="G814" s="82"/>
    </row>
    <row r="815" ht="15.75" customHeight="1">
      <c r="A815" s="82"/>
      <c r="B815" s="82"/>
      <c r="C815" s="82"/>
      <c r="D815" s="82"/>
      <c r="E815" s="82"/>
      <c r="F815" s="82"/>
      <c r="G815" s="82"/>
    </row>
    <row r="816" ht="15.75" customHeight="1">
      <c r="A816" s="82"/>
      <c r="B816" s="82"/>
      <c r="C816" s="82"/>
      <c r="D816" s="82"/>
      <c r="E816" s="82"/>
      <c r="F816" s="82"/>
      <c r="G816" s="82"/>
    </row>
    <row r="817" ht="15.75" customHeight="1">
      <c r="A817" s="82"/>
      <c r="B817" s="82"/>
      <c r="C817" s="82"/>
      <c r="D817" s="82"/>
      <c r="E817" s="82"/>
      <c r="F817" s="82"/>
      <c r="G817" s="82"/>
    </row>
    <row r="818" ht="15.75" customHeight="1">
      <c r="A818" s="82"/>
      <c r="B818" s="82"/>
      <c r="C818" s="82"/>
      <c r="D818" s="82"/>
      <c r="E818" s="82"/>
      <c r="F818" s="82"/>
      <c r="G818" s="82"/>
    </row>
    <row r="819" ht="15.75" customHeight="1">
      <c r="A819" s="82"/>
      <c r="B819" s="82"/>
      <c r="C819" s="82"/>
      <c r="D819" s="82"/>
      <c r="E819" s="82"/>
      <c r="F819" s="82"/>
      <c r="G819" s="82"/>
    </row>
    <row r="820" ht="15.75" customHeight="1">
      <c r="A820" s="82"/>
      <c r="B820" s="82"/>
      <c r="C820" s="82"/>
      <c r="D820" s="82"/>
      <c r="E820" s="82"/>
      <c r="F820" s="82"/>
      <c r="G820" s="82"/>
    </row>
    <row r="821" ht="15.75" customHeight="1">
      <c r="A821" s="82"/>
      <c r="B821" s="82"/>
      <c r="C821" s="82"/>
      <c r="D821" s="82"/>
      <c r="E821" s="82"/>
      <c r="F821" s="82"/>
      <c r="G821" s="82"/>
    </row>
    <row r="822" ht="15.75" customHeight="1">
      <c r="A822" s="82"/>
      <c r="B822" s="82"/>
      <c r="C822" s="82"/>
      <c r="D822" s="82"/>
      <c r="E822" s="82"/>
      <c r="F822" s="82"/>
      <c r="G822" s="82"/>
    </row>
    <row r="823" ht="15.75" customHeight="1">
      <c r="A823" s="82"/>
      <c r="B823" s="82"/>
      <c r="C823" s="82"/>
      <c r="D823" s="82"/>
      <c r="E823" s="82"/>
      <c r="F823" s="82"/>
      <c r="G823" s="82"/>
    </row>
    <row r="824" ht="15.75" customHeight="1">
      <c r="A824" s="82"/>
      <c r="B824" s="82"/>
      <c r="C824" s="82"/>
      <c r="D824" s="82"/>
      <c r="E824" s="82"/>
      <c r="F824" s="82"/>
      <c r="G824" s="82"/>
    </row>
    <row r="825" ht="15.75" customHeight="1">
      <c r="A825" s="82"/>
      <c r="B825" s="82"/>
      <c r="C825" s="82"/>
      <c r="D825" s="82"/>
      <c r="E825" s="82"/>
      <c r="F825" s="82"/>
      <c r="G825" s="82"/>
    </row>
    <row r="826" ht="15.75" customHeight="1">
      <c r="A826" s="82"/>
      <c r="B826" s="82"/>
      <c r="C826" s="82"/>
      <c r="D826" s="82"/>
      <c r="E826" s="82"/>
      <c r="F826" s="82"/>
      <c r="G826" s="82"/>
    </row>
    <row r="827" ht="15.75" customHeight="1">
      <c r="A827" s="82"/>
      <c r="B827" s="82"/>
      <c r="C827" s="82"/>
      <c r="D827" s="82"/>
      <c r="E827" s="82"/>
      <c r="F827" s="82"/>
      <c r="G827" s="82"/>
    </row>
    <row r="828" ht="15.75" customHeight="1">
      <c r="A828" s="82"/>
      <c r="B828" s="82"/>
      <c r="C828" s="82"/>
      <c r="D828" s="82"/>
      <c r="E828" s="82"/>
      <c r="F828" s="82"/>
      <c r="G828" s="82"/>
    </row>
    <row r="829" ht="15.75" customHeight="1">
      <c r="A829" s="82"/>
      <c r="B829" s="82"/>
      <c r="C829" s="82"/>
      <c r="D829" s="82"/>
      <c r="E829" s="82"/>
      <c r="F829" s="82"/>
      <c r="G829" s="82"/>
    </row>
    <row r="830" ht="15.75" customHeight="1">
      <c r="A830" s="82"/>
      <c r="B830" s="82"/>
      <c r="C830" s="82"/>
      <c r="D830" s="82"/>
      <c r="E830" s="82"/>
      <c r="F830" s="82"/>
      <c r="G830" s="82"/>
    </row>
    <row r="831" ht="15.75" customHeight="1">
      <c r="A831" s="82"/>
      <c r="B831" s="82"/>
      <c r="C831" s="82"/>
      <c r="D831" s="82"/>
      <c r="E831" s="82"/>
      <c r="F831" s="82"/>
      <c r="G831" s="82"/>
    </row>
    <row r="832" ht="15.75" customHeight="1">
      <c r="A832" s="82"/>
      <c r="B832" s="82"/>
      <c r="C832" s="82"/>
      <c r="D832" s="82"/>
      <c r="E832" s="82"/>
      <c r="F832" s="82"/>
      <c r="G832" s="82"/>
    </row>
    <row r="833" ht="15.75" customHeight="1">
      <c r="A833" s="82"/>
      <c r="B833" s="82"/>
      <c r="C833" s="82"/>
      <c r="D833" s="82"/>
      <c r="E833" s="82"/>
      <c r="F833" s="82"/>
      <c r="G833" s="82"/>
    </row>
    <row r="834" ht="15.75" customHeight="1">
      <c r="A834" s="82"/>
      <c r="B834" s="82"/>
      <c r="C834" s="82"/>
      <c r="D834" s="82"/>
      <c r="E834" s="82"/>
      <c r="F834" s="82"/>
      <c r="G834" s="82"/>
    </row>
    <row r="835" ht="15.75" customHeight="1">
      <c r="A835" s="82"/>
      <c r="B835" s="82"/>
      <c r="C835" s="82"/>
      <c r="D835" s="82"/>
      <c r="E835" s="82"/>
      <c r="F835" s="82"/>
      <c r="G835" s="82"/>
    </row>
    <row r="836" ht="15.75" customHeight="1">
      <c r="A836" s="82"/>
      <c r="B836" s="82"/>
      <c r="C836" s="82"/>
      <c r="D836" s="82"/>
      <c r="E836" s="82"/>
      <c r="F836" s="82"/>
      <c r="G836" s="82"/>
    </row>
    <row r="837" ht="15.75" customHeight="1">
      <c r="A837" s="82"/>
      <c r="B837" s="82"/>
      <c r="C837" s="82"/>
      <c r="D837" s="82"/>
      <c r="E837" s="82"/>
      <c r="F837" s="82"/>
      <c r="G837" s="82"/>
    </row>
    <row r="838" ht="15.75" customHeight="1">
      <c r="A838" s="82"/>
      <c r="B838" s="82"/>
      <c r="C838" s="82"/>
      <c r="D838" s="82"/>
      <c r="E838" s="82"/>
      <c r="F838" s="82"/>
      <c r="G838" s="82"/>
    </row>
    <row r="839" ht="15.75" customHeight="1">
      <c r="A839" s="82"/>
      <c r="B839" s="82"/>
      <c r="C839" s="82"/>
      <c r="D839" s="82"/>
      <c r="E839" s="82"/>
      <c r="F839" s="82"/>
      <c r="G839" s="82"/>
    </row>
    <row r="840" ht="15.75" customHeight="1">
      <c r="A840" s="82"/>
      <c r="B840" s="82"/>
      <c r="C840" s="82"/>
      <c r="D840" s="82"/>
      <c r="E840" s="82"/>
      <c r="F840" s="82"/>
      <c r="G840" s="82"/>
    </row>
    <row r="841" ht="15.75" customHeight="1">
      <c r="A841" s="82"/>
      <c r="B841" s="82"/>
      <c r="C841" s="82"/>
      <c r="D841" s="82"/>
      <c r="E841" s="82"/>
      <c r="F841" s="82"/>
      <c r="G841" s="82"/>
    </row>
    <row r="842" ht="15.75" customHeight="1">
      <c r="A842" s="82"/>
      <c r="B842" s="82"/>
      <c r="C842" s="82"/>
      <c r="D842" s="82"/>
      <c r="E842" s="82"/>
      <c r="F842" s="82"/>
      <c r="G842" s="82"/>
    </row>
    <row r="843" ht="15.75" customHeight="1">
      <c r="A843" s="82"/>
      <c r="B843" s="82"/>
      <c r="C843" s="82"/>
      <c r="D843" s="82"/>
      <c r="E843" s="82"/>
      <c r="F843" s="82"/>
      <c r="G843" s="82"/>
    </row>
    <row r="844" ht="15.75" customHeight="1">
      <c r="A844" s="82"/>
      <c r="B844" s="82"/>
      <c r="C844" s="82"/>
      <c r="D844" s="82"/>
      <c r="E844" s="82"/>
      <c r="F844" s="82"/>
      <c r="G844" s="82"/>
    </row>
    <row r="845" ht="15.75" customHeight="1">
      <c r="A845" s="82"/>
      <c r="B845" s="82"/>
      <c r="C845" s="82"/>
      <c r="D845" s="82"/>
      <c r="E845" s="82"/>
      <c r="F845" s="82"/>
      <c r="G845" s="82"/>
    </row>
    <row r="846" ht="15.75" customHeight="1">
      <c r="A846" s="82"/>
      <c r="B846" s="82"/>
      <c r="C846" s="82"/>
      <c r="D846" s="82"/>
      <c r="E846" s="82"/>
      <c r="F846" s="82"/>
      <c r="G846" s="82"/>
    </row>
    <row r="847" ht="15.75" customHeight="1">
      <c r="A847" s="82"/>
      <c r="B847" s="82"/>
      <c r="C847" s="82"/>
      <c r="D847" s="82"/>
      <c r="E847" s="82"/>
      <c r="F847" s="82"/>
      <c r="G847" s="82"/>
    </row>
    <row r="848" ht="15.75" customHeight="1">
      <c r="A848" s="82"/>
      <c r="B848" s="82"/>
      <c r="C848" s="82"/>
      <c r="D848" s="82"/>
      <c r="E848" s="82"/>
      <c r="F848" s="82"/>
      <c r="G848" s="82"/>
    </row>
    <row r="849" ht="15.75" customHeight="1">
      <c r="A849" s="82"/>
      <c r="B849" s="82"/>
      <c r="C849" s="82"/>
      <c r="D849" s="82"/>
      <c r="E849" s="82"/>
      <c r="F849" s="82"/>
      <c r="G849" s="82"/>
    </row>
    <row r="850" ht="15.75" customHeight="1">
      <c r="A850" s="82"/>
      <c r="B850" s="82"/>
      <c r="C850" s="82"/>
      <c r="D850" s="82"/>
      <c r="E850" s="82"/>
      <c r="F850" s="82"/>
      <c r="G850" s="82"/>
    </row>
    <row r="851" ht="15.75" customHeight="1">
      <c r="A851" s="82"/>
      <c r="B851" s="82"/>
      <c r="C851" s="82"/>
      <c r="D851" s="82"/>
      <c r="E851" s="82"/>
      <c r="F851" s="82"/>
      <c r="G851" s="82"/>
    </row>
    <row r="852" ht="15.75" customHeight="1">
      <c r="A852" s="82"/>
      <c r="B852" s="82"/>
      <c r="C852" s="82"/>
      <c r="D852" s="82"/>
      <c r="E852" s="82"/>
      <c r="F852" s="82"/>
      <c r="G852" s="82"/>
    </row>
    <row r="853" ht="15.75" customHeight="1">
      <c r="A853" s="82"/>
      <c r="B853" s="82"/>
      <c r="C853" s="82"/>
      <c r="D853" s="82"/>
      <c r="E853" s="82"/>
      <c r="F853" s="82"/>
      <c r="G853" s="82"/>
    </row>
    <row r="854" ht="15.75" customHeight="1">
      <c r="A854" s="82"/>
      <c r="B854" s="82"/>
      <c r="C854" s="82"/>
      <c r="D854" s="82"/>
      <c r="E854" s="82"/>
      <c r="F854" s="82"/>
      <c r="G854" s="82"/>
    </row>
    <row r="855" ht="15.75" customHeight="1">
      <c r="A855" s="82"/>
      <c r="B855" s="82"/>
      <c r="C855" s="82"/>
      <c r="D855" s="82"/>
      <c r="E855" s="82"/>
      <c r="F855" s="82"/>
      <c r="G855" s="82"/>
    </row>
    <row r="856" ht="15.75" customHeight="1">
      <c r="A856" s="82"/>
      <c r="B856" s="82"/>
      <c r="C856" s="82"/>
      <c r="D856" s="82"/>
      <c r="E856" s="82"/>
      <c r="F856" s="82"/>
      <c r="G856" s="82"/>
    </row>
    <row r="857" ht="15.75" customHeight="1">
      <c r="A857" s="82"/>
      <c r="B857" s="82"/>
      <c r="C857" s="82"/>
      <c r="D857" s="82"/>
      <c r="E857" s="82"/>
      <c r="F857" s="82"/>
      <c r="G857" s="82"/>
    </row>
    <row r="858" ht="15.75" customHeight="1">
      <c r="A858" s="82"/>
      <c r="B858" s="82"/>
      <c r="C858" s="82"/>
      <c r="D858" s="82"/>
      <c r="E858" s="82"/>
      <c r="F858" s="82"/>
      <c r="G858" s="82"/>
    </row>
    <row r="859" ht="15.75" customHeight="1">
      <c r="A859" s="82"/>
      <c r="B859" s="82"/>
      <c r="C859" s="82"/>
      <c r="D859" s="82"/>
      <c r="E859" s="82"/>
      <c r="F859" s="82"/>
      <c r="G859" s="82"/>
    </row>
    <row r="860" ht="15.75" customHeight="1">
      <c r="A860" s="82"/>
      <c r="B860" s="82"/>
      <c r="C860" s="82"/>
      <c r="D860" s="82"/>
      <c r="E860" s="82"/>
      <c r="F860" s="82"/>
      <c r="G860" s="82"/>
    </row>
    <row r="861" ht="15.75" customHeight="1">
      <c r="A861" s="82"/>
      <c r="B861" s="82"/>
      <c r="C861" s="82"/>
      <c r="D861" s="82"/>
      <c r="E861" s="82"/>
      <c r="F861" s="82"/>
      <c r="G861" s="82"/>
    </row>
    <row r="862" ht="15.75" customHeight="1">
      <c r="A862" s="82"/>
      <c r="B862" s="82"/>
      <c r="C862" s="82"/>
      <c r="D862" s="82"/>
      <c r="E862" s="82"/>
      <c r="F862" s="82"/>
      <c r="G862" s="82"/>
    </row>
    <row r="863" ht="15.75" customHeight="1">
      <c r="A863" s="82"/>
      <c r="B863" s="82"/>
      <c r="C863" s="82"/>
      <c r="D863" s="82"/>
      <c r="E863" s="82"/>
      <c r="F863" s="82"/>
      <c r="G863" s="82"/>
    </row>
    <row r="864" ht="15.75" customHeight="1">
      <c r="A864" s="82"/>
      <c r="B864" s="82"/>
      <c r="C864" s="82"/>
      <c r="D864" s="82"/>
      <c r="E864" s="82"/>
      <c r="F864" s="82"/>
      <c r="G864" s="82"/>
    </row>
    <row r="865" ht="15.75" customHeight="1">
      <c r="A865" s="82"/>
      <c r="B865" s="82"/>
      <c r="C865" s="82"/>
      <c r="D865" s="82"/>
      <c r="E865" s="82"/>
      <c r="F865" s="82"/>
      <c r="G865" s="82"/>
    </row>
    <row r="866" ht="15.75" customHeight="1">
      <c r="A866" s="82"/>
      <c r="B866" s="82"/>
      <c r="C866" s="82"/>
      <c r="D866" s="82"/>
      <c r="E866" s="82"/>
      <c r="F866" s="82"/>
      <c r="G866" s="82"/>
    </row>
    <row r="867" ht="15.75" customHeight="1">
      <c r="A867" s="82"/>
      <c r="B867" s="82"/>
      <c r="C867" s="82"/>
      <c r="D867" s="82"/>
      <c r="E867" s="82"/>
      <c r="F867" s="82"/>
      <c r="G867" s="82"/>
    </row>
    <row r="868" ht="15.75" customHeight="1">
      <c r="A868" s="82"/>
      <c r="B868" s="82"/>
      <c r="C868" s="82"/>
      <c r="D868" s="82"/>
      <c r="E868" s="82"/>
      <c r="F868" s="82"/>
      <c r="G868" s="82"/>
    </row>
    <row r="869" ht="15.75" customHeight="1">
      <c r="A869" s="82"/>
      <c r="B869" s="82"/>
      <c r="C869" s="82"/>
      <c r="D869" s="82"/>
      <c r="E869" s="82"/>
      <c r="F869" s="82"/>
      <c r="G869" s="82"/>
    </row>
    <row r="870" ht="15.75" customHeight="1">
      <c r="A870" s="82"/>
      <c r="B870" s="82"/>
      <c r="C870" s="82"/>
      <c r="D870" s="82"/>
      <c r="E870" s="82"/>
      <c r="F870" s="82"/>
      <c r="G870" s="82"/>
    </row>
    <row r="871" ht="15.75" customHeight="1">
      <c r="A871" s="82"/>
      <c r="B871" s="82"/>
      <c r="C871" s="82"/>
      <c r="D871" s="82"/>
      <c r="E871" s="82"/>
      <c r="F871" s="82"/>
      <c r="G871" s="82"/>
    </row>
    <row r="872" ht="15.75" customHeight="1">
      <c r="A872" s="82"/>
      <c r="B872" s="82"/>
      <c r="C872" s="82"/>
      <c r="D872" s="82"/>
      <c r="E872" s="82"/>
      <c r="F872" s="82"/>
      <c r="G872" s="82"/>
    </row>
    <row r="873" ht="15.75" customHeight="1">
      <c r="A873" s="82"/>
      <c r="B873" s="82"/>
      <c r="C873" s="82"/>
      <c r="D873" s="82"/>
      <c r="E873" s="82"/>
      <c r="F873" s="82"/>
      <c r="G873" s="82"/>
    </row>
    <row r="874" ht="15.75" customHeight="1">
      <c r="A874" s="82"/>
      <c r="B874" s="82"/>
      <c r="C874" s="82"/>
      <c r="D874" s="82"/>
      <c r="E874" s="82"/>
      <c r="F874" s="82"/>
      <c r="G874" s="82"/>
    </row>
    <row r="875" ht="15.75" customHeight="1">
      <c r="A875" s="82"/>
      <c r="B875" s="82"/>
      <c r="C875" s="82"/>
      <c r="D875" s="82"/>
      <c r="E875" s="82"/>
      <c r="F875" s="82"/>
      <c r="G875" s="82"/>
    </row>
    <row r="876" ht="15.75" customHeight="1">
      <c r="A876" s="82"/>
      <c r="B876" s="82"/>
      <c r="C876" s="82"/>
      <c r="D876" s="82"/>
      <c r="E876" s="82"/>
      <c r="F876" s="82"/>
      <c r="G876" s="82"/>
    </row>
    <row r="877" ht="15.75" customHeight="1">
      <c r="A877" s="82"/>
      <c r="B877" s="82"/>
      <c r="C877" s="82"/>
      <c r="D877" s="82"/>
      <c r="E877" s="82"/>
      <c r="F877" s="82"/>
      <c r="G877" s="82"/>
    </row>
    <row r="878" ht="15.75" customHeight="1">
      <c r="A878" s="82"/>
      <c r="B878" s="82"/>
      <c r="C878" s="82"/>
      <c r="D878" s="82"/>
      <c r="E878" s="82"/>
      <c r="F878" s="82"/>
      <c r="G878" s="82"/>
    </row>
    <row r="879" ht="15.75" customHeight="1">
      <c r="A879" s="82"/>
      <c r="B879" s="82"/>
      <c r="C879" s="82"/>
      <c r="D879" s="82"/>
      <c r="E879" s="82"/>
      <c r="F879" s="82"/>
      <c r="G879" s="82"/>
    </row>
    <row r="880" ht="15.75" customHeight="1">
      <c r="A880" s="82"/>
      <c r="B880" s="82"/>
      <c r="C880" s="82"/>
      <c r="D880" s="82"/>
      <c r="E880" s="82"/>
      <c r="F880" s="82"/>
      <c r="G880" s="82"/>
    </row>
    <row r="881" ht="15.75" customHeight="1">
      <c r="A881" s="82"/>
      <c r="B881" s="82"/>
      <c r="C881" s="82"/>
      <c r="D881" s="82"/>
      <c r="E881" s="82"/>
      <c r="F881" s="82"/>
      <c r="G881" s="82"/>
    </row>
    <row r="882" ht="15.75" customHeight="1">
      <c r="A882" s="82"/>
      <c r="B882" s="82"/>
      <c r="C882" s="82"/>
      <c r="D882" s="82"/>
      <c r="E882" s="82"/>
      <c r="F882" s="82"/>
      <c r="G882" s="82"/>
    </row>
    <row r="883" ht="15.75" customHeight="1">
      <c r="A883" s="82"/>
      <c r="B883" s="82"/>
      <c r="C883" s="82"/>
      <c r="D883" s="82"/>
      <c r="E883" s="82"/>
      <c r="F883" s="82"/>
      <c r="G883" s="82"/>
    </row>
    <row r="884" ht="15.75" customHeight="1">
      <c r="A884" s="82"/>
      <c r="B884" s="82"/>
      <c r="C884" s="82"/>
      <c r="D884" s="82"/>
      <c r="E884" s="82"/>
      <c r="F884" s="82"/>
      <c r="G884" s="82"/>
    </row>
    <row r="885" ht="15.75" customHeight="1">
      <c r="A885" s="82"/>
      <c r="B885" s="82"/>
      <c r="C885" s="82"/>
      <c r="D885" s="82"/>
      <c r="E885" s="82"/>
      <c r="F885" s="82"/>
      <c r="G885" s="82"/>
    </row>
    <row r="886" ht="15.75" customHeight="1">
      <c r="A886" s="82"/>
      <c r="B886" s="82"/>
      <c r="C886" s="82"/>
      <c r="D886" s="82"/>
      <c r="E886" s="82"/>
      <c r="F886" s="82"/>
      <c r="G886" s="82"/>
    </row>
    <row r="887" ht="15.75" customHeight="1">
      <c r="A887" s="82"/>
      <c r="B887" s="82"/>
      <c r="C887" s="82"/>
      <c r="D887" s="82"/>
      <c r="E887" s="82"/>
      <c r="F887" s="82"/>
      <c r="G887" s="82"/>
    </row>
    <row r="888" ht="15.75" customHeight="1">
      <c r="A888" s="82"/>
      <c r="B888" s="82"/>
      <c r="C888" s="82"/>
      <c r="D888" s="82"/>
      <c r="E888" s="82"/>
      <c r="F888" s="82"/>
      <c r="G888" s="82"/>
    </row>
    <row r="889" ht="15.75" customHeight="1">
      <c r="A889" s="82"/>
      <c r="B889" s="82"/>
      <c r="C889" s="82"/>
      <c r="D889" s="82"/>
      <c r="E889" s="82"/>
      <c r="F889" s="82"/>
      <c r="G889" s="82"/>
    </row>
    <row r="890" ht="15.75" customHeight="1">
      <c r="A890" s="82"/>
      <c r="B890" s="82"/>
      <c r="C890" s="82"/>
      <c r="D890" s="82"/>
      <c r="E890" s="82"/>
      <c r="F890" s="82"/>
      <c r="G890" s="82"/>
    </row>
    <row r="891" ht="15.75" customHeight="1">
      <c r="A891" s="82"/>
      <c r="B891" s="82"/>
      <c r="C891" s="82"/>
      <c r="D891" s="82"/>
      <c r="E891" s="82"/>
      <c r="F891" s="82"/>
      <c r="G891" s="82"/>
    </row>
    <row r="892" ht="15.75" customHeight="1">
      <c r="A892" s="82"/>
      <c r="B892" s="82"/>
      <c r="C892" s="82"/>
      <c r="D892" s="82"/>
      <c r="E892" s="82"/>
      <c r="F892" s="82"/>
      <c r="G892" s="82"/>
    </row>
    <row r="893" ht="15.75" customHeight="1">
      <c r="A893" s="82"/>
      <c r="B893" s="82"/>
      <c r="C893" s="82"/>
      <c r="D893" s="82"/>
      <c r="E893" s="82"/>
      <c r="F893" s="82"/>
      <c r="G893" s="82"/>
    </row>
    <row r="894" ht="15.75" customHeight="1">
      <c r="A894" s="82"/>
      <c r="B894" s="82"/>
      <c r="C894" s="82"/>
      <c r="D894" s="82"/>
      <c r="E894" s="82"/>
      <c r="F894" s="82"/>
      <c r="G894" s="82"/>
    </row>
    <row r="895" ht="15.75" customHeight="1">
      <c r="A895" s="82"/>
      <c r="B895" s="82"/>
      <c r="C895" s="82"/>
      <c r="D895" s="82"/>
      <c r="E895" s="82"/>
      <c r="F895" s="82"/>
      <c r="G895" s="82"/>
    </row>
    <row r="896" ht="15.75" customHeight="1">
      <c r="A896" s="82"/>
      <c r="B896" s="82"/>
      <c r="C896" s="82"/>
      <c r="D896" s="82"/>
      <c r="E896" s="82"/>
      <c r="F896" s="82"/>
      <c r="G896" s="82"/>
    </row>
    <row r="897" ht="15.75" customHeight="1">
      <c r="A897" s="82"/>
      <c r="B897" s="82"/>
      <c r="C897" s="82"/>
      <c r="D897" s="82"/>
      <c r="E897" s="82"/>
      <c r="F897" s="82"/>
      <c r="G897" s="82"/>
    </row>
    <row r="898" ht="15.75" customHeight="1">
      <c r="A898" s="82"/>
      <c r="B898" s="82"/>
      <c r="C898" s="82"/>
      <c r="D898" s="82"/>
      <c r="E898" s="82"/>
      <c r="F898" s="82"/>
      <c r="G898" s="82"/>
    </row>
    <row r="899" ht="15.75" customHeight="1">
      <c r="A899" s="82"/>
      <c r="B899" s="82"/>
      <c r="C899" s="82"/>
      <c r="D899" s="82"/>
      <c r="E899" s="82"/>
      <c r="F899" s="82"/>
      <c r="G899" s="82"/>
    </row>
    <row r="900" ht="15.75" customHeight="1">
      <c r="A900" s="82"/>
      <c r="B900" s="82"/>
      <c r="C900" s="82"/>
      <c r="D900" s="82"/>
      <c r="E900" s="82"/>
      <c r="F900" s="82"/>
      <c r="G900" s="82"/>
    </row>
    <row r="901" ht="15.75" customHeight="1">
      <c r="A901" s="82"/>
      <c r="B901" s="82"/>
      <c r="C901" s="82"/>
      <c r="D901" s="82"/>
      <c r="E901" s="82"/>
      <c r="F901" s="82"/>
      <c r="G901" s="82"/>
    </row>
    <row r="902" ht="15.75" customHeight="1">
      <c r="A902" s="82"/>
      <c r="B902" s="82"/>
      <c r="C902" s="82"/>
      <c r="D902" s="82"/>
      <c r="E902" s="82"/>
      <c r="F902" s="82"/>
      <c r="G902" s="82"/>
    </row>
    <row r="903" ht="15.75" customHeight="1">
      <c r="A903" s="82"/>
      <c r="B903" s="82"/>
      <c r="C903" s="82"/>
      <c r="D903" s="82"/>
      <c r="E903" s="82"/>
      <c r="F903" s="82"/>
      <c r="G903" s="82"/>
    </row>
    <row r="904" ht="15.75" customHeight="1">
      <c r="A904" s="82"/>
      <c r="B904" s="82"/>
      <c r="C904" s="82"/>
      <c r="D904" s="82"/>
      <c r="E904" s="82"/>
      <c r="F904" s="82"/>
      <c r="G904" s="82"/>
    </row>
    <row r="905" ht="15.75" customHeight="1">
      <c r="A905" s="82"/>
      <c r="B905" s="82"/>
      <c r="C905" s="82"/>
      <c r="D905" s="82"/>
      <c r="E905" s="82"/>
      <c r="F905" s="82"/>
      <c r="G905" s="82"/>
    </row>
    <row r="906" ht="15.75" customHeight="1">
      <c r="A906" s="82"/>
      <c r="B906" s="82"/>
      <c r="C906" s="82"/>
      <c r="D906" s="82"/>
      <c r="E906" s="82"/>
      <c r="F906" s="82"/>
      <c r="G906" s="82"/>
    </row>
    <row r="907" ht="15.75" customHeight="1">
      <c r="A907" s="82"/>
      <c r="B907" s="82"/>
      <c r="C907" s="82"/>
      <c r="D907" s="82"/>
      <c r="E907" s="82"/>
      <c r="F907" s="82"/>
      <c r="G907" s="82"/>
    </row>
    <row r="908" ht="15.75" customHeight="1">
      <c r="A908" s="82"/>
      <c r="B908" s="82"/>
      <c r="C908" s="82"/>
      <c r="D908" s="82"/>
      <c r="E908" s="82"/>
      <c r="F908" s="82"/>
      <c r="G908" s="82"/>
    </row>
    <row r="909" ht="15.75" customHeight="1">
      <c r="A909" s="82"/>
      <c r="B909" s="82"/>
      <c r="C909" s="82"/>
      <c r="D909" s="82"/>
      <c r="E909" s="82"/>
      <c r="F909" s="82"/>
      <c r="G909" s="82"/>
    </row>
    <row r="910" ht="15.75" customHeight="1">
      <c r="A910" s="82"/>
      <c r="B910" s="82"/>
      <c r="C910" s="82"/>
      <c r="D910" s="82"/>
      <c r="E910" s="82"/>
      <c r="F910" s="82"/>
      <c r="G910" s="82"/>
    </row>
    <row r="911" ht="15.75" customHeight="1">
      <c r="A911" s="82"/>
      <c r="B911" s="82"/>
      <c r="C911" s="82"/>
      <c r="D911" s="82"/>
      <c r="E911" s="82"/>
      <c r="F911" s="82"/>
      <c r="G911" s="82"/>
    </row>
    <row r="912" ht="15.75" customHeight="1">
      <c r="A912" s="82"/>
      <c r="B912" s="82"/>
      <c r="C912" s="82"/>
      <c r="D912" s="82"/>
      <c r="E912" s="82"/>
      <c r="F912" s="82"/>
      <c r="G912" s="82"/>
    </row>
    <row r="913" ht="15.75" customHeight="1">
      <c r="A913" s="82"/>
      <c r="B913" s="82"/>
      <c r="C913" s="82"/>
      <c r="D913" s="82"/>
      <c r="E913" s="82"/>
      <c r="F913" s="82"/>
      <c r="G913" s="82"/>
    </row>
    <row r="914" ht="15.75" customHeight="1">
      <c r="A914" s="82"/>
      <c r="B914" s="82"/>
      <c r="C914" s="82"/>
      <c r="D914" s="82"/>
      <c r="E914" s="82"/>
      <c r="F914" s="82"/>
      <c r="G914" s="82"/>
    </row>
    <row r="915" ht="15.75" customHeight="1">
      <c r="A915" s="82"/>
      <c r="B915" s="82"/>
      <c r="C915" s="82"/>
      <c r="D915" s="82"/>
      <c r="E915" s="82"/>
      <c r="F915" s="82"/>
      <c r="G915" s="82"/>
    </row>
    <row r="916" ht="15.75" customHeight="1">
      <c r="A916" s="82"/>
      <c r="B916" s="82"/>
      <c r="C916" s="82"/>
      <c r="D916" s="82"/>
      <c r="E916" s="82"/>
      <c r="F916" s="82"/>
      <c r="G916" s="82"/>
    </row>
    <row r="917" ht="15.75" customHeight="1">
      <c r="A917" s="82"/>
      <c r="B917" s="82"/>
      <c r="C917" s="82"/>
      <c r="D917" s="82"/>
      <c r="E917" s="82"/>
      <c r="F917" s="82"/>
      <c r="G917" s="82"/>
    </row>
    <row r="918" ht="15.75" customHeight="1">
      <c r="A918" s="82"/>
      <c r="B918" s="82"/>
      <c r="C918" s="82"/>
      <c r="D918" s="82"/>
      <c r="E918" s="82"/>
      <c r="F918" s="82"/>
      <c r="G918" s="82"/>
    </row>
    <row r="919" ht="15.75" customHeight="1">
      <c r="A919" s="82"/>
      <c r="B919" s="82"/>
      <c r="C919" s="82"/>
      <c r="D919" s="82"/>
      <c r="E919" s="82"/>
      <c r="F919" s="82"/>
      <c r="G919" s="82"/>
    </row>
    <row r="920" ht="15.75" customHeight="1">
      <c r="A920" s="82"/>
      <c r="B920" s="82"/>
      <c r="C920" s="82"/>
      <c r="D920" s="82"/>
      <c r="E920" s="82"/>
      <c r="F920" s="82"/>
      <c r="G920" s="82"/>
    </row>
    <row r="921" ht="15.75" customHeight="1">
      <c r="A921" s="82"/>
      <c r="B921" s="82"/>
      <c r="C921" s="82"/>
      <c r="D921" s="82"/>
      <c r="E921" s="82"/>
      <c r="F921" s="82"/>
      <c r="G921" s="82"/>
    </row>
    <row r="922" ht="15.75" customHeight="1">
      <c r="A922" s="82"/>
      <c r="B922" s="82"/>
      <c r="C922" s="82"/>
      <c r="D922" s="82"/>
      <c r="E922" s="82"/>
      <c r="F922" s="82"/>
      <c r="G922" s="82"/>
    </row>
    <row r="923" ht="15.75" customHeight="1">
      <c r="A923" s="82"/>
      <c r="B923" s="82"/>
      <c r="C923" s="82"/>
      <c r="D923" s="82"/>
      <c r="E923" s="82"/>
      <c r="F923" s="82"/>
      <c r="G923" s="82"/>
    </row>
    <row r="924" ht="15.75" customHeight="1">
      <c r="A924" s="82"/>
      <c r="B924" s="82"/>
      <c r="C924" s="82"/>
      <c r="D924" s="82"/>
      <c r="E924" s="82"/>
      <c r="F924" s="82"/>
      <c r="G924" s="82"/>
    </row>
    <row r="925" ht="15.75" customHeight="1">
      <c r="A925" s="82"/>
      <c r="B925" s="82"/>
      <c r="C925" s="82"/>
      <c r="D925" s="82"/>
      <c r="E925" s="82"/>
      <c r="F925" s="82"/>
      <c r="G925" s="82"/>
    </row>
    <row r="926" ht="15.75" customHeight="1">
      <c r="A926" s="82"/>
      <c r="B926" s="82"/>
      <c r="C926" s="82"/>
      <c r="D926" s="82"/>
      <c r="E926" s="82"/>
      <c r="F926" s="82"/>
      <c r="G926" s="82"/>
    </row>
    <row r="927" ht="15.75" customHeight="1">
      <c r="A927" s="82"/>
      <c r="B927" s="82"/>
      <c r="C927" s="82"/>
      <c r="D927" s="82"/>
      <c r="E927" s="82"/>
      <c r="F927" s="82"/>
      <c r="G927" s="82"/>
    </row>
    <row r="928" ht="15.75" customHeight="1">
      <c r="A928" s="82"/>
      <c r="B928" s="82"/>
      <c r="C928" s="82"/>
      <c r="D928" s="82"/>
      <c r="E928" s="82"/>
      <c r="F928" s="82"/>
      <c r="G928" s="82"/>
    </row>
    <row r="929" ht="15.75" customHeight="1">
      <c r="A929" s="82"/>
      <c r="B929" s="82"/>
      <c r="C929" s="82"/>
      <c r="D929" s="82"/>
      <c r="E929" s="82"/>
      <c r="F929" s="82"/>
      <c r="G929" s="82"/>
    </row>
    <row r="930" ht="15.75" customHeight="1">
      <c r="A930" s="82"/>
      <c r="B930" s="82"/>
      <c r="C930" s="82"/>
      <c r="D930" s="82"/>
      <c r="E930" s="82"/>
      <c r="F930" s="82"/>
      <c r="G930" s="82"/>
    </row>
    <row r="931" ht="15.75" customHeight="1">
      <c r="A931" s="82"/>
      <c r="B931" s="82"/>
      <c r="C931" s="82"/>
      <c r="D931" s="82"/>
      <c r="E931" s="82"/>
      <c r="F931" s="82"/>
      <c r="G931" s="82"/>
    </row>
    <row r="932" ht="15.75" customHeight="1">
      <c r="A932" s="82"/>
      <c r="B932" s="82"/>
      <c r="C932" s="82"/>
      <c r="D932" s="82"/>
      <c r="E932" s="82"/>
      <c r="F932" s="82"/>
      <c r="G932" s="82"/>
    </row>
    <row r="933" ht="15.75" customHeight="1">
      <c r="A933" s="82"/>
      <c r="B933" s="82"/>
      <c r="C933" s="82"/>
      <c r="D933" s="82"/>
      <c r="E933" s="82"/>
      <c r="F933" s="82"/>
      <c r="G933" s="82"/>
    </row>
    <row r="934" ht="15.75" customHeight="1">
      <c r="A934" s="82"/>
      <c r="B934" s="82"/>
      <c r="C934" s="82"/>
      <c r="D934" s="82"/>
      <c r="E934" s="82"/>
      <c r="F934" s="82"/>
      <c r="G934" s="82"/>
    </row>
    <row r="935" ht="15.75" customHeight="1">
      <c r="A935" s="82"/>
      <c r="B935" s="82"/>
      <c r="C935" s="82"/>
      <c r="D935" s="82"/>
      <c r="E935" s="82"/>
      <c r="F935" s="82"/>
      <c r="G935" s="82"/>
    </row>
    <row r="936" ht="15.75" customHeight="1">
      <c r="A936" s="82"/>
      <c r="B936" s="82"/>
      <c r="C936" s="82"/>
      <c r="D936" s="82"/>
      <c r="E936" s="82"/>
      <c r="F936" s="82"/>
      <c r="G936" s="82"/>
    </row>
    <row r="937" ht="15.75" customHeight="1">
      <c r="A937" s="82"/>
      <c r="B937" s="82"/>
      <c r="C937" s="82"/>
      <c r="D937" s="82"/>
      <c r="E937" s="82"/>
      <c r="F937" s="82"/>
      <c r="G937" s="82"/>
    </row>
    <row r="938" ht="15.75" customHeight="1">
      <c r="A938" s="82"/>
      <c r="B938" s="82"/>
      <c r="C938" s="82"/>
      <c r="D938" s="82"/>
      <c r="E938" s="82"/>
      <c r="F938" s="82"/>
      <c r="G938" s="82"/>
    </row>
    <row r="939" ht="15.75" customHeight="1">
      <c r="A939" s="82"/>
      <c r="B939" s="82"/>
      <c r="C939" s="82"/>
      <c r="D939" s="82"/>
      <c r="E939" s="82"/>
      <c r="F939" s="82"/>
      <c r="G939" s="82"/>
    </row>
    <row r="940" ht="15.75" customHeight="1">
      <c r="A940" s="82"/>
      <c r="B940" s="82"/>
      <c r="C940" s="82"/>
      <c r="D940" s="82"/>
      <c r="E940" s="82"/>
      <c r="F940" s="82"/>
      <c r="G940" s="82"/>
    </row>
    <row r="941" ht="15.75" customHeight="1">
      <c r="A941" s="82"/>
      <c r="B941" s="82"/>
      <c r="C941" s="82"/>
      <c r="D941" s="82"/>
      <c r="E941" s="82"/>
      <c r="F941" s="82"/>
      <c r="G941" s="82"/>
    </row>
    <row r="942" ht="15.75" customHeight="1">
      <c r="A942" s="82"/>
      <c r="B942" s="82"/>
      <c r="C942" s="82"/>
      <c r="D942" s="82"/>
      <c r="E942" s="82"/>
      <c r="F942" s="82"/>
      <c r="G942" s="82"/>
    </row>
    <row r="943" ht="15.75" customHeight="1">
      <c r="A943" s="82"/>
      <c r="B943" s="82"/>
      <c r="C943" s="82"/>
      <c r="D943" s="82"/>
      <c r="E943" s="82"/>
      <c r="F943" s="82"/>
      <c r="G943" s="82"/>
    </row>
    <row r="944" ht="15.75" customHeight="1">
      <c r="A944" s="82"/>
      <c r="B944" s="82"/>
      <c r="C944" s="82"/>
      <c r="D944" s="82"/>
      <c r="E944" s="82"/>
      <c r="F944" s="82"/>
      <c r="G944" s="82"/>
    </row>
    <row r="945" ht="15.75" customHeight="1">
      <c r="A945" s="82"/>
      <c r="B945" s="82"/>
      <c r="C945" s="82"/>
      <c r="D945" s="82"/>
      <c r="E945" s="82"/>
      <c r="F945" s="82"/>
      <c r="G945" s="82"/>
    </row>
    <row r="946" ht="15.75" customHeight="1">
      <c r="A946" s="82"/>
      <c r="B946" s="82"/>
      <c r="C946" s="82"/>
      <c r="D946" s="82"/>
      <c r="E946" s="82"/>
      <c r="F946" s="82"/>
      <c r="G946" s="82"/>
    </row>
    <row r="947" ht="15.75" customHeight="1">
      <c r="A947" s="82"/>
      <c r="B947" s="82"/>
      <c r="C947" s="82"/>
      <c r="D947" s="82"/>
      <c r="E947" s="82"/>
      <c r="F947" s="82"/>
      <c r="G947" s="82"/>
    </row>
    <row r="948" ht="15.75" customHeight="1">
      <c r="A948" s="82"/>
      <c r="B948" s="82"/>
      <c r="C948" s="82"/>
      <c r="D948" s="82"/>
      <c r="E948" s="82"/>
      <c r="F948" s="82"/>
      <c r="G948" s="82"/>
    </row>
    <row r="949" ht="15.75" customHeight="1">
      <c r="A949" s="82"/>
      <c r="B949" s="82"/>
      <c r="C949" s="82"/>
      <c r="D949" s="82"/>
      <c r="E949" s="82"/>
      <c r="F949" s="82"/>
      <c r="G949" s="82"/>
    </row>
    <row r="950" ht="15.75" customHeight="1">
      <c r="A950" s="82"/>
      <c r="B950" s="82"/>
      <c r="C950" s="82"/>
      <c r="D950" s="82"/>
      <c r="E950" s="82"/>
      <c r="F950" s="82"/>
      <c r="G950" s="82"/>
    </row>
    <row r="951" ht="15.75" customHeight="1">
      <c r="A951" s="82"/>
      <c r="B951" s="82"/>
      <c r="C951" s="82"/>
      <c r="D951" s="82"/>
      <c r="E951" s="82"/>
      <c r="F951" s="82"/>
      <c r="G951" s="82"/>
    </row>
    <row r="952" ht="15.75" customHeight="1">
      <c r="A952" s="82"/>
      <c r="B952" s="82"/>
      <c r="C952" s="82"/>
      <c r="D952" s="82"/>
      <c r="E952" s="82"/>
      <c r="F952" s="82"/>
      <c r="G952" s="82"/>
    </row>
    <row r="953" ht="15.75" customHeight="1">
      <c r="A953" s="82"/>
      <c r="B953" s="82"/>
      <c r="C953" s="82"/>
      <c r="D953" s="82"/>
      <c r="E953" s="82"/>
      <c r="F953" s="82"/>
      <c r="G953" s="82"/>
    </row>
    <row r="954" ht="15.75" customHeight="1">
      <c r="A954" s="82"/>
      <c r="B954" s="82"/>
      <c r="C954" s="82"/>
      <c r="D954" s="82"/>
      <c r="E954" s="82"/>
      <c r="F954" s="82"/>
      <c r="G954" s="82"/>
    </row>
    <row r="955" ht="15.75" customHeight="1">
      <c r="A955" s="82"/>
      <c r="B955" s="82"/>
      <c r="C955" s="82"/>
      <c r="D955" s="82"/>
      <c r="E955" s="82"/>
      <c r="F955" s="82"/>
      <c r="G955" s="82"/>
    </row>
    <row r="956" ht="15.75" customHeight="1">
      <c r="A956" s="82"/>
      <c r="B956" s="82"/>
      <c r="C956" s="82"/>
      <c r="D956" s="82"/>
      <c r="E956" s="82"/>
      <c r="F956" s="82"/>
      <c r="G956" s="82"/>
    </row>
    <row r="957" ht="15.75" customHeight="1">
      <c r="A957" s="82"/>
      <c r="B957" s="82"/>
      <c r="C957" s="82"/>
      <c r="D957" s="82"/>
      <c r="E957" s="82"/>
      <c r="F957" s="82"/>
      <c r="G957" s="82"/>
    </row>
    <row r="958" ht="15.75" customHeight="1">
      <c r="A958" s="82"/>
      <c r="B958" s="82"/>
      <c r="C958" s="82"/>
      <c r="D958" s="82"/>
      <c r="E958" s="82"/>
      <c r="F958" s="82"/>
      <c r="G958" s="82"/>
    </row>
    <row r="959" ht="15.75" customHeight="1">
      <c r="A959" s="82"/>
      <c r="B959" s="82"/>
      <c r="C959" s="82"/>
      <c r="D959" s="82"/>
      <c r="E959" s="82"/>
      <c r="F959" s="82"/>
      <c r="G959" s="82"/>
    </row>
    <row r="960" ht="15.75" customHeight="1">
      <c r="A960" s="82"/>
      <c r="B960" s="82"/>
      <c r="C960" s="82"/>
      <c r="D960" s="82"/>
      <c r="E960" s="82"/>
      <c r="F960" s="82"/>
      <c r="G960" s="82"/>
    </row>
    <row r="961" ht="15.75" customHeight="1">
      <c r="A961" s="82"/>
      <c r="B961" s="82"/>
      <c r="C961" s="82"/>
      <c r="D961" s="82"/>
      <c r="E961" s="82"/>
      <c r="F961" s="82"/>
      <c r="G961" s="82"/>
    </row>
    <row r="962" ht="15.75" customHeight="1">
      <c r="A962" s="82"/>
      <c r="B962" s="82"/>
      <c r="C962" s="82"/>
      <c r="D962" s="82"/>
      <c r="E962" s="82"/>
      <c r="F962" s="82"/>
      <c r="G962" s="82"/>
    </row>
    <row r="963" ht="15.75" customHeight="1">
      <c r="A963" s="82"/>
      <c r="B963" s="82"/>
      <c r="C963" s="82"/>
      <c r="D963" s="82"/>
      <c r="E963" s="82"/>
      <c r="F963" s="82"/>
      <c r="G963" s="82"/>
    </row>
    <row r="964" ht="15.75" customHeight="1">
      <c r="A964" s="82"/>
      <c r="B964" s="82"/>
      <c r="C964" s="82"/>
      <c r="D964" s="82"/>
      <c r="E964" s="82"/>
      <c r="F964" s="82"/>
      <c r="G964" s="82"/>
    </row>
    <row r="965" ht="15.75" customHeight="1">
      <c r="A965" s="82"/>
      <c r="B965" s="82"/>
      <c r="C965" s="82"/>
      <c r="D965" s="82"/>
      <c r="E965" s="82"/>
      <c r="F965" s="82"/>
      <c r="G965" s="82"/>
    </row>
    <row r="966" ht="15.75" customHeight="1">
      <c r="A966" s="82"/>
      <c r="B966" s="82"/>
      <c r="C966" s="82"/>
      <c r="D966" s="82"/>
      <c r="E966" s="82"/>
      <c r="F966" s="82"/>
      <c r="G966" s="82"/>
    </row>
    <row r="967" ht="15.75" customHeight="1">
      <c r="A967" s="82"/>
      <c r="B967" s="82"/>
      <c r="C967" s="82"/>
      <c r="D967" s="82"/>
      <c r="E967" s="82"/>
      <c r="F967" s="82"/>
      <c r="G967" s="82"/>
    </row>
    <row r="968" ht="15.75" customHeight="1">
      <c r="A968" s="82"/>
      <c r="B968" s="82"/>
      <c r="C968" s="82"/>
      <c r="D968" s="82"/>
      <c r="E968" s="82"/>
      <c r="F968" s="82"/>
      <c r="G968" s="82"/>
    </row>
    <row r="969" ht="15.75" customHeight="1">
      <c r="A969" s="82"/>
      <c r="B969" s="82"/>
      <c r="C969" s="82"/>
      <c r="D969" s="82"/>
      <c r="E969" s="82"/>
      <c r="F969" s="82"/>
      <c r="G969" s="82"/>
    </row>
    <row r="970" ht="15.75" customHeight="1">
      <c r="A970" s="82"/>
      <c r="B970" s="82"/>
      <c r="C970" s="82"/>
      <c r="D970" s="82"/>
      <c r="E970" s="82"/>
      <c r="F970" s="82"/>
      <c r="G970" s="82"/>
    </row>
    <row r="971" ht="15.75" customHeight="1">
      <c r="A971" s="82"/>
      <c r="B971" s="82"/>
      <c r="C971" s="82"/>
      <c r="D971" s="82"/>
      <c r="E971" s="82"/>
      <c r="F971" s="82"/>
      <c r="G971" s="82"/>
    </row>
    <row r="972" ht="15.75" customHeight="1">
      <c r="A972" s="82"/>
      <c r="B972" s="82"/>
      <c r="C972" s="82"/>
      <c r="D972" s="82"/>
      <c r="E972" s="82"/>
      <c r="F972" s="82"/>
      <c r="G972" s="82"/>
    </row>
    <row r="973" ht="15.75" customHeight="1">
      <c r="A973" s="82"/>
      <c r="B973" s="82"/>
      <c r="C973" s="82"/>
      <c r="D973" s="82"/>
      <c r="E973" s="82"/>
      <c r="F973" s="82"/>
      <c r="G973" s="82"/>
    </row>
    <row r="974" ht="15.75" customHeight="1">
      <c r="A974" s="82"/>
      <c r="B974" s="82"/>
      <c r="C974" s="82"/>
      <c r="D974" s="82"/>
      <c r="E974" s="82"/>
      <c r="F974" s="82"/>
      <c r="G974" s="82"/>
    </row>
    <row r="975" ht="15.75" customHeight="1">
      <c r="A975" s="82"/>
      <c r="B975" s="82"/>
      <c r="C975" s="82"/>
      <c r="D975" s="82"/>
      <c r="E975" s="82"/>
      <c r="F975" s="82"/>
      <c r="G975" s="82"/>
    </row>
    <row r="976" ht="15.75" customHeight="1">
      <c r="A976" s="82"/>
      <c r="B976" s="82"/>
      <c r="C976" s="82"/>
      <c r="D976" s="82"/>
      <c r="E976" s="82"/>
      <c r="F976" s="82"/>
      <c r="G976" s="82"/>
    </row>
    <row r="977" ht="15.75" customHeight="1">
      <c r="A977" s="82"/>
      <c r="B977" s="82"/>
      <c r="C977" s="82"/>
      <c r="D977" s="82"/>
      <c r="E977" s="82"/>
      <c r="F977" s="82"/>
      <c r="G977" s="82"/>
    </row>
    <row r="978" ht="15.75" customHeight="1">
      <c r="A978" s="82"/>
      <c r="B978" s="82"/>
      <c r="C978" s="82"/>
      <c r="D978" s="82"/>
      <c r="E978" s="82"/>
      <c r="F978" s="82"/>
      <c r="G978" s="82"/>
    </row>
    <row r="979" ht="15.75" customHeight="1">
      <c r="A979" s="82"/>
      <c r="B979" s="82"/>
      <c r="C979" s="82"/>
      <c r="D979" s="82"/>
      <c r="E979" s="82"/>
      <c r="F979" s="82"/>
      <c r="G979" s="82"/>
    </row>
    <row r="980" ht="15.75" customHeight="1">
      <c r="A980" s="82"/>
      <c r="B980" s="82"/>
      <c r="C980" s="82"/>
      <c r="D980" s="82"/>
      <c r="E980" s="82"/>
      <c r="F980" s="82"/>
      <c r="G980" s="82"/>
    </row>
    <row r="981" ht="15.75" customHeight="1">
      <c r="A981" s="82"/>
      <c r="B981" s="82"/>
      <c r="C981" s="82"/>
      <c r="D981" s="82"/>
      <c r="E981" s="82"/>
      <c r="F981" s="82"/>
      <c r="G981" s="82"/>
    </row>
    <row r="982" ht="15.75" customHeight="1">
      <c r="A982" s="82"/>
      <c r="B982" s="82"/>
      <c r="C982" s="82"/>
      <c r="D982" s="82"/>
      <c r="E982" s="82"/>
      <c r="F982" s="82"/>
      <c r="G982" s="82"/>
    </row>
    <row r="983" ht="15.75" customHeight="1">
      <c r="A983" s="82"/>
      <c r="B983" s="82"/>
      <c r="C983" s="82"/>
      <c r="D983" s="82"/>
      <c r="E983" s="82"/>
      <c r="F983" s="82"/>
      <c r="G983" s="82"/>
    </row>
    <row r="984" ht="15.75" customHeight="1">
      <c r="A984" s="82"/>
      <c r="B984" s="82"/>
      <c r="C984" s="82"/>
      <c r="D984" s="82"/>
      <c r="E984" s="82"/>
      <c r="F984" s="82"/>
      <c r="G984" s="82"/>
    </row>
    <row r="985" ht="15.75" customHeight="1">
      <c r="A985" s="82"/>
      <c r="B985" s="82"/>
      <c r="C985" s="82"/>
      <c r="D985" s="82"/>
      <c r="E985" s="82"/>
      <c r="F985" s="82"/>
      <c r="G985" s="82"/>
    </row>
    <row r="986" ht="15.75" customHeight="1">
      <c r="A986" s="82"/>
      <c r="B986" s="82"/>
      <c r="C986" s="82"/>
      <c r="D986" s="82"/>
      <c r="E986" s="82"/>
      <c r="F986" s="82"/>
      <c r="G986" s="82"/>
    </row>
    <row r="987" ht="15.75" customHeight="1">
      <c r="A987" s="82"/>
      <c r="B987" s="82"/>
      <c r="C987" s="82"/>
      <c r="D987" s="82"/>
      <c r="E987" s="82"/>
      <c r="F987" s="82"/>
      <c r="G987" s="82"/>
    </row>
    <row r="988" ht="15.75" customHeight="1">
      <c r="A988" s="82"/>
      <c r="B988" s="82"/>
      <c r="C988" s="82"/>
      <c r="D988" s="82"/>
      <c r="E988" s="82"/>
      <c r="F988" s="82"/>
      <c r="G988" s="82"/>
    </row>
    <row r="989" ht="15.75" customHeight="1">
      <c r="A989" s="82"/>
      <c r="B989" s="82"/>
      <c r="C989" s="82"/>
      <c r="D989" s="82"/>
      <c r="E989" s="82"/>
      <c r="F989" s="82"/>
      <c r="G989" s="82"/>
    </row>
    <row r="990" ht="15.75" customHeight="1">
      <c r="A990" s="82"/>
      <c r="B990" s="82"/>
      <c r="C990" s="82"/>
      <c r="D990" s="82"/>
      <c r="E990" s="82"/>
      <c r="F990" s="82"/>
      <c r="G990" s="82"/>
    </row>
    <row r="991" ht="15.75" customHeight="1">
      <c r="A991" s="82"/>
      <c r="B991" s="82"/>
      <c r="C991" s="82"/>
      <c r="D991" s="82"/>
      <c r="E991" s="82"/>
      <c r="F991" s="82"/>
      <c r="G991" s="82"/>
    </row>
    <row r="992" ht="15.75" customHeight="1">
      <c r="A992" s="82"/>
      <c r="B992" s="82"/>
      <c r="C992" s="82"/>
      <c r="D992" s="82"/>
      <c r="E992" s="82"/>
      <c r="F992" s="82"/>
      <c r="G992" s="82"/>
    </row>
    <row r="993" ht="15.75" customHeight="1">
      <c r="A993" s="82"/>
      <c r="B993" s="82"/>
      <c r="C993" s="82"/>
      <c r="D993" s="82"/>
      <c r="E993" s="82"/>
      <c r="F993" s="82"/>
      <c r="G993" s="82"/>
    </row>
    <row r="994" ht="15.75" customHeight="1">
      <c r="A994" s="82"/>
      <c r="B994" s="82"/>
      <c r="C994" s="82"/>
      <c r="D994" s="82"/>
      <c r="E994" s="82"/>
      <c r="F994" s="82"/>
      <c r="G994" s="82"/>
    </row>
    <row r="995" ht="15.75" customHeight="1">
      <c r="A995" s="82"/>
      <c r="B995" s="82"/>
      <c r="C995" s="82"/>
      <c r="D995" s="82"/>
      <c r="E995" s="82"/>
      <c r="F995" s="82"/>
      <c r="G995" s="82"/>
    </row>
    <row r="996" ht="15.75" customHeight="1">
      <c r="A996" s="82"/>
      <c r="B996" s="82"/>
      <c r="C996" s="82"/>
      <c r="D996" s="82"/>
      <c r="E996" s="82"/>
      <c r="F996" s="82"/>
      <c r="G996" s="82"/>
    </row>
    <row r="997" ht="15.75" customHeight="1">
      <c r="A997" s="82"/>
      <c r="B997" s="82"/>
      <c r="C997" s="82"/>
      <c r="D997" s="82"/>
      <c r="E997" s="82"/>
      <c r="F997" s="82"/>
      <c r="G997" s="82"/>
    </row>
    <row r="998" ht="15.75" customHeight="1">
      <c r="A998" s="82"/>
      <c r="B998" s="82"/>
      <c r="C998" s="82"/>
      <c r="D998" s="82"/>
      <c r="E998" s="82"/>
      <c r="F998" s="82"/>
      <c r="G998" s="82"/>
    </row>
    <row r="999" ht="15.75" customHeight="1">
      <c r="A999" s="82"/>
      <c r="B999" s="82"/>
      <c r="C999" s="82"/>
      <c r="D999" s="82"/>
      <c r="E999" s="82"/>
      <c r="F999" s="82"/>
      <c r="G999" s="82"/>
    </row>
    <row r="1000" ht="15.75" customHeight="1">
      <c r="A1000" s="82"/>
      <c r="B1000" s="82"/>
      <c r="C1000" s="82"/>
      <c r="D1000" s="82"/>
      <c r="E1000" s="82"/>
      <c r="F1000" s="82"/>
      <c r="G1000" s="82"/>
    </row>
  </sheetData>
  <conditionalFormatting sqref="D2:D1000">
    <cfRule type="expression" dxfId="1" priority="1">
      <formula>D:D&gt;=10</formula>
    </cfRule>
  </conditionalFormatting>
  <conditionalFormatting sqref="D2:D1000">
    <cfRule type="expression" dxfId="8" priority="2">
      <formula>D:D&gt;=5</formula>
    </cfRule>
  </conditionalFormatting>
  <conditionalFormatting sqref="D2:D1000">
    <cfRule type="expression" dxfId="17" priority="3">
      <formula>D:D&gt;=1</formula>
    </cfRule>
  </conditionalFormatting>
  <conditionalFormatting sqref="F2:F1000">
    <cfRule type="expression" dxfId="1" priority="4">
      <formula>F:F&gt;50000</formula>
    </cfRule>
  </conditionalFormatting>
  <conditionalFormatting sqref="F2:F1000">
    <cfRule type="expression" dxfId="0" priority="5">
      <formula>F:F&gt;20000</formula>
    </cfRule>
  </conditionalFormatting>
  <conditionalFormatting sqref="F2:F1000">
    <cfRule type="expression" dxfId="17" priority="6">
      <formula>F:F&gt;10000</formula>
    </cfRule>
  </conditionalFormatting>
  <conditionalFormatting sqref="F2">
    <cfRule type="expression" dxfId="0" priority="7">
      <formula>F:F&gt;20000</formula>
    </cfRule>
  </conditionalFormatting>
  <conditionalFormatting sqref="F2">
    <cfRule type="expression" dxfId="18" priority="8">
      <formula>F:F&gt;10000</formula>
    </cfRule>
  </conditionalFormatting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6.13"/>
    <col customWidth="1" min="2" max="2" width="13.5"/>
    <col customWidth="1" min="3" max="3" width="20.0"/>
    <col customWidth="1" min="4" max="4" width="37.63"/>
    <col customWidth="1" min="5" max="6" width="12.63"/>
  </cols>
  <sheetData>
    <row r="1" ht="15.75" customHeight="1">
      <c r="A1" s="214" t="s">
        <v>2280</v>
      </c>
      <c r="B1" s="145"/>
      <c r="C1" s="145"/>
      <c r="D1" s="146"/>
    </row>
    <row r="2" ht="15.75" customHeight="1">
      <c r="A2" s="215" t="s">
        <v>2281</v>
      </c>
      <c r="B2" s="216" t="s">
        <v>2282</v>
      </c>
      <c r="C2" s="216" t="s">
        <v>2283</v>
      </c>
      <c r="D2" s="216" t="s">
        <v>2284</v>
      </c>
    </row>
    <row r="3" ht="15.75" customHeight="1">
      <c r="A3" s="217">
        <v>1.0</v>
      </c>
      <c r="B3" s="218" t="s">
        <v>2285</v>
      </c>
      <c r="C3" s="218" t="s">
        <v>2286</v>
      </c>
      <c r="D3" s="218" t="s">
        <v>2287</v>
      </c>
    </row>
    <row r="4" ht="15.75" customHeight="1">
      <c r="A4" s="217">
        <v>2.0</v>
      </c>
      <c r="B4" s="218" t="s">
        <v>2288</v>
      </c>
      <c r="C4" s="218" t="s">
        <v>2289</v>
      </c>
      <c r="D4" s="218" t="s">
        <v>2290</v>
      </c>
    </row>
    <row r="5" ht="15.75" customHeight="1">
      <c r="A5" s="217">
        <v>3.0</v>
      </c>
      <c r="B5" s="218" t="s">
        <v>2291</v>
      </c>
      <c r="C5" s="218" t="s">
        <v>2292</v>
      </c>
      <c r="D5" s="218" t="s">
        <v>2293</v>
      </c>
    </row>
    <row r="6" ht="15.75" customHeight="1">
      <c r="A6" s="217">
        <v>4.0</v>
      </c>
      <c r="B6" s="218" t="s">
        <v>2294</v>
      </c>
      <c r="C6" s="218" t="s">
        <v>2295</v>
      </c>
      <c r="D6" s="218" t="s">
        <v>2296</v>
      </c>
    </row>
    <row r="7" ht="15.75" customHeight="1">
      <c r="A7" s="217">
        <v>5.0</v>
      </c>
      <c r="B7" s="218" t="s">
        <v>2297</v>
      </c>
      <c r="C7" s="218" t="s">
        <v>2298</v>
      </c>
      <c r="D7" s="218" t="s">
        <v>2299</v>
      </c>
    </row>
    <row r="8" ht="15.75" customHeight="1">
      <c r="A8" s="217">
        <v>6.0</v>
      </c>
      <c r="B8" s="218" t="s">
        <v>2300</v>
      </c>
      <c r="C8" s="218" t="s">
        <v>2301</v>
      </c>
      <c r="D8" s="218" t="s">
        <v>2302</v>
      </c>
    </row>
    <row r="9" ht="15.75" customHeight="1">
      <c r="A9" s="217">
        <v>10.0</v>
      </c>
      <c r="B9" s="218" t="s">
        <v>2303</v>
      </c>
      <c r="C9" s="218" t="s">
        <v>2304</v>
      </c>
      <c r="D9" s="218" t="s">
        <v>2305</v>
      </c>
    </row>
    <row r="10" ht="15.75" customHeight="1">
      <c r="A10" s="219">
        <v>11.0</v>
      </c>
      <c r="B10" s="220">
        <v>0.1</v>
      </c>
      <c r="C10" s="221" t="s">
        <v>2306</v>
      </c>
      <c r="D10" s="221" t="s">
        <v>2307</v>
      </c>
    </row>
    <row r="11" ht="15.75" customHeight="1">
      <c r="A11" s="219">
        <v>12.0</v>
      </c>
      <c r="B11" s="220">
        <v>0.15</v>
      </c>
      <c r="C11" s="221" t="s">
        <v>2306</v>
      </c>
      <c r="D11" s="221" t="s">
        <v>2308</v>
      </c>
    </row>
    <row r="12" ht="15.75" customHeight="1">
      <c r="A12" s="219">
        <v>13.0</v>
      </c>
      <c r="B12" s="220">
        <v>0.2</v>
      </c>
      <c r="C12" s="221" t="s">
        <v>2306</v>
      </c>
      <c r="D12" s="221" t="s">
        <v>2309</v>
      </c>
    </row>
    <row r="13" ht="15.75" customHeight="1">
      <c r="A13" s="219">
        <v>14.0</v>
      </c>
      <c r="B13" s="220">
        <v>0.25</v>
      </c>
      <c r="C13" s="221" t="s">
        <v>2306</v>
      </c>
      <c r="D13" s="218" t="s">
        <v>2305</v>
      </c>
    </row>
    <row r="14" ht="15.75" customHeight="1">
      <c r="A14" s="82"/>
      <c r="B14" s="82"/>
      <c r="C14" s="82"/>
      <c r="D14" s="82"/>
    </row>
    <row r="15" ht="15.75" customHeight="1">
      <c r="A15" s="82"/>
      <c r="B15" s="82"/>
      <c r="C15" s="82"/>
      <c r="D15" s="82"/>
    </row>
    <row r="16" ht="15.75" customHeight="1">
      <c r="A16" s="222" t="s">
        <v>2310</v>
      </c>
      <c r="B16" s="145"/>
      <c r="C16" s="145"/>
      <c r="D16" s="146"/>
    </row>
    <row r="17" ht="15.75" customHeight="1">
      <c r="A17" s="223" t="s">
        <v>2311</v>
      </c>
      <c r="B17" s="224" t="s">
        <v>2282</v>
      </c>
      <c r="C17" s="224" t="s">
        <v>2283</v>
      </c>
      <c r="D17" s="224" t="s">
        <v>2284</v>
      </c>
    </row>
    <row r="18" ht="15.75" customHeight="1">
      <c r="A18" s="219" t="s">
        <v>2312</v>
      </c>
      <c r="B18" s="221" t="s">
        <v>2313</v>
      </c>
      <c r="C18" s="221" t="s">
        <v>2314</v>
      </c>
      <c r="D18" s="221" t="s">
        <v>2315</v>
      </c>
    </row>
    <row r="19" ht="15.75" customHeight="1">
      <c r="A19" s="82"/>
      <c r="B19" s="82"/>
      <c r="C19" s="82"/>
      <c r="D19" s="82"/>
    </row>
    <row r="20" ht="15.75" customHeight="1">
      <c r="A20" s="199"/>
      <c r="B20" s="199"/>
      <c r="C20" s="199"/>
      <c r="D20" s="199"/>
    </row>
    <row r="21" ht="15.75" customHeight="1">
      <c r="A21" s="225" t="s">
        <v>2316</v>
      </c>
      <c r="B21" s="145"/>
      <c r="C21" s="145"/>
      <c r="D21" s="146"/>
    </row>
    <row r="22" ht="15.75" customHeight="1">
      <c r="A22" s="226" t="s">
        <v>2317</v>
      </c>
      <c r="B22" s="227" t="s">
        <v>2282</v>
      </c>
      <c r="C22" s="227" t="s">
        <v>2283</v>
      </c>
      <c r="D22" s="227" t="s">
        <v>2284</v>
      </c>
    </row>
    <row r="23" ht="15.75" customHeight="1">
      <c r="A23" s="228">
        <v>0.0</v>
      </c>
      <c r="B23" s="229" t="s">
        <v>2318</v>
      </c>
      <c r="C23" s="229" t="s">
        <v>2319</v>
      </c>
      <c r="D23" s="229" t="s">
        <v>2320</v>
      </c>
    </row>
    <row r="24" ht="15.75" customHeight="1">
      <c r="A24" s="230">
        <v>1.0</v>
      </c>
      <c r="B24" s="229" t="s">
        <v>2321</v>
      </c>
      <c r="C24" s="229" t="s">
        <v>2322</v>
      </c>
      <c r="D24" s="229" t="s">
        <v>2323</v>
      </c>
    </row>
    <row r="25" ht="15.75" customHeight="1">
      <c r="A25" s="82"/>
      <c r="B25" s="82"/>
      <c r="C25" s="82"/>
      <c r="D25" s="82"/>
    </row>
    <row r="26" ht="15.75" customHeight="1">
      <c r="A26" s="231" t="s">
        <v>2324</v>
      </c>
      <c r="B26" s="145"/>
      <c r="C26" s="146"/>
      <c r="D26" s="82"/>
    </row>
    <row r="27" ht="15.75" customHeight="1">
      <c r="A27" s="232" t="s">
        <v>2325</v>
      </c>
      <c r="C27" s="233"/>
      <c r="D27" s="82"/>
    </row>
    <row r="28" ht="15.75" customHeight="1">
      <c r="A28" s="234" t="s">
        <v>2326</v>
      </c>
      <c r="C28" s="233"/>
      <c r="D28" s="82"/>
    </row>
    <row r="29" ht="15.75" customHeight="1">
      <c r="A29" s="235" t="s">
        <v>2327</v>
      </c>
      <c r="B29" s="145"/>
      <c r="C29" s="146"/>
      <c r="D29" s="82"/>
    </row>
    <row r="30" ht="15.75" customHeight="1">
      <c r="A30" s="236" t="s">
        <v>2328</v>
      </c>
      <c r="B30" s="236" t="s">
        <v>2329</v>
      </c>
      <c r="C30" s="236" t="s">
        <v>2330</v>
      </c>
      <c r="D30" s="82"/>
    </row>
    <row r="31" ht="15.75" customHeight="1">
      <c r="A31" s="236">
        <v>1.0</v>
      </c>
      <c r="B31" s="236" t="s">
        <v>2285</v>
      </c>
      <c r="C31" s="237">
        <v>0.5</v>
      </c>
      <c r="D31" s="82"/>
    </row>
    <row r="32" ht="15.75" customHeight="1">
      <c r="A32" s="236">
        <v>2.0</v>
      </c>
      <c r="B32" s="236" t="s">
        <v>2288</v>
      </c>
      <c r="C32" s="236" t="s">
        <v>2331</v>
      </c>
      <c r="D32" s="82"/>
    </row>
    <row r="33" ht="15.75" customHeight="1">
      <c r="A33" s="236">
        <v>3.0</v>
      </c>
      <c r="B33" s="236" t="s">
        <v>2291</v>
      </c>
      <c r="C33" s="237">
        <v>0.75</v>
      </c>
      <c r="D33" s="82"/>
    </row>
    <row r="34" ht="15.75" customHeight="1">
      <c r="A34" s="236">
        <v>4.0</v>
      </c>
      <c r="B34" s="236" t="s">
        <v>2294</v>
      </c>
      <c r="C34" s="237">
        <v>0.8</v>
      </c>
      <c r="D34" s="82"/>
    </row>
    <row r="35" ht="15.75" customHeight="1">
      <c r="A35" s="236">
        <v>5.0</v>
      </c>
      <c r="B35" s="236" t="s">
        <v>2297</v>
      </c>
      <c r="C35" s="236" t="s">
        <v>2332</v>
      </c>
      <c r="D35" s="82"/>
    </row>
    <row r="36" ht="15.75" customHeight="1">
      <c r="A36" s="236">
        <v>6.0</v>
      </c>
      <c r="B36" s="236" t="s">
        <v>2300</v>
      </c>
      <c r="C36" s="236" t="s">
        <v>2333</v>
      </c>
      <c r="D36" s="82"/>
    </row>
    <row r="37" ht="15.75" customHeight="1">
      <c r="A37" s="236">
        <v>10.0</v>
      </c>
      <c r="B37" s="236" t="s">
        <v>2334</v>
      </c>
      <c r="C37" s="236" t="s">
        <v>2335</v>
      </c>
      <c r="D37" s="82"/>
    </row>
    <row r="38" ht="15.75" customHeight="1">
      <c r="A38" s="236">
        <v>11.0</v>
      </c>
      <c r="B38" s="236">
        <v>10.0</v>
      </c>
      <c r="C38" s="236" t="s">
        <v>2336</v>
      </c>
      <c r="D38" s="82"/>
    </row>
    <row r="39" ht="15.75" customHeight="1">
      <c r="A39" s="236">
        <v>12.0</v>
      </c>
      <c r="B39" s="236">
        <v>15.0</v>
      </c>
      <c r="C39" s="236" t="s">
        <v>2337</v>
      </c>
      <c r="D39" s="82"/>
    </row>
    <row r="40" ht="15.75" customHeight="1">
      <c r="A40" s="236">
        <v>13.0</v>
      </c>
      <c r="B40" s="236">
        <v>20.0</v>
      </c>
      <c r="C40" s="236" t="s">
        <v>2338</v>
      </c>
      <c r="D40" s="82"/>
    </row>
    <row r="41" ht="15.75" customHeight="1">
      <c r="A41" s="236">
        <v>14.0</v>
      </c>
      <c r="B41" s="236">
        <v>25.0</v>
      </c>
      <c r="C41" s="236" t="s">
        <v>2335</v>
      </c>
      <c r="D41" s="82"/>
    </row>
    <row r="42" ht="15.75" customHeight="1">
      <c r="A42" s="82"/>
      <c r="B42" s="82"/>
      <c r="C42" s="82"/>
      <c r="D42" s="82"/>
    </row>
    <row r="43" ht="15.75" customHeight="1">
      <c r="A43" s="82"/>
      <c r="B43" s="82"/>
      <c r="C43" s="82"/>
      <c r="D43" s="82"/>
    </row>
    <row r="44" ht="15.75" customHeight="1">
      <c r="A44" s="82"/>
      <c r="B44" s="82"/>
      <c r="C44" s="82"/>
      <c r="D44" s="82"/>
    </row>
    <row r="45" ht="15.75" customHeight="1">
      <c r="A45" s="82"/>
      <c r="B45" s="82"/>
      <c r="C45" s="82"/>
      <c r="D45" s="82"/>
    </row>
    <row r="46" ht="15.75" customHeight="1">
      <c r="A46" s="82"/>
      <c r="B46" s="82"/>
      <c r="C46" s="82"/>
      <c r="D46" s="82"/>
    </row>
    <row r="47" ht="15.75" customHeight="1">
      <c r="A47" s="82"/>
      <c r="B47" s="82"/>
      <c r="C47" s="82"/>
      <c r="D47" s="82"/>
    </row>
    <row r="48" ht="15.75" customHeight="1">
      <c r="A48" s="82"/>
      <c r="B48" s="82"/>
      <c r="C48" s="82"/>
      <c r="D48" s="82"/>
    </row>
    <row r="49" ht="15.75" customHeight="1">
      <c r="A49" s="82"/>
      <c r="B49" s="82"/>
      <c r="C49" s="82"/>
      <c r="D49" s="82"/>
    </row>
    <row r="50" ht="15.75" customHeight="1">
      <c r="A50" s="82"/>
      <c r="B50" s="82"/>
      <c r="C50" s="82"/>
      <c r="D50" s="82"/>
    </row>
    <row r="51" ht="15.75" customHeight="1">
      <c r="A51" s="82"/>
      <c r="B51" s="82"/>
      <c r="C51" s="82"/>
      <c r="D51" s="82"/>
    </row>
    <row r="52" ht="15.75" customHeight="1">
      <c r="A52" s="82"/>
      <c r="B52" s="82"/>
      <c r="C52" s="82"/>
      <c r="D52" s="82"/>
    </row>
    <row r="53" ht="15.75" customHeight="1">
      <c r="A53" s="82"/>
      <c r="B53" s="82"/>
      <c r="C53" s="82"/>
      <c r="D53" s="82"/>
    </row>
    <row r="54" ht="15.75" customHeight="1">
      <c r="A54" s="82"/>
      <c r="B54" s="82"/>
      <c r="C54" s="82"/>
      <c r="D54" s="82"/>
    </row>
    <row r="55" ht="15.75" customHeight="1">
      <c r="A55" s="82"/>
      <c r="B55" s="82"/>
      <c r="C55" s="82"/>
      <c r="D55" s="82"/>
    </row>
    <row r="56" ht="15.75" customHeight="1">
      <c r="A56" s="82"/>
      <c r="B56" s="82"/>
      <c r="C56" s="82"/>
      <c r="D56" s="82"/>
    </row>
    <row r="57" ht="15.75" customHeight="1">
      <c r="A57" s="82"/>
      <c r="B57" s="82"/>
      <c r="C57" s="82"/>
      <c r="D57" s="82"/>
    </row>
    <row r="58" ht="15.75" customHeight="1">
      <c r="A58" s="82"/>
      <c r="B58" s="82"/>
      <c r="C58" s="82"/>
      <c r="D58" s="82"/>
    </row>
    <row r="59" ht="15.75" customHeight="1">
      <c r="A59" s="82"/>
      <c r="B59" s="82"/>
      <c r="C59" s="82"/>
      <c r="D59" s="82"/>
    </row>
    <row r="60" ht="15.75" customHeight="1">
      <c r="A60" s="82"/>
      <c r="B60" s="82"/>
      <c r="C60" s="82"/>
      <c r="D60" s="82"/>
    </row>
    <row r="61" ht="15.75" customHeight="1">
      <c r="A61" s="82"/>
      <c r="B61" s="82"/>
      <c r="C61" s="82"/>
      <c r="D61" s="82"/>
    </row>
    <row r="62" ht="15.75" customHeight="1">
      <c r="A62" s="82"/>
      <c r="B62" s="82"/>
      <c r="C62" s="82"/>
      <c r="D62" s="82"/>
    </row>
    <row r="63" ht="15.75" customHeight="1">
      <c r="A63" s="82"/>
      <c r="B63" s="82"/>
      <c r="C63" s="82"/>
      <c r="D63" s="82"/>
    </row>
    <row r="64" ht="15.75" customHeight="1">
      <c r="A64" s="82"/>
      <c r="B64" s="82"/>
      <c r="C64" s="82"/>
      <c r="D64" s="82"/>
    </row>
    <row r="65" ht="15.75" customHeight="1">
      <c r="A65" s="82"/>
      <c r="B65" s="82"/>
      <c r="C65" s="82"/>
      <c r="D65" s="82"/>
    </row>
    <row r="66" ht="15.75" customHeight="1">
      <c r="A66" s="82"/>
      <c r="B66" s="82"/>
      <c r="C66" s="82"/>
      <c r="D66" s="82"/>
    </row>
    <row r="67" ht="15.75" customHeight="1">
      <c r="A67" s="82"/>
      <c r="B67" s="82"/>
      <c r="C67" s="82"/>
      <c r="D67" s="82"/>
    </row>
    <row r="68" ht="15.75" customHeight="1">
      <c r="A68" s="82"/>
      <c r="B68" s="82"/>
      <c r="C68" s="82"/>
      <c r="D68" s="82"/>
    </row>
    <row r="69" ht="15.75" customHeight="1">
      <c r="A69" s="82"/>
      <c r="B69" s="82"/>
      <c r="C69" s="82"/>
      <c r="D69" s="82"/>
    </row>
    <row r="70" ht="15.75" customHeight="1">
      <c r="A70" s="82"/>
      <c r="B70" s="82"/>
      <c r="C70" s="82"/>
      <c r="D70" s="82"/>
    </row>
    <row r="71" ht="15.75" customHeight="1">
      <c r="A71" s="82"/>
      <c r="B71" s="82"/>
      <c r="C71" s="82"/>
      <c r="D71" s="82"/>
    </row>
    <row r="72" ht="15.75" customHeight="1">
      <c r="A72" s="82"/>
      <c r="B72" s="82"/>
      <c r="C72" s="82"/>
      <c r="D72" s="82"/>
    </row>
    <row r="73" ht="15.75" customHeight="1">
      <c r="A73" s="82"/>
      <c r="B73" s="82"/>
      <c r="C73" s="82"/>
      <c r="D73" s="82"/>
    </row>
    <row r="74" ht="15.75" customHeight="1">
      <c r="A74" s="82"/>
      <c r="B74" s="82"/>
      <c r="C74" s="82"/>
      <c r="D74" s="82"/>
    </row>
    <row r="75" ht="15.75" customHeight="1">
      <c r="A75" s="82"/>
      <c r="B75" s="82"/>
      <c r="C75" s="82"/>
      <c r="D75" s="82"/>
    </row>
    <row r="76" ht="15.75" customHeight="1">
      <c r="A76" s="82"/>
      <c r="B76" s="82"/>
      <c r="C76" s="82"/>
      <c r="D76" s="82"/>
    </row>
    <row r="77" ht="15.75" customHeight="1">
      <c r="A77" s="82"/>
      <c r="B77" s="82"/>
      <c r="C77" s="82"/>
      <c r="D77" s="82"/>
    </row>
    <row r="78" ht="15.75" customHeight="1">
      <c r="A78" s="82"/>
      <c r="B78" s="82"/>
      <c r="C78" s="82"/>
      <c r="D78" s="82"/>
    </row>
    <row r="79" ht="15.75" customHeight="1">
      <c r="A79" s="82"/>
      <c r="B79" s="82"/>
      <c r="C79" s="82"/>
      <c r="D79" s="82"/>
    </row>
    <row r="80" ht="15.75" customHeight="1">
      <c r="A80" s="82"/>
      <c r="B80" s="82"/>
      <c r="C80" s="82"/>
      <c r="D80" s="82"/>
    </row>
    <row r="81" ht="15.75" customHeight="1">
      <c r="A81" s="82"/>
      <c r="B81" s="82"/>
      <c r="C81" s="82"/>
      <c r="D81" s="82"/>
    </row>
    <row r="82" ht="15.75" customHeight="1">
      <c r="A82" s="82"/>
      <c r="B82" s="82"/>
      <c r="C82" s="82"/>
      <c r="D82" s="82"/>
    </row>
    <row r="83" ht="15.75" customHeight="1">
      <c r="A83" s="82"/>
      <c r="B83" s="82"/>
      <c r="C83" s="82"/>
      <c r="D83" s="82"/>
    </row>
    <row r="84" ht="15.75" customHeight="1">
      <c r="A84" s="82"/>
      <c r="B84" s="82"/>
      <c r="C84" s="82"/>
      <c r="D84" s="82"/>
    </row>
    <row r="85" ht="15.75" customHeight="1">
      <c r="A85" s="82"/>
      <c r="B85" s="82"/>
      <c r="C85" s="82"/>
      <c r="D85" s="82"/>
    </row>
    <row r="86" ht="15.75" customHeight="1">
      <c r="A86" s="82"/>
      <c r="B86" s="82"/>
      <c r="C86" s="82"/>
      <c r="D86" s="82"/>
    </row>
    <row r="87" ht="15.75" customHeight="1">
      <c r="A87" s="82"/>
      <c r="B87" s="82"/>
      <c r="C87" s="82"/>
      <c r="D87" s="82"/>
    </row>
    <row r="88" ht="15.75" customHeight="1">
      <c r="A88" s="82"/>
      <c r="B88" s="82"/>
      <c r="C88" s="82"/>
      <c r="D88" s="82"/>
    </row>
    <row r="89" ht="15.75" customHeight="1">
      <c r="A89" s="82"/>
      <c r="B89" s="82"/>
      <c r="C89" s="82"/>
      <c r="D89" s="82"/>
    </row>
    <row r="90" ht="15.75" customHeight="1">
      <c r="A90" s="82"/>
      <c r="B90" s="82"/>
      <c r="C90" s="82"/>
      <c r="D90" s="82"/>
    </row>
    <row r="91" ht="15.75" customHeight="1">
      <c r="A91" s="82"/>
      <c r="B91" s="82"/>
      <c r="C91" s="82"/>
      <c r="D91" s="82"/>
    </row>
    <row r="92" ht="15.75" customHeight="1">
      <c r="A92" s="82"/>
      <c r="B92" s="82"/>
      <c r="C92" s="82"/>
      <c r="D92" s="82"/>
    </row>
    <row r="93" ht="15.75" customHeight="1">
      <c r="A93" s="82"/>
      <c r="B93" s="82"/>
      <c r="C93" s="82"/>
      <c r="D93" s="82"/>
    </row>
    <row r="94" ht="15.75" customHeight="1">
      <c r="A94" s="82"/>
      <c r="B94" s="82"/>
      <c r="C94" s="82"/>
      <c r="D94" s="82"/>
    </row>
    <row r="95" ht="15.75" customHeight="1">
      <c r="A95" s="82"/>
      <c r="B95" s="82"/>
      <c r="C95" s="82"/>
      <c r="D95" s="82"/>
    </row>
    <row r="96" ht="15.75" customHeight="1">
      <c r="A96" s="82"/>
      <c r="B96" s="82"/>
      <c r="C96" s="82"/>
      <c r="D96" s="82"/>
    </row>
    <row r="97" ht="15.75" customHeight="1">
      <c r="A97" s="82"/>
      <c r="B97" s="82"/>
      <c r="C97" s="82"/>
      <c r="D97" s="82"/>
    </row>
    <row r="98" ht="15.75" customHeight="1">
      <c r="A98" s="82"/>
      <c r="B98" s="82"/>
      <c r="C98" s="82"/>
      <c r="D98" s="82"/>
    </row>
    <row r="99" ht="15.75" customHeight="1">
      <c r="A99" s="82"/>
      <c r="B99" s="82"/>
      <c r="C99" s="82"/>
      <c r="D99" s="82"/>
    </row>
    <row r="100" ht="15.75" customHeight="1">
      <c r="A100" s="82"/>
      <c r="B100" s="82"/>
      <c r="C100" s="82"/>
      <c r="D100" s="82"/>
    </row>
    <row r="101" ht="15.75" customHeight="1">
      <c r="A101" s="82"/>
      <c r="B101" s="82"/>
      <c r="C101" s="82"/>
      <c r="D101" s="82"/>
    </row>
    <row r="102" ht="15.75" customHeight="1">
      <c r="A102" s="82"/>
      <c r="B102" s="82"/>
      <c r="C102" s="82"/>
      <c r="D102" s="82"/>
    </row>
    <row r="103" ht="15.75" customHeight="1">
      <c r="A103" s="82"/>
      <c r="B103" s="82"/>
      <c r="C103" s="82"/>
      <c r="D103" s="82"/>
    </row>
    <row r="104" ht="15.75" customHeight="1">
      <c r="A104" s="82"/>
      <c r="B104" s="82"/>
      <c r="C104" s="82"/>
      <c r="D104" s="82"/>
    </row>
    <row r="105" ht="15.75" customHeight="1">
      <c r="A105" s="82"/>
      <c r="B105" s="82"/>
      <c r="C105" s="82"/>
      <c r="D105" s="82"/>
    </row>
    <row r="106" ht="15.75" customHeight="1">
      <c r="A106" s="82"/>
      <c r="B106" s="82"/>
      <c r="C106" s="82"/>
      <c r="D106" s="82"/>
    </row>
    <row r="107" ht="15.75" customHeight="1">
      <c r="A107" s="82"/>
      <c r="B107" s="82"/>
      <c r="C107" s="82"/>
      <c r="D107" s="82"/>
    </row>
    <row r="108" ht="15.75" customHeight="1">
      <c r="A108" s="82"/>
      <c r="B108" s="82"/>
      <c r="C108" s="82"/>
      <c r="D108" s="82"/>
    </row>
    <row r="109" ht="15.75" customHeight="1">
      <c r="A109" s="82"/>
      <c r="B109" s="82"/>
      <c r="C109" s="82"/>
      <c r="D109" s="82"/>
    </row>
    <row r="110" ht="15.75" customHeight="1">
      <c r="A110" s="82"/>
      <c r="B110" s="82"/>
      <c r="C110" s="82"/>
      <c r="D110" s="82"/>
    </row>
    <row r="111" ht="15.75" customHeight="1">
      <c r="A111" s="82"/>
      <c r="B111" s="82"/>
      <c r="C111" s="82"/>
      <c r="D111" s="82"/>
    </row>
    <row r="112" ht="15.75" customHeight="1">
      <c r="A112" s="82"/>
      <c r="B112" s="82"/>
      <c r="C112" s="82"/>
      <c r="D112" s="82"/>
    </row>
    <row r="113" ht="15.75" customHeight="1">
      <c r="A113" s="82"/>
      <c r="B113" s="82"/>
      <c r="C113" s="82"/>
      <c r="D113" s="82"/>
    </row>
    <row r="114" ht="15.75" customHeight="1">
      <c r="A114" s="82"/>
      <c r="B114" s="82"/>
      <c r="C114" s="82"/>
      <c r="D114" s="82"/>
    </row>
    <row r="115" ht="15.75" customHeight="1">
      <c r="A115" s="82"/>
      <c r="B115" s="82"/>
      <c r="C115" s="82"/>
      <c r="D115" s="82"/>
    </row>
    <row r="116" ht="15.75" customHeight="1">
      <c r="A116" s="82"/>
      <c r="B116" s="82"/>
      <c r="C116" s="82"/>
      <c r="D116" s="82"/>
    </row>
    <row r="117" ht="15.75" customHeight="1">
      <c r="A117" s="82"/>
      <c r="B117" s="82"/>
      <c r="C117" s="82"/>
      <c r="D117" s="82"/>
    </row>
    <row r="118" ht="15.75" customHeight="1">
      <c r="A118" s="82"/>
      <c r="B118" s="82"/>
      <c r="C118" s="82"/>
      <c r="D118" s="82"/>
    </row>
    <row r="119" ht="15.75" customHeight="1">
      <c r="A119" s="82"/>
      <c r="B119" s="82"/>
      <c r="C119" s="82"/>
      <c r="D119" s="82"/>
    </row>
    <row r="120" ht="15.75" customHeight="1">
      <c r="A120" s="82"/>
      <c r="B120" s="82"/>
      <c r="C120" s="82"/>
      <c r="D120" s="82"/>
    </row>
    <row r="121" ht="15.75" customHeight="1">
      <c r="A121" s="82"/>
      <c r="B121" s="82"/>
      <c r="C121" s="82"/>
      <c r="D121" s="82"/>
    </row>
    <row r="122" ht="15.75" customHeight="1">
      <c r="A122" s="82"/>
      <c r="B122" s="82"/>
      <c r="C122" s="82"/>
      <c r="D122" s="82"/>
    </row>
    <row r="123" ht="15.75" customHeight="1">
      <c r="A123" s="82"/>
      <c r="B123" s="82"/>
      <c r="C123" s="82"/>
      <c r="D123" s="82"/>
    </row>
    <row r="124" ht="15.75" customHeight="1">
      <c r="A124" s="82"/>
      <c r="B124" s="82"/>
      <c r="C124" s="82"/>
      <c r="D124" s="82"/>
    </row>
    <row r="125" ht="15.75" customHeight="1">
      <c r="A125" s="82"/>
      <c r="B125" s="82"/>
      <c r="C125" s="82"/>
      <c r="D125" s="82"/>
    </row>
    <row r="126" ht="15.75" customHeight="1">
      <c r="A126" s="82"/>
      <c r="B126" s="82"/>
      <c r="C126" s="82"/>
      <c r="D126" s="82"/>
    </row>
    <row r="127" ht="15.75" customHeight="1">
      <c r="A127" s="82"/>
      <c r="B127" s="82"/>
      <c r="C127" s="82"/>
      <c r="D127" s="82"/>
    </row>
    <row r="128" ht="15.75" customHeight="1">
      <c r="A128" s="82"/>
      <c r="B128" s="82"/>
      <c r="C128" s="82"/>
      <c r="D128" s="82"/>
    </row>
    <row r="129" ht="15.75" customHeight="1">
      <c r="A129" s="82"/>
      <c r="B129" s="82"/>
      <c r="C129" s="82"/>
      <c r="D129" s="82"/>
    </row>
    <row r="130" ht="15.75" customHeight="1">
      <c r="A130" s="82"/>
      <c r="B130" s="82"/>
      <c r="C130" s="82"/>
      <c r="D130" s="82"/>
    </row>
    <row r="131" ht="15.75" customHeight="1">
      <c r="A131" s="82"/>
      <c r="B131" s="82"/>
      <c r="C131" s="82"/>
      <c r="D131" s="82"/>
    </row>
    <row r="132" ht="15.75" customHeight="1">
      <c r="A132" s="82"/>
      <c r="B132" s="82"/>
      <c r="C132" s="82"/>
      <c r="D132" s="82"/>
    </row>
    <row r="133" ht="15.75" customHeight="1">
      <c r="A133" s="82"/>
      <c r="B133" s="82"/>
      <c r="C133" s="82"/>
      <c r="D133" s="82"/>
    </row>
    <row r="134" ht="15.75" customHeight="1">
      <c r="A134" s="82"/>
      <c r="B134" s="82"/>
      <c r="C134" s="82"/>
      <c r="D134" s="82"/>
    </row>
    <row r="135" ht="15.75" customHeight="1">
      <c r="A135" s="82"/>
      <c r="B135" s="82"/>
      <c r="C135" s="82"/>
      <c r="D135" s="82"/>
    </row>
    <row r="136" ht="15.75" customHeight="1">
      <c r="A136" s="82"/>
      <c r="B136" s="82"/>
      <c r="C136" s="82"/>
      <c r="D136" s="82"/>
    </row>
    <row r="137" ht="15.75" customHeight="1">
      <c r="A137" s="82"/>
      <c r="B137" s="82"/>
      <c r="C137" s="82"/>
      <c r="D137" s="82"/>
    </row>
    <row r="138" ht="15.75" customHeight="1">
      <c r="A138" s="82"/>
      <c r="B138" s="82"/>
      <c r="C138" s="82"/>
      <c r="D138" s="82"/>
    </row>
    <row r="139" ht="15.75" customHeight="1">
      <c r="A139" s="82"/>
      <c r="B139" s="82"/>
      <c r="C139" s="82"/>
      <c r="D139" s="82"/>
    </row>
    <row r="140" ht="15.75" customHeight="1">
      <c r="A140" s="82"/>
      <c r="B140" s="82"/>
      <c r="C140" s="82"/>
      <c r="D140" s="82"/>
    </row>
    <row r="141" ht="15.75" customHeight="1">
      <c r="A141" s="82"/>
      <c r="B141" s="82"/>
      <c r="C141" s="82"/>
      <c r="D141" s="82"/>
    </row>
    <row r="142" ht="15.75" customHeight="1">
      <c r="A142" s="82"/>
      <c r="B142" s="82"/>
      <c r="C142" s="82"/>
      <c r="D142" s="82"/>
    </row>
    <row r="143" ht="15.75" customHeight="1">
      <c r="A143" s="82"/>
      <c r="B143" s="82"/>
      <c r="C143" s="82"/>
      <c r="D143" s="82"/>
    </row>
    <row r="144" ht="15.75" customHeight="1">
      <c r="A144" s="82"/>
      <c r="B144" s="82"/>
      <c r="C144" s="82"/>
      <c r="D144" s="82"/>
    </row>
    <row r="145" ht="15.75" customHeight="1">
      <c r="A145" s="82"/>
      <c r="B145" s="82"/>
      <c r="C145" s="82"/>
      <c r="D145" s="82"/>
    </row>
    <row r="146" ht="15.75" customHeight="1">
      <c r="A146" s="82"/>
      <c r="B146" s="82"/>
      <c r="C146" s="82"/>
      <c r="D146" s="82"/>
    </row>
    <row r="147" ht="15.75" customHeight="1">
      <c r="A147" s="82"/>
      <c r="B147" s="82"/>
      <c r="C147" s="82"/>
      <c r="D147" s="82"/>
    </row>
    <row r="148" ht="15.75" customHeight="1">
      <c r="A148" s="82"/>
      <c r="B148" s="82"/>
      <c r="C148" s="82"/>
      <c r="D148" s="82"/>
    </row>
    <row r="149" ht="15.75" customHeight="1">
      <c r="A149" s="82"/>
      <c r="B149" s="82"/>
      <c r="C149" s="82"/>
      <c r="D149" s="82"/>
    </row>
    <row r="150" ht="15.75" customHeight="1">
      <c r="A150" s="82"/>
      <c r="B150" s="82"/>
      <c r="C150" s="82"/>
      <c r="D150" s="82"/>
    </row>
    <row r="151" ht="15.75" customHeight="1">
      <c r="A151" s="82"/>
      <c r="B151" s="82"/>
      <c r="C151" s="82"/>
      <c r="D151" s="82"/>
    </row>
    <row r="152" ht="15.75" customHeight="1">
      <c r="A152" s="82"/>
      <c r="B152" s="82"/>
      <c r="C152" s="82"/>
      <c r="D152" s="82"/>
    </row>
    <row r="153" ht="15.75" customHeight="1">
      <c r="A153" s="82"/>
      <c r="B153" s="82"/>
      <c r="C153" s="82"/>
      <c r="D153" s="82"/>
    </row>
    <row r="154" ht="15.75" customHeight="1">
      <c r="A154" s="82"/>
      <c r="B154" s="82"/>
      <c r="C154" s="82"/>
      <c r="D154" s="82"/>
    </row>
    <row r="155" ht="15.75" customHeight="1">
      <c r="A155" s="82"/>
      <c r="B155" s="82"/>
      <c r="C155" s="82"/>
      <c r="D155" s="82"/>
    </row>
    <row r="156" ht="15.75" customHeight="1">
      <c r="A156" s="82"/>
      <c r="B156" s="82"/>
      <c r="C156" s="82"/>
      <c r="D156" s="82"/>
    </row>
    <row r="157" ht="15.75" customHeight="1">
      <c r="A157" s="82"/>
      <c r="B157" s="82"/>
      <c r="C157" s="82"/>
      <c r="D157" s="82"/>
    </row>
    <row r="158" ht="15.75" customHeight="1">
      <c r="A158" s="82"/>
      <c r="B158" s="82"/>
      <c r="C158" s="82"/>
      <c r="D158" s="82"/>
    </row>
    <row r="159" ht="15.75" customHeight="1">
      <c r="A159" s="82"/>
      <c r="B159" s="82"/>
      <c r="C159" s="82"/>
      <c r="D159" s="82"/>
    </row>
    <row r="160" ht="15.75" customHeight="1">
      <c r="A160" s="82"/>
      <c r="B160" s="82"/>
      <c r="C160" s="82"/>
      <c r="D160" s="82"/>
    </row>
    <row r="161" ht="15.75" customHeight="1">
      <c r="A161" s="82"/>
      <c r="B161" s="82"/>
      <c r="C161" s="82"/>
      <c r="D161" s="82"/>
    </row>
    <row r="162" ht="15.75" customHeight="1">
      <c r="A162" s="82"/>
      <c r="B162" s="82"/>
      <c r="C162" s="82"/>
      <c r="D162" s="82"/>
    </row>
    <row r="163" ht="15.75" customHeight="1">
      <c r="A163" s="82"/>
      <c r="B163" s="82"/>
      <c r="C163" s="82"/>
      <c r="D163" s="82"/>
    </row>
    <row r="164" ht="15.75" customHeight="1">
      <c r="A164" s="82"/>
      <c r="B164" s="82"/>
      <c r="C164" s="82"/>
      <c r="D164" s="82"/>
    </row>
    <row r="165" ht="15.75" customHeight="1">
      <c r="A165" s="82"/>
      <c r="B165" s="82"/>
      <c r="C165" s="82"/>
      <c r="D165" s="82"/>
    </row>
    <row r="166" ht="15.75" customHeight="1">
      <c r="A166" s="82"/>
      <c r="B166" s="82"/>
      <c r="C166" s="82"/>
      <c r="D166" s="82"/>
    </row>
    <row r="167" ht="15.75" customHeight="1">
      <c r="A167" s="82"/>
      <c r="B167" s="82"/>
      <c r="C167" s="82"/>
      <c r="D167" s="82"/>
    </row>
    <row r="168" ht="15.75" customHeight="1">
      <c r="A168" s="82"/>
      <c r="B168" s="82"/>
      <c r="C168" s="82"/>
      <c r="D168" s="82"/>
    </row>
    <row r="169" ht="15.75" customHeight="1">
      <c r="A169" s="82"/>
      <c r="B169" s="82"/>
      <c r="C169" s="82"/>
      <c r="D169" s="82"/>
    </row>
    <row r="170" ht="15.75" customHeight="1">
      <c r="A170" s="82"/>
      <c r="B170" s="82"/>
      <c r="C170" s="82"/>
      <c r="D170" s="82"/>
    </row>
    <row r="171" ht="15.75" customHeight="1">
      <c r="A171" s="82"/>
      <c r="B171" s="82"/>
      <c r="C171" s="82"/>
      <c r="D171" s="82"/>
    </row>
    <row r="172" ht="15.75" customHeight="1">
      <c r="A172" s="82"/>
      <c r="B172" s="82"/>
      <c r="C172" s="82"/>
      <c r="D172" s="82"/>
    </row>
    <row r="173" ht="15.75" customHeight="1">
      <c r="A173" s="82"/>
      <c r="B173" s="82"/>
      <c r="C173" s="82"/>
      <c r="D173" s="82"/>
    </row>
    <row r="174" ht="15.75" customHeight="1">
      <c r="A174" s="82"/>
      <c r="B174" s="82"/>
      <c r="C174" s="82"/>
      <c r="D174" s="82"/>
    </row>
    <row r="175" ht="15.75" customHeight="1">
      <c r="A175" s="82"/>
      <c r="B175" s="82"/>
      <c r="C175" s="82"/>
      <c r="D175" s="82"/>
    </row>
    <row r="176" ht="15.75" customHeight="1">
      <c r="A176" s="82"/>
      <c r="B176" s="82"/>
      <c r="C176" s="82"/>
      <c r="D176" s="82"/>
    </row>
    <row r="177" ht="15.75" customHeight="1">
      <c r="A177" s="82"/>
      <c r="B177" s="82"/>
      <c r="C177" s="82"/>
      <c r="D177" s="82"/>
    </row>
    <row r="178" ht="15.75" customHeight="1">
      <c r="A178" s="82"/>
      <c r="B178" s="82"/>
      <c r="C178" s="82"/>
      <c r="D178" s="82"/>
    </row>
    <row r="179" ht="15.75" customHeight="1">
      <c r="A179" s="82"/>
      <c r="B179" s="82"/>
      <c r="C179" s="82"/>
      <c r="D179" s="82"/>
    </row>
    <row r="180" ht="15.75" customHeight="1">
      <c r="A180" s="82"/>
      <c r="B180" s="82"/>
      <c r="C180" s="82"/>
      <c r="D180" s="82"/>
    </row>
    <row r="181" ht="15.75" customHeight="1">
      <c r="A181" s="82"/>
      <c r="B181" s="82"/>
      <c r="C181" s="82"/>
      <c r="D181" s="82"/>
    </row>
    <row r="182" ht="15.75" customHeight="1">
      <c r="A182" s="82"/>
      <c r="B182" s="82"/>
      <c r="C182" s="82"/>
      <c r="D182" s="82"/>
    </row>
    <row r="183" ht="15.75" customHeight="1">
      <c r="A183" s="82"/>
      <c r="B183" s="82"/>
      <c r="C183" s="82"/>
      <c r="D183" s="82"/>
    </row>
    <row r="184" ht="15.75" customHeight="1">
      <c r="A184" s="82"/>
      <c r="B184" s="82"/>
      <c r="C184" s="82"/>
      <c r="D184" s="82"/>
    </row>
    <row r="185" ht="15.75" customHeight="1">
      <c r="A185" s="82"/>
      <c r="B185" s="82"/>
      <c r="C185" s="82"/>
      <c r="D185" s="82"/>
    </row>
    <row r="186" ht="15.75" customHeight="1">
      <c r="A186" s="82"/>
      <c r="B186" s="82"/>
      <c r="C186" s="82"/>
      <c r="D186" s="82"/>
    </row>
    <row r="187" ht="15.75" customHeight="1">
      <c r="A187" s="82"/>
      <c r="B187" s="82"/>
      <c r="C187" s="82"/>
      <c r="D187" s="82"/>
    </row>
    <row r="188" ht="15.75" customHeight="1">
      <c r="A188" s="82"/>
      <c r="B188" s="82"/>
      <c r="C188" s="82"/>
      <c r="D188" s="82"/>
    </row>
    <row r="189" ht="15.75" customHeight="1">
      <c r="A189" s="82"/>
      <c r="B189" s="82"/>
      <c r="C189" s="82"/>
      <c r="D189" s="82"/>
    </row>
    <row r="190" ht="15.75" customHeight="1">
      <c r="A190" s="82"/>
      <c r="B190" s="82"/>
      <c r="C190" s="82"/>
      <c r="D190" s="82"/>
    </row>
    <row r="191" ht="15.75" customHeight="1">
      <c r="A191" s="82"/>
      <c r="B191" s="82"/>
      <c r="C191" s="82"/>
      <c r="D191" s="82"/>
    </row>
    <row r="192" ht="15.75" customHeight="1">
      <c r="A192" s="82"/>
      <c r="B192" s="82"/>
      <c r="C192" s="82"/>
      <c r="D192" s="82"/>
    </row>
    <row r="193" ht="15.75" customHeight="1">
      <c r="A193" s="82"/>
      <c r="B193" s="82"/>
      <c r="C193" s="82"/>
      <c r="D193" s="82"/>
    </row>
    <row r="194" ht="15.75" customHeight="1">
      <c r="A194" s="82"/>
      <c r="B194" s="82"/>
      <c r="C194" s="82"/>
      <c r="D194" s="82"/>
    </row>
    <row r="195" ht="15.75" customHeight="1">
      <c r="A195" s="82"/>
      <c r="B195" s="82"/>
      <c r="C195" s="82"/>
      <c r="D195" s="82"/>
    </row>
    <row r="196" ht="15.75" customHeight="1">
      <c r="A196" s="82"/>
      <c r="B196" s="82"/>
      <c r="C196" s="82"/>
      <c r="D196" s="82"/>
    </row>
    <row r="197" ht="15.75" customHeight="1">
      <c r="A197" s="82"/>
      <c r="B197" s="82"/>
      <c r="C197" s="82"/>
      <c r="D197" s="82"/>
    </row>
    <row r="198" ht="15.75" customHeight="1">
      <c r="A198" s="82"/>
      <c r="B198" s="82"/>
      <c r="C198" s="82"/>
      <c r="D198" s="82"/>
    </row>
    <row r="199" ht="15.75" customHeight="1">
      <c r="A199" s="82"/>
      <c r="B199" s="82"/>
      <c r="C199" s="82"/>
      <c r="D199" s="82"/>
    </row>
    <row r="200" ht="15.75" customHeight="1">
      <c r="A200" s="82"/>
      <c r="B200" s="82"/>
      <c r="C200" s="82"/>
      <c r="D200" s="82"/>
    </row>
    <row r="201" ht="15.75" customHeight="1">
      <c r="A201" s="82"/>
      <c r="B201" s="82"/>
      <c r="C201" s="82"/>
      <c r="D201" s="82"/>
    </row>
    <row r="202" ht="15.75" customHeight="1">
      <c r="A202" s="82"/>
      <c r="B202" s="82"/>
      <c r="C202" s="82"/>
      <c r="D202" s="82"/>
    </row>
    <row r="203" ht="15.75" customHeight="1">
      <c r="A203" s="82"/>
      <c r="B203" s="82"/>
      <c r="C203" s="82"/>
      <c r="D203" s="82"/>
    </row>
    <row r="204" ht="15.75" customHeight="1">
      <c r="A204" s="82"/>
      <c r="B204" s="82"/>
      <c r="C204" s="82"/>
      <c r="D204" s="82"/>
    </row>
    <row r="205" ht="15.75" customHeight="1">
      <c r="A205" s="82"/>
      <c r="B205" s="82"/>
      <c r="C205" s="82"/>
      <c r="D205" s="82"/>
    </row>
    <row r="206" ht="15.75" customHeight="1">
      <c r="A206" s="82"/>
      <c r="B206" s="82"/>
      <c r="C206" s="82"/>
      <c r="D206" s="82"/>
    </row>
    <row r="207" ht="15.75" customHeight="1">
      <c r="A207" s="82"/>
      <c r="B207" s="82"/>
      <c r="C207" s="82"/>
      <c r="D207" s="82"/>
    </row>
    <row r="208" ht="15.75" customHeight="1">
      <c r="A208" s="82"/>
      <c r="B208" s="82"/>
      <c r="C208" s="82"/>
      <c r="D208" s="82"/>
    </row>
    <row r="209" ht="15.75" customHeight="1">
      <c r="A209" s="82"/>
      <c r="B209" s="82"/>
      <c r="C209" s="82"/>
      <c r="D209" s="82"/>
    </row>
    <row r="210" ht="15.75" customHeight="1">
      <c r="A210" s="82"/>
      <c r="B210" s="82"/>
      <c r="C210" s="82"/>
      <c r="D210" s="82"/>
    </row>
    <row r="211" ht="15.75" customHeight="1">
      <c r="A211" s="82"/>
      <c r="B211" s="82"/>
      <c r="C211" s="82"/>
      <c r="D211" s="82"/>
    </row>
    <row r="212" ht="15.75" customHeight="1">
      <c r="A212" s="82"/>
      <c r="B212" s="82"/>
      <c r="C212" s="82"/>
      <c r="D212" s="82"/>
    </row>
    <row r="213" ht="15.75" customHeight="1">
      <c r="A213" s="82"/>
      <c r="B213" s="82"/>
      <c r="C213" s="82"/>
      <c r="D213" s="82"/>
    </row>
    <row r="214" ht="15.75" customHeight="1">
      <c r="A214" s="82"/>
      <c r="B214" s="82"/>
      <c r="C214" s="82"/>
      <c r="D214" s="82"/>
    </row>
    <row r="215" ht="15.75" customHeight="1">
      <c r="A215" s="82"/>
      <c r="B215" s="82"/>
      <c r="C215" s="82"/>
      <c r="D215" s="82"/>
    </row>
    <row r="216" ht="15.75" customHeight="1">
      <c r="A216" s="82"/>
      <c r="B216" s="82"/>
      <c r="C216" s="82"/>
      <c r="D216" s="82"/>
    </row>
    <row r="217" ht="15.75" customHeight="1">
      <c r="A217" s="82"/>
      <c r="B217" s="82"/>
      <c r="C217" s="82"/>
      <c r="D217" s="82"/>
    </row>
    <row r="218" ht="15.75" customHeight="1">
      <c r="A218" s="82"/>
      <c r="B218" s="82"/>
      <c r="C218" s="82"/>
      <c r="D218" s="82"/>
    </row>
    <row r="219" ht="15.75" customHeight="1">
      <c r="A219" s="82"/>
      <c r="B219" s="82"/>
      <c r="C219" s="82"/>
      <c r="D219" s="82"/>
    </row>
    <row r="220" ht="15.75" customHeight="1">
      <c r="A220" s="82"/>
      <c r="B220" s="82"/>
      <c r="C220" s="82"/>
      <c r="D220" s="82"/>
    </row>
    <row r="221" ht="15.75" customHeight="1">
      <c r="A221" s="82"/>
      <c r="B221" s="82"/>
      <c r="C221" s="82"/>
      <c r="D221" s="82"/>
    </row>
    <row r="222" ht="15.75" customHeight="1">
      <c r="A222" s="82"/>
      <c r="B222" s="82"/>
      <c r="C222" s="82"/>
      <c r="D222" s="82"/>
    </row>
    <row r="223" ht="15.75" customHeight="1">
      <c r="A223" s="82"/>
      <c r="B223" s="82"/>
      <c r="C223" s="82"/>
      <c r="D223" s="82"/>
    </row>
    <row r="224" ht="15.75" customHeight="1">
      <c r="A224" s="82"/>
      <c r="B224" s="82"/>
      <c r="C224" s="82"/>
      <c r="D224" s="82"/>
    </row>
    <row r="225" ht="15.75" customHeight="1">
      <c r="A225" s="82"/>
      <c r="B225" s="82"/>
      <c r="C225" s="82"/>
      <c r="D225" s="82"/>
    </row>
    <row r="226" ht="15.75" customHeight="1">
      <c r="A226" s="82"/>
      <c r="B226" s="82"/>
      <c r="C226" s="82"/>
      <c r="D226" s="82"/>
    </row>
    <row r="227" ht="15.75" customHeight="1">
      <c r="A227" s="82"/>
      <c r="B227" s="82"/>
      <c r="C227" s="82"/>
      <c r="D227" s="82"/>
    </row>
    <row r="228" ht="15.75" customHeight="1">
      <c r="A228" s="82"/>
      <c r="B228" s="82"/>
      <c r="C228" s="82"/>
      <c r="D228" s="82"/>
    </row>
    <row r="229" ht="15.75" customHeight="1">
      <c r="A229" s="82"/>
      <c r="B229" s="82"/>
      <c r="C229" s="82"/>
      <c r="D229" s="82"/>
    </row>
    <row r="230" ht="15.75" customHeight="1">
      <c r="A230" s="82"/>
      <c r="B230" s="82"/>
      <c r="C230" s="82"/>
      <c r="D230" s="82"/>
    </row>
    <row r="231" ht="15.75" customHeight="1">
      <c r="A231" s="82"/>
      <c r="B231" s="82"/>
      <c r="C231" s="82"/>
      <c r="D231" s="82"/>
    </row>
    <row r="232" ht="15.75" customHeight="1">
      <c r="A232" s="82"/>
      <c r="B232" s="82"/>
      <c r="C232" s="82"/>
      <c r="D232" s="82"/>
    </row>
    <row r="233" ht="15.75" customHeight="1">
      <c r="A233" s="82"/>
      <c r="B233" s="82"/>
      <c r="C233" s="82"/>
      <c r="D233" s="82"/>
    </row>
    <row r="234" ht="15.75" customHeight="1">
      <c r="A234" s="82"/>
      <c r="B234" s="82"/>
      <c r="C234" s="82"/>
      <c r="D234" s="82"/>
    </row>
    <row r="235" ht="15.75" customHeight="1">
      <c r="A235" s="82"/>
      <c r="B235" s="82"/>
      <c r="C235" s="82"/>
      <c r="D235" s="82"/>
    </row>
    <row r="236" ht="15.75" customHeight="1">
      <c r="A236" s="82"/>
      <c r="B236" s="82"/>
      <c r="C236" s="82"/>
      <c r="D236" s="82"/>
    </row>
    <row r="237" ht="15.75" customHeight="1">
      <c r="A237" s="82"/>
      <c r="B237" s="82"/>
      <c r="C237" s="82"/>
      <c r="D237" s="82"/>
    </row>
    <row r="238" ht="15.75" customHeight="1">
      <c r="A238" s="82"/>
      <c r="B238" s="82"/>
      <c r="C238" s="82"/>
      <c r="D238" s="82"/>
    </row>
    <row r="239" ht="15.75" customHeight="1">
      <c r="A239" s="82"/>
      <c r="B239" s="82"/>
      <c r="C239" s="82"/>
      <c r="D239" s="82"/>
    </row>
    <row r="240" ht="15.75" customHeight="1">
      <c r="A240" s="82"/>
      <c r="B240" s="82"/>
      <c r="C240" s="82"/>
      <c r="D240" s="82"/>
    </row>
    <row r="241" ht="15.75" customHeight="1">
      <c r="A241" s="82"/>
      <c r="B241" s="82"/>
      <c r="C241" s="82"/>
      <c r="D241" s="82"/>
    </row>
    <row r="242" ht="15.75" customHeight="1">
      <c r="A242" s="82"/>
      <c r="B242" s="82"/>
      <c r="C242" s="82"/>
      <c r="D242" s="82"/>
    </row>
    <row r="243" ht="15.75" customHeight="1">
      <c r="A243" s="82"/>
      <c r="B243" s="82"/>
      <c r="C243" s="82"/>
      <c r="D243" s="82"/>
    </row>
    <row r="244" ht="15.75" customHeight="1">
      <c r="A244" s="82"/>
      <c r="B244" s="82"/>
      <c r="C244" s="82"/>
      <c r="D244" s="82"/>
    </row>
    <row r="245" ht="15.75" customHeight="1">
      <c r="A245" s="82"/>
      <c r="B245" s="82"/>
      <c r="C245" s="82"/>
      <c r="D245" s="82"/>
    </row>
    <row r="246" ht="15.75" customHeight="1">
      <c r="A246" s="82"/>
      <c r="B246" s="82"/>
      <c r="C246" s="82"/>
      <c r="D246" s="82"/>
    </row>
    <row r="247" ht="15.75" customHeight="1">
      <c r="A247" s="82"/>
      <c r="B247" s="82"/>
      <c r="C247" s="82"/>
      <c r="D247" s="82"/>
    </row>
    <row r="248" ht="15.75" customHeight="1">
      <c r="A248" s="82"/>
      <c r="B248" s="82"/>
      <c r="C248" s="82"/>
      <c r="D248" s="82"/>
    </row>
    <row r="249" ht="15.75" customHeight="1">
      <c r="A249" s="82"/>
      <c r="B249" s="82"/>
      <c r="C249" s="82"/>
      <c r="D249" s="82"/>
    </row>
    <row r="250" ht="15.75" customHeight="1">
      <c r="A250" s="82"/>
      <c r="B250" s="82"/>
      <c r="C250" s="82"/>
      <c r="D250" s="82"/>
    </row>
    <row r="251" ht="15.75" customHeight="1">
      <c r="A251" s="82"/>
      <c r="B251" s="82"/>
      <c r="C251" s="82"/>
      <c r="D251" s="82"/>
    </row>
    <row r="252" ht="15.75" customHeight="1">
      <c r="A252" s="82"/>
      <c r="B252" s="82"/>
      <c r="C252" s="82"/>
      <c r="D252" s="82"/>
    </row>
    <row r="253" ht="15.75" customHeight="1">
      <c r="A253" s="82"/>
      <c r="B253" s="82"/>
      <c r="C253" s="82"/>
      <c r="D253" s="82"/>
    </row>
    <row r="254" ht="15.75" customHeight="1">
      <c r="A254" s="82"/>
      <c r="B254" s="82"/>
      <c r="C254" s="82"/>
      <c r="D254" s="82"/>
    </row>
    <row r="255" ht="15.75" customHeight="1">
      <c r="A255" s="82"/>
      <c r="B255" s="82"/>
      <c r="C255" s="82"/>
      <c r="D255" s="82"/>
    </row>
    <row r="256" ht="15.75" customHeight="1">
      <c r="A256" s="82"/>
      <c r="B256" s="82"/>
      <c r="C256" s="82"/>
      <c r="D256" s="82"/>
    </row>
    <row r="257" ht="15.75" customHeight="1">
      <c r="A257" s="82"/>
      <c r="B257" s="82"/>
      <c r="C257" s="82"/>
      <c r="D257" s="82"/>
    </row>
    <row r="258" ht="15.75" customHeight="1">
      <c r="A258" s="82"/>
      <c r="B258" s="82"/>
      <c r="C258" s="82"/>
      <c r="D258" s="82"/>
    </row>
    <row r="259" ht="15.75" customHeight="1">
      <c r="A259" s="82"/>
      <c r="B259" s="82"/>
      <c r="C259" s="82"/>
      <c r="D259" s="82"/>
    </row>
    <row r="260" ht="15.75" customHeight="1">
      <c r="A260" s="82"/>
      <c r="B260" s="82"/>
      <c r="C260" s="82"/>
      <c r="D260" s="82"/>
    </row>
    <row r="261" ht="15.75" customHeight="1">
      <c r="A261" s="82"/>
      <c r="B261" s="82"/>
      <c r="C261" s="82"/>
      <c r="D261" s="82"/>
    </row>
    <row r="262" ht="15.75" customHeight="1">
      <c r="A262" s="82"/>
      <c r="B262" s="82"/>
      <c r="C262" s="82"/>
      <c r="D262" s="82"/>
    </row>
    <row r="263" ht="15.75" customHeight="1">
      <c r="A263" s="82"/>
      <c r="B263" s="82"/>
      <c r="C263" s="82"/>
      <c r="D263" s="82"/>
    </row>
    <row r="264" ht="15.75" customHeight="1">
      <c r="A264" s="82"/>
      <c r="B264" s="82"/>
      <c r="C264" s="82"/>
      <c r="D264" s="82"/>
    </row>
    <row r="265" ht="15.75" customHeight="1">
      <c r="A265" s="82"/>
      <c r="B265" s="82"/>
      <c r="C265" s="82"/>
      <c r="D265" s="82"/>
    </row>
    <row r="266" ht="15.75" customHeight="1">
      <c r="A266" s="82"/>
      <c r="B266" s="82"/>
      <c r="C266" s="82"/>
      <c r="D266" s="82"/>
    </row>
    <row r="267" ht="15.75" customHeight="1">
      <c r="A267" s="82"/>
      <c r="B267" s="82"/>
      <c r="C267" s="82"/>
      <c r="D267" s="82"/>
    </row>
    <row r="268" ht="15.75" customHeight="1">
      <c r="A268" s="82"/>
      <c r="B268" s="82"/>
      <c r="C268" s="82"/>
      <c r="D268" s="82"/>
    </row>
    <row r="269" ht="15.75" customHeight="1">
      <c r="A269" s="82"/>
      <c r="B269" s="82"/>
      <c r="C269" s="82"/>
      <c r="D269" s="82"/>
    </row>
    <row r="270" ht="15.75" customHeight="1">
      <c r="A270" s="82"/>
      <c r="B270" s="82"/>
      <c r="C270" s="82"/>
      <c r="D270" s="82"/>
    </row>
    <row r="271" ht="15.75" customHeight="1">
      <c r="A271" s="82"/>
      <c r="B271" s="82"/>
      <c r="C271" s="82"/>
      <c r="D271" s="82"/>
    </row>
    <row r="272" ht="15.75" customHeight="1">
      <c r="A272" s="82"/>
      <c r="B272" s="82"/>
      <c r="C272" s="82"/>
      <c r="D272" s="82"/>
    </row>
    <row r="273" ht="15.75" customHeight="1">
      <c r="A273" s="82"/>
      <c r="B273" s="82"/>
      <c r="C273" s="82"/>
      <c r="D273" s="82"/>
    </row>
    <row r="274" ht="15.75" customHeight="1">
      <c r="A274" s="82"/>
      <c r="B274" s="82"/>
      <c r="C274" s="82"/>
      <c r="D274" s="82"/>
    </row>
    <row r="275" ht="15.75" customHeight="1">
      <c r="A275" s="82"/>
      <c r="B275" s="82"/>
      <c r="C275" s="82"/>
      <c r="D275" s="82"/>
    </row>
    <row r="276" ht="15.75" customHeight="1">
      <c r="A276" s="82"/>
      <c r="B276" s="82"/>
      <c r="C276" s="82"/>
      <c r="D276" s="82"/>
    </row>
    <row r="277" ht="15.75" customHeight="1">
      <c r="A277" s="82"/>
      <c r="B277" s="82"/>
      <c r="C277" s="82"/>
      <c r="D277" s="82"/>
    </row>
    <row r="278" ht="15.75" customHeight="1">
      <c r="A278" s="82"/>
      <c r="B278" s="82"/>
      <c r="C278" s="82"/>
      <c r="D278" s="82"/>
    </row>
    <row r="279" ht="15.75" customHeight="1">
      <c r="A279" s="82"/>
      <c r="B279" s="82"/>
      <c r="C279" s="82"/>
      <c r="D279" s="82"/>
    </row>
    <row r="280" ht="15.75" customHeight="1">
      <c r="A280" s="82"/>
      <c r="B280" s="82"/>
      <c r="C280" s="82"/>
      <c r="D280" s="82"/>
    </row>
    <row r="281" ht="15.75" customHeight="1">
      <c r="A281" s="82"/>
      <c r="B281" s="82"/>
      <c r="C281" s="82"/>
      <c r="D281" s="82"/>
    </row>
    <row r="282" ht="15.75" customHeight="1">
      <c r="A282" s="82"/>
      <c r="B282" s="82"/>
      <c r="C282" s="82"/>
      <c r="D282" s="82"/>
    </row>
    <row r="283" ht="15.75" customHeight="1">
      <c r="A283" s="82"/>
      <c r="B283" s="82"/>
      <c r="C283" s="82"/>
      <c r="D283" s="82"/>
    </row>
    <row r="284" ht="15.75" customHeight="1">
      <c r="A284" s="82"/>
      <c r="B284" s="82"/>
      <c r="C284" s="82"/>
      <c r="D284" s="82"/>
    </row>
    <row r="285" ht="15.75" customHeight="1">
      <c r="A285" s="82"/>
      <c r="B285" s="82"/>
      <c r="C285" s="82"/>
      <c r="D285" s="82"/>
    </row>
    <row r="286" ht="15.75" customHeight="1">
      <c r="A286" s="82"/>
      <c r="B286" s="82"/>
      <c r="C286" s="82"/>
      <c r="D286" s="82"/>
    </row>
    <row r="287" ht="15.75" customHeight="1">
      <c r="A287" s="82"/>
      <c r="B287" s="82"/>
      <c r="C287" s="82"/>
      <c r="D287" s="82"/>
    </row>
    <row r="288" ht="15.75" customHeight="1">
      <c r="A288" s="82"/>
      <c r="B288" s="82"/>
      <c r="C288" s="82"/>
      <c r="D288" s="82"/>
    </row>
    <row r="289" ht="15.75" customHeight="1">
      <c r="A289" s="82"/>
      <c r="B289" s="82"/>
      <c r="C289" s="82"/>
      <c r="D289" s="82"/>
    </row>
    <row r="290" ht="15.75" customHeight="1">
      <c r="A290" s="82"/>
      <c r="B290" s="82"/>
      <c r="C290" s="82"/>
      <c r="D290" s="82"/>
    </row>
    <row r="291" ht="15.75" customHeight="1">
      <c r="A291" s="82"/>
      <c r="B291" s="82"/>
      <c r="C291" s="82"/>
      <c r="D291" s="82"/>
    </row>
    <row r="292" ht="15.75" customHeight="1">
      <c r="A292" s="82"/>
      <c r="B292" s="82"/>
      <c r="C292" s="82"/>
      <c r="D292" s="82"/>
    </row>
    <row r="293" ht="15.75" customHeight="1">
      <c r="A293" s="82"/>
      <c r="B293" s="82"/>
      <c r="C293" s="82"/>
      <c r="D293" s="82"/>
    </row>
    <row r="294" ht="15.75" customHeight="1">
      <c r="A294" s="82"/>
      <c r="B294" s="82"/>
      <c r="C294" s="82"/>
      <c r="D294" s="82"/>
    </row>
    <row r="295" ht="15.75" customHeight="1">
      <c r="A295" s="82"/>
      <c r="B295" s="82"/>
      <c r="C295" s="82"/>
      <c r="D295" s="82"/>
    </row>
    <row r="296" ht="15.75" customHeight="1">
      <c r="A296" s="82"/>
      <c r="B296" s="82"/>
      <c r="C296" s="82"/>
      <c r="D296" s="82"/>
    </row>
    <row r="297" ht="15.75" customHeight="1">
      <c r="A297" s="82"/>
      <c r="B297" s="82"/>
      <c r="C297" s="82"/>
      <c r="D297" s="82"/>
    </row>
    <row r="298" ht="15.75" customHeight="1">
      <c r="A298" s="82"/>
      <c r="B298" s="82"/>
      <c r="C298" s="82"/>
      <c r="D298" s="82"/>
    </row>
    <row r="299" ht="15.75" customHeight="1">
      <c r="A299" s="82"/>
      <c r="B299" s="82"/>
      <c r="C299" s="82"/>
      <c r="D299" s="82"/>
    </row>
    <row r="300" ht="15.75" customHeight="1">
      <c r="A300" s="82"/>
      <c r="B300" s="82"/>
      <c r="C300" s="82"/>
      <c r="D300" s="82"/>
    </row>
    <row r="301" ht="15.75" customHeight="1">
      <c r="A301" s="82"/>
      <c r="B301" s="82"/>
      <c r="C301" s="82"/>
      <c r="D301" s="82"/>
    </row>
    <row r="302" ht="15.75" customHeight="1">
      <c r="A302" s="82"/>
      <c r="B302" s="82"/>
      <c r="C302" s="82"/>
      <c r="D302" s="82"/>
    </row>
    <row r="303" ht="15.75" customHeight="1">
      <c r="A303" s="82"/>
      <c r="B303" s="82"/>
      <c r="C303" s="82"/>
      <c r="D303" s="82"/>
    </row>
    <row r="304" ht="15.75" customHeight="1">
      <c r="A304" s="82"/>
      <c r="B304" s="82"/>
      <c r="C304" s="82"/>
      <c r="D304" s="82"/>
    </row>
    <row r="305" ht="15.75" customHeight="1">
      <c r="A305" s="82"/>
      <c r="B305" s="82"/>
      <c r="C305" s="82"/>
      <c r="D305" s="82"/>
    </row>
    <row r="306" ht="15.75" customHeight="1">
      <c r="A306" s="82"/>
      <c r="B306" s="82"/>
      <c r="C306" s="82"/>
      <c r="D306" s="82"/>
    </row>
    <row r="307" ht="15.75" customHeight="1">
      <c r="A307" s="82"/>
      <c r="B307" s="82"/>
      <c r="C307" s="82"/>
      <c r="D307" s="82"/>
    </row>
    <row r="308" ht="15.75" customHeight="1">
      <c r="A308" s="82"/>
      <c r="B308" s="82"/>
      <c r="C308" s="82"/>
      <c r="D308" s="82"/>
    </row>
    <row r="309" ht="15.75" customHeight="1">
      <c r="A309" s="82"/>
      <c r="B309" s="82"/>
      <c r="C309" s="82"/>
      <c r="D309" s="82"/>
    </row>
    <row r="310" ht="15.75" customHeight="1">
      <c r="A310" s="82"/>
      <c r="B310" s="82"/>
      <c r="C310" s="82"/>
      <c r="D310" s="82"/>
    </row>
    <row r="311" ht="15.75" customHeight="1">
      <c r="A311" s="82"/>
      <c r="B311" s="82"/>
      <c r="C311" s="82"/>
      <c r="D311" s="82"/>
    </row>
    <row r="312" ht="15.75" customHeight="1">
      <c r="A312" s="82"/>
      <c r="B312" s="82"/>
      <c r="C312" s="82"/>
      <c r="D312" s="82"/>
    </row>
    <row r="313" ht="15.75" customHeight="1">
      <c r="A313" s="82"/>
      <c r="B313" s="82"/>
      <c r="C313" s="82"/>
      <c r="D313" s="82"/>
    </row>
    <row r="314" ht="15.75" customHeight="1">
      <c r="A314" s="82"/>
      <c r="B314" s="82"/>
      <c r="C314" s="82"/>
      <c r="D314" s="82"/>
    </row>
    <row r="315" ht="15.75" customHeight="1">
      <c r="A315" s="82"/>
      <c r="B315" s="82"/>
      <c r="C315" s="82"/>
      <c r="D315" s="82"/>
    </row>
    <row r="316" ht="15.75" customHeight="1">
      <c r="A316" s="82"/>
      <c r="B316" s="82"/>
      <c r="C316" s="82"/>
      <c r="D316" s="82"/>
    </row>
    <row r="317" ht="15.75" customHeight="1">
      <c r="A317" s="82"/>
      <c r="B317" s="82"/>
      <c r="C317" s="82"/>
      <c r="D317" s="82"/>
    </row>
    <row r="318" ht="15.75" customHeight="1">
      <c r="A318" s="82"/>
      <c r="B318" s="82"/>
      <c r="C318" s="82"/>
      <c r="D318" s="82"/>
    </row>
    <row r="319" ht="15.75" customHeight="1">
      <c r="A319" s="82"/>
      <c r="B319" s="82"/>
      <c r="C319" s="82"/>
      <c r="D319" s="82"/>
    </row>
    <row r="320" ht="15.75" customHeight="1">
      <c r="A320" s="82"/>
      <c r="B320" s="82"/>
      <c r="C320" s="82"/>
      <c r="D320" s="82"/>
    </row>
    <row r="321" ht="15.75" customHeight="1">
      <c r="A321" s="82"/>
      <c r="B321" s="82"/>
      <c r="C321" s="82"/>
      <c r="D321" s="82"/>
    </row>
    <row r="322" ht="15.75" customHeight="1">
      <c r="A322" s="82"/>
      <c r="B322" s="82"/>
      <c r="C322" s="82"/>
      <c r="D322" s="82"/>
    </row>
    <row r="323" ht="15.75" customHeight="1">
      <c r="A323" s="82"/>
      <c r="B323" s="82"/>
      <c r="C323" s="82"/>
      <c r="D323" s="82"/>
    </row>
    <row r="324" ht="15.75" customHeight="1">
      <c r="A324" s="82"/>
      <c r="B324" s="82"/>
      <c r="C324" s="82"/>
      <c r="D324" s="82"/>
    </row>
    <row r="325" ht="15.75" customHeight="1">
      <c r="A325" s="82"/>
      <c r="B325" s="82"/>
      <c r="C325" s="82"/>
      <c r="D325" s="82"/>
    </row>
    <row r="326" ht="15.75" customHeight="1">
      <c r="A326" s="82"/>
      <c r="B326" s="82"/>
      <c r="C326" s="82"/>
      <c r="D326" s="82"/>
    </row>
    <row r="327" ht="15.75" customHeight="1">
      <c r="A327" s="82"/>
      <c r="B327" s="82"/>
      <c r="C327" s="82"/>
      <c r="D327" s="82"/>
    </row>
    <row r="328" ht="15.75" customHeight="1">
      <c r="A328" s="82"/>
      <c r="B328" s="82"/>
      <c r="C328" s="82"/>
      <c r="D328" s="82"/>
    </row>
    <row r="329" ht="15.75" customHeight="1">
      <c r="A329" s="82"/>
      <c r="B329" s="82"/>
      <c r="C329" s="82"/>
      <c r="D329" s="82"/>
    </row>
    <row r="330" ht="15.75" customHeight="1">
      <c r="A330" s="82"/>
      <c r="B330" s="82"/>
      <c r="C330" s="82"/>
      <c r="D330" s="82"/>
    </row>
    <row r="331" ht="15.75" customHeight="1">
      <c r="A331" s="82"/>
      <c r="B331" s="82"/>
      <c r="C331" s="82"/>
      <c r="D331" s="82"/>
    </row>
    <row r="332" ht="15.75" customHeight="1">
      <c r="A332" s="82"/>
      <c r="B332" s="82"/>
      <c r="C332" s="82"/>
      <c r="D332" s="82"/>
    </row>
    <row r="333" ht="15.75" customHeight="1">
      <c r="A333" s="82"/>
      <c r="B333" s="82"/>
      <c r="C333" s="82"/>
      <c r="D333" s="82"/>
    </row>
    <row r="334" ht="15.75" customHeight="1">
      <c r="A334" s="82"/>
      <c r="B334" s="82"/>
      <c r="C334" s="82"/>
      <c r="D334" s="82"/>
    </row>
    <row r="335" ht="15.75" customHeight="1">
      <c r="A335" s="82"/>
      <c r="B335" s="82"/>
      <c r="C335" s="82"/>
      <c r="D335" s="82"/>
    </row>
    <row r="336" ht="15.75" customHeight="1">
      <c r="A336" s="82"/>
      <c r="B336" s="82"/>
      <c r="C336" s="82"/>
      <c r="D336" s="82"/>
    </row>
    <row r="337" ht="15.75" customHeight="1">
      <c r="A337" s="82"/>
      <c r="B337" s="82"/>
      <c r="C337" s="82"/>
      <c r="D337" s="82"/>
    </row>
    <row r="338" ht="15.75" customHeight="1">
      <c r="A338" s="82"/>
      <c r="B338" s="82"/>
      <c r="C338" s="82"/>
      <c r="D338" s="82"/>
    </row>
    <row r="339" ht="15.75" customHeight="1">
      <c r="A339" s="82"/>
      <c r="B339" s="82"/>
      <c r="C339" s="82"/>
      <c r="D339" s="82"/>
    </row>
    <row r="340" ht="15.75" customHeight="1">
      <c r="A340" s="82"/>
      <c r="B340" s="82"/>
      <c r="C340" s="82"/>
      <c r="D340" s="82"/>
    </row>
    <row r="341" ht="15.75" customHeight="1">
      <c r="A341" s="82"/>
      <c r="B341" s="82"/>
      <c r="C341" s="82"/>
      <c r="D341" s="82"/>
    </row>
    <row r="342" ht="15.75" customHeight="1">
      <c r="A342" s="82"/>
      <c r="B342" s="82"/>
      <c r="C342" s="82"/>
      <c r="D342" s="82"/>
    </row>
    <row r="343" ht="15.75" customHeight="1">
      <c r="A343" s="82"/>
      <c r="B343" s="82"/>
      <c r="C343" s="82"/>
      <c r="D343" s="82"/>
    </row>
    <row r="344" ht="15.75" customHeight="1">
      <c r="A344" s="82"/>
      <c r="B344" s="82"/>
      <c r="C344" s="82"/>
      <c r="D344" s="82"/>
    </row>
    <row r="345" ht="15.75" customHeight="1">
      <c r="A345" s="82"/>
      <c r="B345" s="82"/>
      <c r="C345" s="82"/>
      <c r="D345" s="82"/>
    </row>
    <row r="346" ht="15.75" customHeight="1">
      <c r="A346" s="82"/>
      <c r="B346" s="82"/>
      <c r="C346" s="82"/>
      <c r="D346" s="82"/>
    </row>
    <row r="347" ht="15.75" customHeight="1">
      <c r="A347" s="82"/>
      <c r="B347" s="82"/>
      <c r="C347" s="82"/>
      <c r="D347" s="82"/>
    </row>
    <row r="348" ht="15.75" customHeight="1">
      <c r="A348" s="82"/>
      <c r="B348" s="82"/>
      <c r="C348" s="82"/>
      <c r="D348" s="82"/>
    </row>
    <row r="349" ht="15.75" customHeight="1">
      <c r="A349" s="82"/>
      <c r="B349" s="82"/>
      <c r="C349" s="82"/>
      <c r="D349" s="82"/>
    </row>
    <row r="350" ht="15.75" customHeight="1">
      <c r="A350" s="82"/>
      <c r="B350" s="82"/>
      <c r="C350" s="82"/>
      <c r="D350" s="82"/>
    </row>
    <row r="351" ht="15.75" customHeight="1">
      <c r="A351" s="82"/>
      <c r="B351" s="82"/>
      <c r="C351" s="82"/>
      <c r="D351" s="82"/>
    </row>
    <row r="352" ht="15.75" customHeight="1">
      <c r="A352" s="82"/>
      <c r="B352" s="82"/>
      <c r="C352" s="82"/>
      <c r="D352" s="82"/>
    </row>
    <row r="353" ht="15.75" customHeight="1">
      <c r="A353" s="82"/>
      <c r="B353" s="82"/>
      <c r="C353" s="82"/>
      <c r="D353" s="82"/>
    </row>
    <row r="354" ht="15.75" customHeight="1">
      <c r="A354" s="82"/>
      <c r="B354" s="82"/>
      <c r="C354" s="82"/>
      <c r="D354" s="82"/>
    </row>
    <row r="355" ht="15.75" customHeight="1">
      <c r="A355" s="82"/>
      <c r="B355" s="82"/>
      <c r="C355" s="82"/>
      <c r="D355" s="82"/>
    </row>
    <row r="356" ht="15.75" customHeight="1">
      <c r="A356" s="82"/>
      <c r="B356" s="82"/>
      <c r="C356" s="82"/>
      <c r="D356" s="82"/>
    </row>
    <row r="357" ht="15.75" customHeight="1">
      <c r="A357" s="82"/>
      <c r="B357" s="82"/>
      <c r="C357" s="82"/>
      <c r="D357" s="82"/>
    </row>
    <row r="358" ht="15.75" customHeight="1">
      <c r="A358" s="82"/>
      <c r="B358" s="82"/>
      <c r="C358" s="82"/>
      <c r="D358" s="82"/>
    </row>
    <row r="359" ht="15.75" customHeight="1">
      <c r="A359" s="82"/>
      <c r="B359" s="82"/>
      <c r="C359" s="82"/>
      <c r="D359" s="82"/>
    </row>
    <row r="360" ht="15.75" customHeight="1">
      <c r="A360" s="82"/>
      <c r="B360" s="82"/>
      <c r="C360" s="82"/>
      <c r="D360" s="82"/>
    </row>
    <row r="361" ht="15.75" customHeight="1">
      <c r="A361" s="82"/>
      <c r="B361" s="82"/>
      <c r="C361" s="82"/>
      <c r="D361" s="82"/>
    </row>
    <row r="362" ht="15.75" customHeight="1">
      <c r="A362" s="82"/>
      <c r="B362" s="82"/>
      <c r="C362" s="82"/>
      <c r="D362" s="82"/>
    </row>
    <row r="363" ht="15.75" customHeight="1">
      <c r="A363" s="82"/>
      <c r="B363" s="82"/>
      <c r="C363" s="82"/>
      <c r="D363" s="82"/>
    </row>
    <row r="364" ht="15.75" customHeight="1">
      <c r="A364" s="82"/>
      <c r="B364" s="82"/>
      <c r="C364" s="82"/>
      <c r="D364" s="82"/>
    </row>
    <row r="365" ht="15.75" customHeight="1">
      <c r="A365" s="82"/>
      <c r="B365" s="82"/>
      <c r="C365" s="82"/>
      <c r="D365" s="82"/>
    </row>
    <row r="366" ht="15.75" customHeight="1">
      <c r="A366" s="82"/>
      <c r="B366" s="82"/>
      <c r="C366" s="82"/>
      <c r="D366" s="82"/>
    </row>
    <row r="367" ht="15.75" customHeight="1">
      <c r="A367" s="82"/>
      <c r="B367" s="82"/>
      <c r="C367" s="82"/>
      <c r="D367" s="82"/>
    </row>
    <row r="368" ht="15.75" customHeight="1">
      <c r="A368" s="82"/>
      <c r="B368" s="82"/>
      <c r="C368" s="82"/>
      <c r="D368" s="82"/>
    </row>
    <row r="369" ht="15.75" customHeight="1">
      <c r="A369" s="82"/>
      <c r="B369" s="82"/>
      <c r="C369" s="82"/>
      <c r="D369" s="82"/>
    </row>
    <row r="370" ht="15.75" customHeight="1">
      <c r="A370" s="82"/>
      <c r="B370" s="82"/>
      <c r="C370" s="82"/>
      <c r="D370" s="82"/>
    </row>
    <row r="371" ht="15.75" customHeight="1">
      <c r="A371" s="82"/>
      <c r="B371" s="82"/>
      <c r="C371" s="82"/>
      <c r="D371" s="82"/>
    </row>
    <row r="372" ht="15.75" customHeight="1">
      <c r="A372" s="82"/>
      <c r="B372" s="82"/>
      <c r="C372" s="82"/>
      <c r="D372" s="82"/>
    </row>
    <row r="373" ht="15.75" customHeight="1">
      <c r="A373" s="82"/>
      <c r="B373" s="82"/>
      <c r="C373" s="82"/>
      <c r="D373" s="82"/>
    </row>
    <row r="374" ht="15.75" customHeight="1">
      <c r="A374" s="82"/>
      <c r="B374" s="82"/>
      <c r="C374" s="82"/>
      <c r="D374" s="82"/>
    </row>
    <row r="375" ht="15.75" customHeight="1">
      <c r="A375" s="82"/>
      <c r="B375" s="82"/>
      <c r="C375" s="82"/>
      <c r="D375" s="82"/>
    </row>
    <row r="376" ht="15.75" customHeight="1">
      <c r="A376" s="82"/>
      <c r="B376" s="82"/>
      <c r="C376" s="82"/>
      <c r="D376" s="82"/>
    </row>
    <row r="377" ht="15.75" customHeight="1">
      <c r="A377" s="82"/>
      <c r="B377" s="82"/>
      <c r="C377" s="82"/>
      <c r="D377" s="82"/>
    </row>
    <row r="378" ht="15.75" customHeight="1">
      <c r="A378" s="82"/>
      <c r="B378" s="82"/>
      <c r="C378" s="82"/>
      <c r="D378" s="82"/>
    </row>
    <row r="379" ht="15.75" customHeight="1">
      <c r="A379" s="82"/>
      <c r="B379" s="82"/>
      <c r="C379" s="82"/>
      <c r="D379" s="82"/>
    </row>
    <row r="380" ht="15.75" customHeight="1">
      <c r="A380" s="82"/>
      <c r="B380" s="82"/>
      <c r="C380" s="82"/>
      <c r="D380" s="82"/>
    </row>
    <row r="381" ht="15.75" customHeight="1">
      <c r="A381" s="82"/>
      <c r="B381" s="82"/>
      <c r="C381" s="82"/>
      <c r="D381" s="82"/>
    </row>
    <row r="382" ht="15.75" customHeight="1">
      <c r="A382" s="82"/>
      <c r="B382" s="82"/>
      <c r="C382" s="82"/>
      <c r="D382" s="82"/>
    </row>
    <row r="383" ht="15.75" customHeight="1">
      <c r="A383" s="82"/>
      <c r="B383" s="82"/>
      <c r="C383" s="82"/>
      <c r="D383" s="82"/>
    </row>
    <row r="384" ht="15.75" customHeight="1">
      <c r="A384" s="82"/>
      <c r="B384" s="82"/>
      <c r="C384" s="82"/>
      <c r="D384" s="82"/>
    </row>
    <row r="385" ht="15.75" customHeight="1">
      <c r="A385" s="82"/>
      <c r="B385" s="82"/>
      <c r="C385" s="82"/>
      <c r="D385" s="82"/>
    </row>
    <row r="386" ht="15.75" customHeight="1">
      <c r="A386" s="82"/>
      <c r="B386" s="82"/>
      <c r="C386" s="82"/>
      <c r="D386" s="82"/>
    </row>
    <row r="387" ht="15.75" customHeight="1">
      <c r="A387" s="82"/>
      <c r="B387" s="82"/>
      <c r="C387" s="82"/>
      <c r="D387" s="82"/>
    </row>
    <row r="388" ht="15.75" customHeight="1">
      <c r="A388" s="82"/>
      <c r="B388" s="82"/>
      <c r="C388" s="82"/>
      <c r="D388" s="82"/>
    </row>
    <row r="389" ht="15.75" customHeight="1">
      <c r="A389" s="82"/>
      <c r="B389" s="82"/>
      <c r="C389" s="82"/>
      <c r="D389" s="82"/>
    </row>
    <row r="390" ht="15.75" customHeight="1">
      <c r="A390" s="82"/>
      <c r="B390" s="82"/>
      <c r="C390" s="82"/>
      <c r="D390" s="82"/>
    </row>
    <row r="391" ht="15.75" customHeight="1">
      <c r="A391" s="82"/>
      <c r="B391" s="82"/>
      <c r="C391" s="82"/>
      <c r="D391" s="82"/>
    </row>
    <row r="392" ht="15.75" customHeight="1">
      <c r="A392" s="82"/>
      <c r="B392" s="82"/>
      <c r="C392" s="82"/>
      <c r="D392" s="82"/>
    </row>
    <row r="393" ht="15.75" customHeight="1">
      <c r="A393" s="82"/>
      <c r="B393" s="82"/>
      <c r="C393" s="82"/>
      <c r="D393" s="82"/>
    </row>
    <row r="394" ht="15.75" customHeight="1">
      <c r="A394" s="82"/>
      <c r="B394" s="82"/>
      <c r="C394" s="82"/>
      <c r="D394" s="82"/>
    </row>
    <row r="395" ht="15.75" customHeight="1">
      <c r="A395" s="82"/>
      <c r="B395" s="82"/>
      <c r="C395" s="82"/>
      <c r="D395" s="82"/>
    </row>
    <row r="396" ht="15.75" customHeight="1">
      <c r="A396" s="82"/>
      <c r="B396" s="82"/>
      <c r="C396" s="82"/>
      <c r="D396" s="82"/>
    </row>
    <row r="397" ht="15.75" customHeight="1">
      <c r="A397" s="82"/>
      <c r="B397" s="82"/>
      <c r="C397" s="82"/>
      <c r="D397" s="82"/>
    </row>
    <row r="398" ht="15.75" customHeight="1">
      <c r="A398" s="82"/>
      <c r="B398" s="82"/>
      <c r="C398" s="82"/>
      <c r="D398" s="82"/>
    </row>
    <row r="399" ht="15.75" customHeight="1">
      <c r="A399" s="82"/>
      <c r="B399" s="82"/>
      <c r="C399" s="82"/>
      <c r="D399" s="82"/>
    </row>
    <row r="400" ht="15.75" customHeight="1">
      <c r="A400" s="82"/>
      <c r="B400" s="82"/>
      <c r="C400" s="82"/>
      <c r="D400" s="82"/>
    </row>
    <row r="401" ht="15.75" customHeight="1">
      <c r="A401" s="82"/>
      <c r="B401" s="82"/>
      <c r="C401" s="82"/>
      <c r="D401" s="82"/>
    </row>
    <row r="402" ht="15.75" customHeight="1">
      <c r="A402" s="82"/>
      <c r="B402" s="82"/>
      <c r="C402" s="82"/>
      <c r="D402" s="82"/>
    </row>
    <row r="403" ht="15.75" customHeight="1">
      <c r="A403" s="82"/>
      <c r="B403" s="82"/>
      <c r="C403" s="82"/>
      <c r="D403" s="82"/>
    </row>
    <row r="404" ht="15.75" customHeight="1">
      <c r="A404" s="82"/>
      <c r="B404" s="82"/>
      <c r="C404" s="82"/>
      <c r="D404" s="82"/>
    </row>
    <row r="405" ht="15.75" customHeight="1">
      <c r="A405" s="82"/>
      <c r="B405" s="82"/>
      <c r="C405" s="82"/>
      <c r="D405" s="82"/>
    </row>
    <row r="406" ht="15.75" customHeight="1">
      <c r="A406" s="82"/>
      <c r="B406" s="82"/>
      <c r="C406" s="82"/>
      <c r="D406" s="82"/>
    </row>
    <row r="407" ht="15.75" customHeight="1">
      <c r="A407" s="82"/>
      <c r="B407" s="82"/>
      <c r="C407" s="82"/>
      <c r="D407" s="82"/>
    </row>
    <row r="408" ht="15.75" customHeight="1">
      <c r="A408" s="82"/>
      <c r="B408" s="82"/>
      <c r="C408" s="82"/>
      <c r="D408" s="82"/>
    </row>
    <row r="409" ht="15.75" customHeight="1">
      <c r="A409" s="82"/>
      <c r="B409" s="82"/>
      <c r="C409" s="82"/>
      <c r="D409" s="82"/>
    </row>
    <row r="410" ht="15.75" customHeight="1">
      <c r="A410" s="82"/>
      <c r="B410" s="82"/>
      <c r="C410" s="82"/>
      <c r="D410" s="82"/>
    </row>
    <row r="411" ht="15.75" customHeight="1">
      <c r="A411" s="82"/>
      <c r="B411" s="82"/>
      <c r="C411" s="82"/>
      <c r="D411" s="82"/>
    </row>
    <row r="412" ht="15.75" customHeight="1">
      <c r="A412" s="82"/>
      <c r="B412" s="82"/>
      <c r="C412" s="82"/>
      <c r="D412" s="82"/>
    </row>
    <row r="413" ht="15.75" customHeight="1">
      <c r="A413" s="82"/>
      <c r="B413" s="82"/>
      <c r="C413" s="82"/>
      <c r="D413" s="82"/>
    </row>
    <row r="414" ht="15.75" customHeight="1">
      <c r="A414" s="82"/>
      <c r="B414" s="82"/>
      <c r="C414" s="82"/>
      <c r="D414" s="82"/>
    </row>
    <row r="415" ht="15.75" customHeight="1">
      <c r="A415" s="82"/>
      <c r="B415" s="82"/>
      <c r="C415" s="82"/>
      <c r="D415" s="82"/>
    </row>
    <row r="416" ht="15.75" customHeight="1">
      <c r="A416" s="82"/>
      <c r="B416" s="82"/>
      <c r="C416" s="82"/>
      <c r="D416" s="82"/>
    </row>
    <row r="417" ht="15.75" customHeight="1">
      <c r="A417" s="82"/>
      <c r="B417" s="82"/>
      <c r="C417" s="82"/>
      <c r="D417" s="82"/>
    </row>
    <row r="418" ht="15.75" customHeight="1">
      <c r="A418" s="82"/>
      <c r="B418" s="82"/>
      <c r="C418" s="82"/>
      <c r="D418" s="82"/>
    </row>
    <row r="419" ht="15.75" customHeight="1">
      <c r="A419" s="82"/>
      <c r="B419" s="82"/>
      <c r="C419" s="82"/>
      <c r="D419" s="82"/>
    </row>
    <row r="420" ht="15.75" customHeight="1">
      <c r="A420" s="82"/>
      <c r="B420" s="82"/>
      <c r="C420" s="82"/>
      <c r="D420" s="82"/>
    </row>
    <row r="421" ht="15.75" customHeight="1">
      <c r="A421" s="82"/>
      <c r="B421" s="82"/>
      <c r="C421" s="82"/>
      <c r="D421" s="82"/>
    </row>
    <row r="422" ht="15.75" customHeight="1">
      <c r="A422" s="82"/>
      <c r="B422" s="82"/>
      <c r="C422" s="82"/>
      <c r="D422" s="82"/>
    </row>
    <row r="423" ht="15.75" customHeight="1">
      <c r="A423" s="82"/>
      <c r="B423" s="82"/>
      <c r="C423" s="82"/>
      <c r="D423" s="82"/>
    </row>
    <row r="424" ht="15.75" customHeight="1">
      <c r="A424" s="82"/>
      <c r="B424" s="82"/>
      <c r="C424" s="82"/>
      <c r="D424" s="82"/>
    </row>
    <row r="425" ht="15.75" customHeight="1">
      <c r="A425" s="82"/>
      <c r="B425" s="82"/>
      <c r="C425" s="82"/>
      <c r="D425" s="82"/>
    </row>
    <row r="426" ht="15.75" customHeight="1">
      <c r="A426" s="82"/>
      <c r="B426" s="82"/>
      <c r="C426" s="82"/>
      <c r="D426" s="82"/>
    </row>
    <row r="427" ht="15.75" customHeight="1">
      <c r="A427" s="82"/>
      <c r="B427" s="82"/>
      <c r="C427" s="82"/>
      <c r="D427" s="82"/>
    </row>
    <row r="428" ht="15.75" customHeight="1">
      <c r="A428" s="82"/>
      <c r="B428" s="82"/>
      <c r="C428" s="82"/>
      <c r="D428" s="82"/>
    </row>
    <row r="429" ht="15.75" customHeight="1">
      <c r="A429" s="82"/>
      <c r="B429" s="82"/>
      <c r="C429" s="82"/>
      <c r="D429" s="82"/>
    </row>
    <row r="430" ht="15.75" customHeight="1">
      <c r="A430" s="82"/>
      <c r="B430" s="82"/>
      <c r="C430" s="82"/>
      <c r="D430" s="82"/>
    </row>
    <row r="431" ht="15.75" customHeight="1">
      <c r="A431" s="82"/>
      <c r="B431" s="82"/>
      <c r="C431" s="82"/>
      <c r="D431" s="82"/>
    </row>
    <row r="432" ht="15.75" customHeight="1">
      <c r="A432" s="82"/>
      <c r="B432" s="82"/>
      <c r="C432" s="82"/>
      <c r="D432" s="82"/>
    </row>
    <row r="433" ht="15.75" customHeight="1">
      <c r="A433" s="82"/>
      <c r="B433" s="82"/>
      <c r="C433" s="82"/>
      <c r="D433" s="82"/>
    </row>
    <row r="434" ht="15.75" customHeight="1">
      <c r="A434" s="82"/>
      <c r="B434" s="82"/>
      <c r="C434" s="82"/>
      <c r="D434" s="82"/>
    </row>
    <row r="435" ht="15.75" customHeight="1">
      <c r="A435" s="82"/>
      <c r="B435" s="82"/>
      <c r="C435" s="82"/>
      <c r="D435" s="82"/>
    </row>
    <row r="436" ht="15.75" customHeight="1">
      <c r="A436" s="82"/>
      <c r="B436" s="82"/>
      <c r="C436" s="82"/>
      <c r="D436" s="82"/>
    </row>
    <row r="437" ht="15.75" customHeight="1">
      <c r="A437" s="82"/>
      <c r="B437" s="82"/>
      <c r="C437" s="82"/>
      <c r="D437" s="82"/>
    </row>
    <row r="438" ht="15.75" customHeight="1">
      <c r="A438" s="82"/>
      <c r="B438" s="82"/>
      <c r="C438" s="82"/>
      <c r="D438" s="82"/>
    </row>
    <row r="439" ht="15.75" customHeight="1">
      <c r="A439" s="82"/>
      <c r="B439" s="82"/>
      <c r="C439" s="82"/>
      <c r="D439" s="82"/>
    </row>
    <row r="440" ht="15.75" customHeight="1">
      <c r="A440" s="82"/>
      <c r="B440" s="82"/>
      <c r="C440" s="82"/>
      <c r="D440" s="82"/>
    </row>
    <row r="441" ht="15.75" customHeight="1">
      <c r="A441" s="82"/>
      <c r="B441" s="82"/>
      <c r="C441" s="82"/>
      <c r="D441" s="82"/>
    </row>
    <row r="442" ht="15.75" customHeight="1">
      <c r="A442" s="82"/>
      <c r="B442" s="82"/>
      <c r="C442" s="82"/>
      <c r="D442" s="82"/>
    </row>
    <row r="443" ht="15.75" customHeight="1">
      <c r="A443" s="82"/>
      <c r="B443" s="82"/>
      <c r="C443" s="82"/>
      <c r="D443" s="82"/>
    </row>
    <row r="444" ht="15.75" customHeight="1">
      <c r="A444" s="82"/>
      <c r="B444" s="82"/>
      <c r="C444" s="82"/>
      <c r="D444" s="82"/>
    </row>
    <row r="445" ht="15.75" customHeight="1">
      <c r="A445" s="82"/>
      <c r="B445" s="82"/>
      <c r="C445" s="82"/>
      <c r="D445" s="82"/>
    </row>
    <row r="446" ht="15.75" customHeight="1">
      <c r="A446" s="82"/>
      <c r="B446" s="82"/>
      <c r="C446" s="82"/>
      <c r="D446" s="82"/>
    </row>
    <row r="447" ht="15.75" customHeight="1">
      <c r="A447" s="82"/>
      <c r="B447" s="82"/>
      <c r="C447" s="82"/>
      <c r="D447" s="82"/>
    </row>
    <row r="448" ht="15.75" customHeight="1">
      <c r="A448" s="82"/>
      <c r="B448" s="82"/>
      <c r="C448" s="82"/>
      <c r="D448" s="82"/>
    </row>
    <row r="449" ht="15.75" customHeight="1">
      <c r="A449" s="82"/>
      <c r="B449" s="82"/>
      <c r="C449" s="82"/>
      <c r="D449" s="82"/>
    </row>
    <row r="450" ht="15.75" customHeight="1">
      <c r="A450" s="82"/>
      <c r="B450" s="82"/>
      <c r="C450" s="82"/>
      <c r="D450" s="82"/>
    </row>
    <row r="451" ht="15.75" customHeight="1">
      <c r="A451" s="82"/>
      <c r="B451" s="82"/>
      <c r="C451" s="82"/>
      <c r="D451" s="82"/>
    </row>
    <row r="452" ht="15.75" customHeight="1">
      <c r="A452" s="82"/>
      <c r="B452" s="82"/>
      <c r="C452" s="82"/>
      <c r="D452" s="82"/>
    </row>
    <row r="453" ht="15.75" customHeight="1">
      <c r="A453" s="82"/>
      <c r="B453" s="82"/>
      <c r="C453" s="82"/>
      <c r="D453" s="82"/>
    </row>
    <row r="454" ht="15.75" customHeight="1">
      <c r="A454" s="82"/>
      <c r="B454" s="82"/>
      <c r="C454" s="82"/>
      <c r="D454" s="82"/>
    </row>
    <row r="455" ht="15.75" customHeight="1">
      <c r="A455" s="82"/>
      <c r="B455" s="82"/>
      <c r="C455" s="82"/>
      <c r="D455" s="82"/>
    </row>
    <row r="456" ht="15.75" customHeight="1">
      <c r="A456" s="82"/>
      <c r="B456" s="82"/>
      <c r="C456" s="82"/>
      <c r="D456" s="82"/>
    </row>
    <row r="457" ht="15.75" customHeight="1">
      <c r="A457" s="82"/>
      <c r="B457" s="82"/>
      <c r="C457" s="82"/>
      <c r="D457" s="82"/>
    </row>
    <row r="458" ht="15.75" customHeight="1">
      <c r="A458" s="82"/>
      <c r="B458" s="82"/>
      <c r="C458" s="82"/>
      <c r="D458" s="82"/>
    </row>
    <row r="459" ht="15.75" customHeight="1">
      <c r="A459" s="82"/>
      <c r="B459" s="82"/>
      <c r="C459" s="82"/>
      <c r="D459" s="82"/>
    </row>
    <row r="460" ht="15.75" customHeight="1">
      <c r="A460" s="82"/>
      <c r="B460" s="82"/>
      <c r="C460" s="82"/>
      <c r="D460" s="82"/>
    </row>
    <row r="461" ht="15.75" customHeight="1">
      <c r="A461" s="82"/>
      <c r="B461" s="82"/>
      <c r="C461" s="82"/>
      <c r="D461" s="82"/>
    </row>
    <row r="462" ht="15.75" customHeight="1">
      <c r="A462" s="82"/>
      <c r="B462" s="82"/>
      <c r="C462" s="82"/>
      <c r="D462" s="82"/>
    </row>
    <row r="463" ht="15.75" customHeight="1">
      <c r="A463" s="82"/>
      <c r="B463" s="82"/>
      <c r="C463" s="82"/>
      <c r="D463" s="82"/>
    </row>
    <row r="464" ht="15.75" customHeight="1">
      <c r="A464" s="82"/>
      <c r="B464" s="82"/>
      <c r="C464" s="82"/>
      <c r="D464" s="82"/>
    </row>
    <row r="465" ht="15.75" customHeight="1">
      <c r="A465" s="82"/>
      <c r="B465" s="82"/>
      <c r="C465" s="82"/>
      <c r="D465" s="82"/>
    </row>
    <row r="466" ht="15.75" customHeight="1">
      <c r="A466" s="82"/>
      <c r="B466" s="82"/>
      <c r="C466" s="82"/>
      <c r="D466" s="82"/>
    </row>
    <row r="467" ht="15.75" customHeight="1">
      <c r="A467" s="82"/>
      <c r="B467" s="82"/>
      <c r="C467" s="82"/>
      <c r="D467" s="82"/>
    </row>
    <row r="468" ht="15.75" customHeight="1">
      <c r="A468" s="82"/>
      <c r="B468" s="82"/>
      <c r="C468" s="82"/>
      <c r="D468" s="82"/>
    </row>
    <row r="469" ht="15.75" customHeight="1">
      <c r="A469" s="82"/>
      <c r="B469" s="82"/>
      <c r="C469" s="82"/>
      <c r="D469" s="82"/>
    </row>
    <row r="470" ht="15.75" customHeight="1">
      <c r="A470" s="82"/>
      <c r="B470" s="82"/>
      <c r="C470" s="82"/>
      <c r="D470" s="82"/>
    </row>
    <row r="471" ht="15.75" customHeight="1">
      <c r="A471" s="82"/>
      <c r="B471" s="82"/>
      <c r="C471" s="82"/>
      <c r="D471" s="82"/>
    </row>
    <row r="472" ht="15.75" customHeight="1">
      <c r="A472" s="82"/>
      <c r="B472" s="82"/>
      <c r="C472" s="82"/>
      <c r="D472" s="82"/>
    </row>
    <row r="473" ht="15.75" customHeight="1">
      <c r="A473" s="82"/>
      <c r="B473" s="82"/>
      <c r="C473" s="82"/>
      <c r="D473" s="82"/>
    </row>
    <row r="474" ht="15.75" customHeight="1">
      <c r="A474" s="82"/>
      <c r="B474" s="82"/>
      <c r="C474" s="82"/>
      <c r="D474" s="82"/>
    </row>
    <row r="475" ht="15.75" customHeight="1">
      <c r="A475" s="82"/>
      <c r="B475" s="82"/>
      <c r="C475" s="82"/>
      <c r="D475" s="82"/>
    </row>
    <row r="476" ht="15.75" customHeight="1">
      <c r="A476" s="82"/>
      <c r="B476" s="82"/>
      <c r="C476" s="82"/>
      <c r="D476" s="82"/>
    </row>
    <row r="477" ht="15.75" customHeight="1">
      <c r="A477" s="82"/>
      <c r="B477" s="82"/>
      <c r="C477" s="82"/>
      <c r="D477" s="82"/>
    </row>
    <row r="478" ht="15.75" customHeight="1">
      <c r="A478" s="82"/>
      <c r="B478" s="82"/>
      <c r="C478" s="82"/>
      <c r="D478" s="82"/>
    </row>
    <row r="479" ht="15.75" customHeight="1">
      <c r="A479" s="82"/>
      <c r="B479" s="82"/>
      <c r="C479" s="82"/>
      <c r="D479" s="82"/>
    </row>
    <row r="480" ht="15.75" customHeight="1">
      <c r="A480" s="82"/>
      <c r="B480" s="82"/>
      <c r="C480" s="82"/>
      <c r="D480" s="82"/>
    </row>
    <row r="481" ht="15.75" customHeight="1">
      <c r="A481" s="82"/>
      <c r="B481" s="82"/>
      <c r="C481" s="82"/>
      <c r="D481" s="82"/>
    </row>
    <row r="482" ht="15.75" customHeight="1">
      <c r="A482" s="82"/>
      <c r="B482" s="82"/>
      <c r="C482" s="82"/>
      <c r="D482" s="82"/>
    </row>
    <row r="483" ht="15.75" customHeight="1">
      <c r="A483" s="82"/>
      <c r="B483" s="82"/>
      <c r="C483" s="82"/>
      <c r="D483" s="82"/>
    </row>
    <row r="484" ht="15.75" customHeight="1">
      <c r="A484" s="82"/>
      <c r="B484" s="82"/>
      <c r="C484" s="82"/>
      <c r="D484" s="82"/>
    </row>
    <row r="485" ht="15.75" customHeight="1">
      <c r="A485" s="82"/>
      <c r="B485" s="82"/>
      <c r="C485" s="82"/>
      <c r="D485" s="82"/>
    </row>
    <row r="486" ht="15.75" customHeight="1">
      <c r="A486" s="82"/>
      <c r="B486" s="82"/>
      <c r="C486" s="82"/>
      <c r="D486" s="82"/>
    </row>
    <row r="487" ht="15.75" customHeight="1">
      <c r="A487" s="82"/>
      <c r="B487" s="82"/>
      <c r="C487" s="82"/>
      <c r="D487" s="82"/>
    </row>
    <row r="488" ht="15.75" customHeight="1">
      <c r="A488" s="82"/>
      <c r="B488" s="82"/>
      <c r="C488" s="82"/>
      <c r="D488" s="82"/>
    </row>
    <row r="489" ht="15.75" customHeight="1">
      <c r="A489" s="82"/>
      <c r="B489" s="82"/>
      <c r="C489" s="82"/>
      <c r="D489" s="82"/>
    </row>
    <row r="490" ht="15.75" customHeight="1">
      <c r="A490" s="82"/>
      <c r="B490" s="82"/>
      <c r="C490" s="82"/>
      <c r="D490" s="82"/>
    </row>
    <row r="491" ht="15.75" customHeight="1">
      <c r="A491" s="82"/>
      <c r="B491" s="82"/>
      <c r="C491" s="82"/>
      <c r="D491" s="82"/>
    </row>
    <row r="492" ht="15.75" customHeight="1">
      <c r="A492" s="82"/>
      <c r="B492" s="82"/>
      <c r="C492" s="82"/>
      <c r="D492" s="82"/>
    </row>
    <row r="493" ht="15.75" customHeight="1">
      <c r="A493" s="82"/>
      <c r="B493" s="82"/>
      <c r="C493" s="82"/>
      <c r="D493" s="82"/>
    </row>
    <row r="494" ht="15.75" customHeight="1">
      <c r="A494" s="82"/>
      <c r="B494" s="82"/>
      <c r="C494" s="82"/>
      <c r="D494" s="82"/>
    </row>
    <row r="495" ht="15.75" customHeight="1">
      <c r="A495" s="82"/>
      <c r="B495" s="82"/>
      <c r="C495" s="82"/>
      <c r="D495" s="82"/>
    </row>
    <row r="496" ht="15.75" customHeight="1">
      <c r="A496" s="82"/>
      <c r="B496" s="82"/>
      <c r="C496" s="82"/>
      <c r="D496" s="82"/>
    </row>
    <row r="497" ht="15.75" customHeight="1">
      <c r="A497" s="82"/>
      <c r="B497" s="82"/>
      <c r="C497" s="82"/>
      <c r="D497" s="82"/>
    </row>
    <row r="498" ht="15.75" customHeight="1">
      <c r="A498" s="82"/>
      <c r="B498" s="82"/>
      <c r="C498" s="82"/>
      <c r="D498" s="82"/>
    </row>
    <row r="499" ht="15.75" customHeight="1">
      <c r="A499" s="82"/>
      <c r="B499" s="82"/>
      <c r="C499" s="82"/>
      <c r="D499" s="82"/>
    </row>
    <row r="500" ht="15.75" customHeight="1">
      <c r="A500" s="82"/>
      <c r="B500" s="82"/>
      <c r="C500" s="82"/>
      <c r="D500" s="82"/>
    </row>
    <row r="501" ht="15.75" customHeight="1">
      <c r="A501" s="82"/>
      <c r="B501" s="82"/>
      <c r="C501" s="82"/>
      <c r="D501" s="82"/>
    </row>
    <row r="502" ht="15.75" customHeight="1">
      <c r="A502" s="82"/>
      <c r="B502" s="82"/>
      <c r="C502" s="82"/>
      <c r="D502" s="82"/>
    </row>
    <row r="503" ht="15.75" customHeight="1">
      <c r="A503" s="82"/>
      <c r="B503" s="82"/>
      <c r="C503" s="82"/>
      <c r="D503" s="82"/>
    </row>
    <row r="504" ht="15.75" customHeight="1">
      <c r="A504" s="82"/>
      <c r="B504" s="82"/>
      <c r="C504" s="82"/>
      <c r="D504" s="82"/>
    </row>
    <row r="505" ht="15.75" customHeight="1">
      <c r="A505" s="82"/>
      <c r="B505" s="82"/>
      <c r="C505" s="82"/>
      <c r="D505" s="82"/>
    </row>
    <row r="506" ht="15.75" customHeight="1">
      <c r="A506" s="82"/>
      <c r="B506" s="82"/>
      <c r="C506" s="82"/>
      <c r="D506" s="82"/>
    </row>
    <row r="507" ht="15.75" customHeight="1">
      <c r="A507" s="82"/>
      <c r="B507" s="82"/>
      <c r="C507" s="82"/>
      <c r="D507" s="82"/>
    </row>
    <row r="508" ht="15.75" customHeight="1">
      <c r="A508" s="82"/>
      <c r="B508" s="82"/>
      <c r="C508" s="82"/>
      <c r="D508" s="82"/>
    </row>
    <row r="509" ht="15.75" customHeight="1">
      <c r="A509" s="82"/>
      <c r="B509" s="82"/>
      <c r="C509" s="82"/>
      <c r="D509" s="82"/>
    </row>
    <row r="510" ht="15.75" customHeight="1">
      <c r="A510" s="82"/>
      <c r="B510" s="82"/>
      <c r="C510" s="82"/>
      <c r="D510" s="82"/>
    </row>
    <row r="511" ht="15.75" customHeight="1">
      <c r="A511" s="82"/>
      <c r="B511" s="82"/>
      <c r="C511" s="82"/>
      <c r="D511" s="82"/>
    </row>
    <row r="512" ht="15.75" customHeight="1">
      <c r="A512" s="82"/>
      <c r="B512" s="82"/>
      <c r="C512" s="82"/>
      <c r="D512" s="82"/>
    </row>
    <row r="513" ht="15.75" customHeight="1">
      <c r="A513" s="82"/>
      <c r="B513" s="82"/>
      <c r="C513" s="82"/>
      <c r="D513" s="82"/>
    </row>
    <row r="514" ht="15.75" customHeight="1">
      <c r="A514" s="82"/>
      <c r="B514" s="82"/>
      <c r="C514" s="82"/>
      <c r="D514" s="82"/>
    </row>
    <row r="515" ht="15.75" customHeight="1">
      <c r="A515" s="82"/>
      <c r="B515" s="82"/>
      <c r="C515" s="82"/>
      <c r="D515" s="82"/>
    </row>
    <row r="516" ht="15.75" customHeight="1">
      <c r="A516" s="82"/>
      <c r="B516" s="82"/>
      <c r="C516" s="82"/>
      <c r="D516" s="82"/>
    </row>
    <row r="517" ht="15.75" customHeight="1">
      <c r="A517" s="82"/>
      <c r="B517" s="82"/>
      <c r="C517" s="82"/>
      <c r="D517" s="82"/>
    </row>
    <row r="518" ht="15.75" customHeight="1">
      <c r="A518" s="82"/>
      <c r="B518" s="82"/>
      <c r="C518" s="82"/>
      <c r="D518" s="82"/>
    </row>
    <row r="519" ht="15.75" customHeight="1">
      <c r="A519" s="82"/>
      <c r="B519" s="82"/>
      <c r="C519" s="82"/>
      <c r="D519" s="82"/>
    </row>
    <row r="520" ht="15.75" customHeight="1">
      <c r="A520" s="82"/>
      <c r="B520" s="82"/>
      <c r="C520" s="82"/>
      <c r="D520" s="82"/>
    </row>
    <row r="521" ht="15.75" customHeight="1">
      <c r="A521" s="82"/>
      <c r="B521" s="82"/>
      <c r="C521" s="82"/>
      <c r="D521" s="82"/>
    </row>
    <row r="522" ht="15.75" customHeight="1">
      <c r="A522" s="82"/>
      <c r="B522" s="82"/>
      <c r="C522" s="82"/>
      <c r="D522" s="82"/>
    </row>
    <row r="523" ht="15.75" customHeight="1">
      <c r="A523" s="82"/>
      <c r="B523" s="82"/>
      <c r="C523" s="82"/>
      <c r="D523" s="82"/>
    </row>
    <row r="524" ht="15.75" customHeight="1">
      <c r="A524" s="82"/>
      <c r="B524" s="82"/>
      <c r="C524" s="82"/>
      <c r="D524" s="82"/>
    </row>
    <row r="525" ht="15.75" customHeight="1">
      <c r="A525" s="82"/>
      <c r="B525" s="82"/>
      <c r="C525" s="82"/>
      <c r="D525" s="82"/>
    </row>
    <row r="526" ht="15.75" customHeight="1">
      <c r="A526" s="82"/>
      <c r="B526" s="82"/>
      <c r="C526" s="82"/>
      <c r="D526" s="82"/>
    </row>
    <row r="527" ht="15.75" customHeight="1">
      <c r="A527" s="82"/>
      <c r="B527" s="82"/>
      <c r="C527" s="82"/>
      <c r="D527" s="82"/>
    </row>
    <row r="528" ht="15.75" customHeight="1">
      <c r="A528" s="82"/>
      <c r="B528" s="82"/>
      <c r="C528" s="82"/>
      <c r="D528" s="82"/>
    </row>
    <row r="529" ht="15.75" customHeight="1">
      <c r="A529" s="82"/>
      <c r="B529" s="82"/>
      <c r="C529" s="82"/>
      <c r="D529" s="82"/>
    </row>
    <row r="530" ht="15.75" customHeight="1">
      <c r="A530" s="82"/>
      <c r="B530" s="82"/>
      <c r="C530" s="82"/>
      <c r="D530" s="82"/>
    </row>
    <row r="531" ht="15.75" customHeight="1">
      <c r="A531" s="82"/>
      <c r="B531" s="82"/>
      <c r="C531" s="82"/>
      <c r="D531" s="82"/>
    </row>
    <row r="532" ht="15.75" customHeight="1">
      <c r="A532" s="82"/>
      <c r="B532" s="82"/>
      <c r="C532" s="82"/>
      <c r="D532" s="82"/>
    </row>
    <row r="533" ht="15.75" customHeight="1">
      <c r="A533" s="82"/>
      <c r="B533" s="82"/>
      <c r="C533" s="82"/>
      <c r="D533" s="82"/>
    </row>
    <row r="534" ht="15.75" customHeight="1">
      <c r="A534" s="82"/>
      <c r="B534" s="82"/>
      <c r="C534" s="82"/>
      <c r="D534" s="82"/>
    </row>
    <row r="535" ht="15.75" customHeight="1">
      <c r="A535" s="82"/>
      <c r="B535" s="82"/>
      <c r="C535" s="82"/>
      <c r="D535" s="82"/>
    </row>
    <row r="536" ht="15.75" customHeight="1">
      <c r="A536" s="82"/>
      <c r="B536" s="82"/>
      <c r="C536" s="82"/>
      <c r="D536" s="82"/>
    </row>
    <row r="537" ht="15.75" customHeight="1">
      <c r="A537" s="82"/>
      <c r="B537" s="82"/>
      <c r="C537" s="82"/>
      <c r="D537" s="82"/>
    </row>
    <row r="538" ht="15.75" customHeight="1">
      <c r="A538" s="82"/>
      <c r="B538" s="82"/>
      <c r="C538" s="82"/>
      <c r="D538" s="82"/>
    </row>
    <row r="539" ht="15.75" customHeight="1">
      <c r="A539" s="82"/>
      <c r="B539" s="82"/>
      <c r="C539" s="82"/>
      <c r="D539" s="82"/>
    </row>
    <row r="540" ht="15.75" customHeight="1">
      <c r="A540" s="82"/>
      <c r="B540" s="82"/>
      <c r="C540" s="82"/>
      <c r="D540" s="82"/>
    </row>
    <row r="541" ht="15.75" customHeight="1">
      <c r="A541" s="82"/>
      <c r="B541" s="82"/>
      <c r="C541" s="82"/>
      <c r="D541" s="82"/>
    </row>
    <row r="542" ht="15.75" customHeight="1">
      <c r="A542" s="82"/>
      <c r="B542" s="82"/>
      <c r="C542" s="82"/>
      <c r="D542" s="82"/>
    </row>
    <row r="543" ht="15.75" customHeight="1">
      <c r="A543" s="82"/>
      <c r="B543" s="82"/>
      <c r="C543" s="82"/>
      <c r="D543" s="82"/>
    </row>
    <row r="544" ht="15.75" customHeight="1">
      <c r="A544" s="82"/>
      <c r="B544" s="82"/>
      <c r="C544" s="82"/>
      <c r="D544" s="82"/>
    </row>
    <row r="545" ht="15.75" customHeight="1">
      <c r="A545" s="82"/>
      <c r="B545" s="82"/>
      <c r="C545" s="82"/>
      <c r="D545" s="82"/>
    </row>
    <row r="546" ht="15.75" customHeight="1">
      <c r="A546" s="82"/>
      <c r="B546" s="82"/>
      <c r="C546" s="82"/>
      <c r="D546" s="82"/>
    </row>
    <row r="547" ht="15.75" customHeight="1">
      <c r="A547" s="82"/>
      <c r="B547" s="82"/>
      <c r="C547" s="82"/>
      <c r="D547" s="82"/>
    </row>
    <row r="548" ht="15.75" customHeight="1">
      <c r="A548" s="82"/>
      <c r="B548" s="82"/>
      <c r="C548" s="82"/>
      <c r="D548" s="82"/>
    </row>
    <row r="549" ht="15.75" customHeight="1">
      <c r="A549" s="82"/>
      <c r="B549" s="82"/>
      <c r="C549" s="82"/>
      <c r="D549" s="82"/>
    </row>
    <row r="550" ht="15.75" customHeight="1">
      <c r="A550" s="82"/>
      <c r="B550" s="82"/>
      <c r="C550" s="82"/>
      <c r="D550" s="82"/>
    </row>
    <row r="551" ht="15.75" customHeight="1">
      <c r="A551" s="82"/>
      <c r="B551" s="82"/>
      <c r="C551" s="82"/>
      <c r="D551" s="82"/>
    </row>
    <row r="552" ht="15.75" customHeight="1">
      <c r="A552" s="82"/>
      <c r="B552" s="82"/>
      <c r="C552" s="82"/>
      <c r="D552" s="82"/>
    </row>
    <row r="553" ht="15.75" customHeight="1">
      <c r="A553" s="82"/>
      <c r="B553" s="82"/>
      <c r="C553" s="82"/>
      <c r="D553" s="82"/>
    </row>
    <row r="554" ht="15.75" customHeight="1">
      <c r="A554" s="82"/>
      <c r="B554" s="82"/>
      <c r="C554" s="82"/>
      <c r="D554" s="82"/>
    </row>
    <row r="555" ht="15.75" customHeight="1">
      <c r="A555" s="82"/>
      <c r="B555" s="82"/>
      <c r="C555" s="82"/>
      <c r="D555" s="82"/>
    </row>
    <row r="556" ht="15.75" customHeight="1">
      <c r="A556" s="82"/>
      <c r="B556" s="82"/>
      <c r="C556" s="82"/>
      <c r="D556" s="82"/>
    </row>
    <row r="557" ht="15.75" customHeight="1">
      <c r="A557" s="82"/>
      <c r="B557" s="82"/>
      <c r="C557" s="82"/>
      <c r="D557" s="82"/>
    </row>
    <row r="558" ht="15.75" customHeight="1">
      <c r="A558" s="82"/>
      <c r="B558" s="82"/>
      <c r="C558" s="82"/>
      <c r="D558" s="82"/>
    </row>
    <row r="559" ht="15.75" customHeight="1">
      <c r="A559" s="82"/>
      <c r="B559" s="82"/>
      <c r="C559" s="82"/>
      <c r="D559" s="82"/>
    </row>
    <row r="560" ht="15.75" customHeight="1">
      <c r="A560" s="82"/>
      <c r="B560" s="82"/>
      <c r="C560" s="82"/>
      <c r="D560" s="82"/>
    </row>
    <row r="561" ht="15.75" customHeight="1">
      <c r="A561" s="82"/>
      <c r="B561" s="82"/>
      <c r="C561" s="82"/>
      <c r="D561" s="82"/>
    </row>
    <row r="562" ht="15.75" customHeight="1">
      <c r="A562" s="82"/>
      <c r="B562" s="82"/>
      <c r="C562" s="82"/>
      <c r="D562" s="82"/>
    </row>
    <row r="563" ht="15.75" customHeight="1">
      <c r="A563" s="82"/>
      <c r="B563" s="82"/>
      <c r="C563" s="82"/>
      <c r="D563" s="82"/>
    </row>
    <row r="564" ht="15.75" customHeight="1">
      <c r="A564" s="82"/>
      <c r="B564" s="82"/>
      <c r="C564" s="82"/>
      <c r="D564" s="82"/>
    </row>
    <row r="565" ht="15.75" customHeight="1">
      <c r="A565" s="82"/>
      <c r="B565" s="82"/>
      <c r="C565" s="82"/>
      <c r="D565" s="82"/>
    </row>
    <row r="566" ht="15.75" customHeight="1">
      <c r="A566" s="82"/>
      <c r="B566" s="82"/>
      <c r="C566" s="82"/>
      <c r="D566" s="82"/>
    </row>
    <row r="567" ht="15.75" customHeight="1">
      <c r="A567" s="82"/>
      <c r="B567" s="82"/>
      <c r="C567" s="82"/>
      <c r="D567" s="82"/>
    </row>
    <row r="568" ht="15.75" customHeight="1">
      <c r="A568" s="82"/>
      <c r="B568" s="82"/>
      <c r="C568" s="82"/>
      <c r="D568" s="82"/>
    </row>
    <row r="569" ht="15.75" customHeight="1">
      <c r="A569" s="82"/>
      <c r="B569" s="82"/>
      <c r="C569" s="82"/>
      <c r="D569" s="82"/>
    </row>
    <row r="570" ht="15.75" customHeight="1">
      <c r="A570" s="82"/>
      <c r="B570" s="82"/>
      <c r="C570" s="82"/>
      <c r="D570" s="82"/>
    </row>
    <row r="571" ht="15.75" customHeight="1">
      <c r="A571" s="82"/>
      <c r="B571" s="82"/>
      <c r="C571" s="82"/>
      <c r="D571" s="82"/>
    </row>
    <row r="572" ht="15.75" customHeight="1">
      <c r="A572" s="82"/>
      <c r="B572" s="82"/>
      <c r="C572" s="82"/>
      <c r="D572" s="82"/>
    </row>
    <row r="573" ht="15.75" customHeight="1">
      <c r="A573" s="82"/>
      <c r="B573" s="82"/>
      <c r="C573" s="82"/>
      <c r="D573" s="82"/>
    </row>
    <row r="574" ht="15.75" customHeight="1">
      <c r="A574" s="82"/>
      <c r="B574" s="82"/>
      <c r="C574" s="82"/>
      <c r="D574" s="82"/>
    </row>
    <row r="575" ht="15.75" customHeight="1">
      <c r="A575" s="82"/>
      <c r="B575" s="82"/>
      <c r="C575" s="82"/>
      <c r="D575" s="82"/>
    </row>
    <row r="576" ht="15.75" customHeight="1">
      <c r="A576" s="82"/>
      <c r="B576" s="82"/>
      <c r="C576" s="82"/>
      <c r="D576" s="82"/>
    </row>
    <row r="577" ht="15.75" customHeight="1">
      <c r="A577" s="82"/>
      <c r="B577" s="82"/>
      <c r="C577" s="82"/>
      <c r="D577" s="82"/>
    </row>
    <row r="578" ht="15.75" customHeight="1">
      <c r="A578" s="82"/>
      <c r="B578" s="82"/>
      <c r="C578" s="82"/>
      <c r="D578" s="82"/>
    </row>
    <row r="579" ht="15.75" customHeight="1">
      <c r="A579" s="82"/>
      <c r="B579" s="82"/>
      <c r="C579" s="82"/>
      <c r="D579" s="82"/>
    </row>
    <row r="580" ht="15.75" customHeight="1">
      <c r="A580" s="82"/>
      <c r="B580" s="82"/>
      <c r="C580" s="82"/>
      <c r="D580" s="82"/>
    </row>
    <row r="581" ht="15.75" customHeight="1">
      <c r="A581" s="82"/>
      <c r="B581" s="82"/>
      <c r="C581" s="82"/>
      <c r="D581" s="82"/>
    </row>
    <row r="582" ht="15.75" customHeight="1">
      <c r="A582" s="82"/>
      <c r="B582" s="82"/>
      <c r="C582" s="82"/>
      <c r="D582" s="82"/>
    </row>
    <row r="583" ht="15.75" customHeight="1">
      <c r="A583" s="82"/>
      <c r="B583" s="82"/>
      <c r="C583" s="82"/>
      <c r="D583" s="82"/>
    </row>
    <row r="584" ht="15.75" customHeight="1">
      <c r="A584" s="82"/>
      <c r="B584" s="82"/>
      <c r="C584" s="82"/>
      <c r="D584" s="82"/>
    </row>
    <row r="585" ht="15.75" customHeight="1">
      <c r="A585" s="82"/>
      <c r="B585" s="82"/>
      <c r="C585" s="82"/>
      <c r="D585" s="82"/>
    </row>
    <row r="586" ht="15.75" customHeight="1">
      <c r="A586" s="82"/>
      <c r="B586" s="82"/>
      <c r="C586" s="82"/>
      <c r="D586" s="82"/>
    </row>
    <row r="587" ht="15.75" customHeight="1">
      <c r="A587" s="82"/>
      <c r="B587" s="82"/>
      <c r="C587" s="82"/>
      <c r="D587" s="82"/>
    </row>
    <row r="588" ht="15.75" customHeight="1">
      <c r="A588" s="82"/>
      <c r="B588" s="82"/>
      <c r="C588" s="82"/>
      <c r="D588" s="82"/>
    </row>
    <row r="589" ht="15.75" customHeight="1">
      <c r="A589" s="82"/>
      <c r="B589" s="82"/>
      <c r="C589" s="82"/>
      <c r="D589" s="82"/>
    </row>
    <row r="590" ht="15.75" customHeight="1">
      <c r="A590" s="82"/>
      <c r="B590" s="82"/>
      <c r="C590" s="82"/>
      <c r="D590" s="82"/>
    </row>
    <row r="591" ht="15.75" customHeight="1">
      <c r="A591" s="82"/>
      <c r="B591" s="82"/>
      <c r="C591" s="82"/>
      <c r="D591" s="82"/>
    </row>
    <row r="592" ht="15.75" customHeight="1">
      <c r="A592" s="82"/>
      <c r="B592" s="82"/>
      <c r="C592" s="82"/>
      <c r="D592" s="82"/>
    </row>
    <row r="593" ht="15.75" customHeight="1">
      <c r="A593" s="82"/>
      <c r="B593" s="82"/>
      <c r="C593" s="82"/>
      <c r="D593" s="82"/>
    </row>
    <row r="594" ht="15.75" customHeight="1">
      <c r="A594" s="82"/>
      <c r="B594" s="82"/>
      <c r="C594" s="82"/>
      <c r="D594" s="82"/>
    </row>
    <row r="595" ht="15.75" customHeight="1">
      <c r="A595" s="82"/>
      <c r="B595" s="82"/>
      <c r="C595" s="82"/>
      <c r="D595" s="82"/>
    </row>
    <row r="596" ht="15.75" customHeight="1">
      <c r="A596" s="82"/>
      <c r="B596" s="82"/>
      <c r="C596" s="82"/>
      <c r="D596" s="82"/>
    </row>
    <row r="597" ht="15.75" customHeight="1">
      <c r="A597" s="82"/>
      <c r="B597" s="82"/>
      <c r="C597" s="82"/>
      <c r="D597" s="82"/>
    </row>
    <row r="598" ht="15.75" customHeight="1">
      <c r="A598" s="82"/>
      <c r="B598" s="82"/>
      <c r="C598" s="82"/>
      <c r="D598" s="82"/>
    </row>
    <row r="599" ht="15.75" customHeight="1">
      <c r="A599" s="82"/>
      <c r="B599" s="82"/>
      <c r="C599" s="82"/>
      <c r="D599" s="82"/>
    </row>
    <row r="600" ht="15.75" customHeight="1">
      <c r="A600" s="82"/>
      <c r="B600" s="82"/>
      <c r="C600" s="82"/>
      <c r="D600" s="82"/>
    </row>
    <row r="601" ht="15.75" customHeight="1">
      <c r="A601" s="82"/>
      <c r="B601" s="82"/>
      <c r="C601" s="82"/>
      <c r="D601" s="82"/>
    </row>
    <row r="602" ht="15.75" customHeight="1">
      <c r="A602" s="82"/>
      <c r="B602" s="82"/>
      <c r="C602" s="82"/>
      <c r="D602" s="82"/>
    </row>
    <row r="603" ht="15.75" customHeight="1">
      <c r="A603" s="82"/>
      <c r="B603" s="82"/>
      <c r="C603" s="82"/>
      <c r="D603" s="82"/>
    </row>
    <row r="604" ht="15.75" customHeight="1">
      <c r="A604" s="82"/>
      <c r="B604" s="82"/>
      <c r="C604" s="82"/>
      <c r="D604" s="82"/>
    </row>
    <row r="605" ht="15.75" customHeight="1">
      <c r="A605" s="82"/>
      <c r="B605" s="82"/>
      <c r="C605" s="82"/>
      <c r="D605" s="82"/>
    </row>
    <row r="606" ht="15.75" customHeight="1">
      <c r="A606" s="82"/>
      <c r="B606" s="82"/>
      <c r="C606" s="82"/>
      <c r="D606" s="82"/>
    </row>
    <row r="607" ht="15.75" customHeight="1">
      <c r="A607" s="82"/>
      <c r="B607" s="82"/>
      <c r="C607" s="82"/>
      <c r="D607" s="82"/>
    </row>
    <row r="608" ht="15.75" customHeight="1">
      <c r="A608" s="82"/>
      <c r="B608" s="82"/>
      <c r="C608" s="82"/>
      <c r="D608" s="82"/>
    </row>
    <row r="609" ht="15.75" customHeight="1">
      <c r="A609" s="82"/>
      <c r="B609" s="82"/>
      <c r="C609" s="82"/>
      <c r="D609" s="82"/>
    </row>
    <row r="610" ht="15.75" customHeight="1">
      <c r="A610" s="82"/>
      <c r="B610" s="82"/>
      <c r="C610" s="82"/>
      <c r="D610" s="82"/>
    </row>
    <row r="611" ht="15.75" customHeight="1">
      <c r="A611" s="82"/>
      <c r="B611" s="82"/>
      <c r="C611" s="82"/>
      <c r="D611" s="82"/>
    </row>
    <row r="612" ht="15.75" customHeight="1">
      <c r="A612" s="82"/>
      <c r="B612" s="82"/>
      <c r="C612" s="82"/>
      <c r="D612" s="82"/>
    </row>
    <row r="613" ht="15.75" customHeight="1">
      <c r="A613" s="82"/>
      <c r="B613" s="82"/>
      <c r="C613" s="82"/>
      <c r="D613" s="82"/>
    </row>
    <row r="614" ht="15.75" customHeight="1">
      <c r="A614" s="82"/>
      <c r="B614" s="82"/>
      <c r="C614" s="82"/>
      <c r="D614" s="82"/>
    </row>
    <row r="615" ht="15.75" customHeight="1">
      <c r="A615" s="82"/>
      <c r="B615" s="82"/>
      <c r="C615" s="82"/>
      <c r="D615" s="82"/>
    </row>
    <row r="616" ht="15.75" customHeight="1">
      <c r="A616" s="82"/>
      <c r="B616" s="82"/>
      <c r="C616" s="82"/>
      <c r="D616" s="82"/>
    </row>
    <row r="617" ht="15.75" customHeight="1">
      <c r="A617" s="82"/>
      <c r="B617" s="82"/>
      <c r="C617" s="82"/>
      <c r="D617" s="82"/>
    </row>
    <row r="618" ht="15.75" customHeight="1">
      <c r="A618" s="82"/>
      <c r="B618" s="82"/>
      <c r="C618" s="82"/>
      <c r="D618" s="82"/>
    </row>
    <row r="619" ht="15.75" customHeight="1">
      <c r="A619" s="82"/>
      <c r="B619" s="82"/>
      <c r="C619" s="82"/>
      <c r="D619" s="82"/>
    </row>
    <row r="620" ht="15.75" customHeight="1">
      <c r="A620" s="82"/>
      <c r="B620" s="82"/>
      <c r="C620" s="82"/>
      <c r="D620" s="82"/>
    </row>
    <row r="621" ht="15.75" customHeight="1">
      <c r="A621" s="82"/>
      <c r="B621" s="82"/>
      <c r="C621" s="82"/>
      <c r="D621" s="82"/>
    </row>
    <row r="622" ht="15.75" customHeight="1">
      <c r="A622" s="82"/>
      <c r="B622" s="82"/>
      <c r="C622" s="82"/>
      <c r="D622" s="82"/>
    </row>
    <row r="623" ht="15.75" customHeight="1">
      <c r="A623" s="82"/>
      <c r="B623" s="82"/>
      <c r="C623" s="82"/>
      <c r="D623" s="82"/>
    </row>
    <row r="624" ht="15.75" customHeight="1">
      <c r="A624" s="82"/>
      <c r="B624" s="82"/>
      <c r="C624" s="82"/>
      <c r="D624" s="82"/>
    </row>
    <row r="625" ht="15.75" customHeight="1">
      <c r="A625" s="82"/>
      <c r="B625" s="82"/>
      <c r="C625" s="82"/>
      <c r="D625" s="82"/>
    </row>
    <row r="626" ht="15.75" customHeight="1">
      <c r="A626" s="82"/>
      <c r="B626" s="82"/>
      <c r="C626" s="82"/>
      <c r="D626" s="82"/>
    </row>
    <row r="627" ht="15.75" customHeight="1">
      <c r="A627" s="82"/>
      <c r="B627" s="82"/>
      <c r="C627" s="82"/>
      <c r="D627" s="82"/>
    </row>
    <row r="628" ht="15.75" customHeight="1">
      <c r="A628" s="82"/>
      <c r="B628" s="82"/>
      <c r="C628" s="82"/>
      <c r="D628" s="82"/>
    </row>
    <row r="629" ht="15.75" customHeight="1">
      <c r="A629" s="82"/>
      <c r="B629" s="82"/>
      <c r="C629" s="82"/>
      <c r="D629" s="82"/>
    </row>
    <row r="630" ht="15.75" customHeight="1">
      <c r="A630" s="82"/>
      <c r="B630" s="82"/>
      <c r="C630" s="82"/>
      <c r="D630" s="82"/>
    </row>
    <row r="631" ht="15.75" customHeight="1">
      <c r="A631" s="82"/>
      <c r="B631" s="82"/>
      <c r="C631" s="82"/>
      <c r="D631" s="82"/>
    </row>
    <row r="632" ht="15.75" customHeight="1">
      <c r="A632" s="82"/>
      <c r="B632" s="82"/>
      <c r="C632" s="82"/>
      <c r="D632" s="82"/>
    </row>
    <row r="633" ht="15.75" customHeight="1">
      <c r="A633" s="82"/>
      <c r="B633" s="82"/>
      <c r="C633" s="82"/>
      <c r="D633" s="82"/>
    </row>
    <row r="634" ht="15.75" customHeight="1">
      <c r="A634" s="82"/>
      <c r="B634" s="82"/>
      <c r="C634" s="82"/>
      <c r="D634" s="82"/>
    </row>
    <row r="635" ht="15.75" customHeight="1">
      <c r="A635" s="82"/>
      <c r="B635" s="82"/>
      <c r="C635" s="82"/>
      <c r="D635" s="82"/>
    </row>
    <row r="636" ht="15.75" customHeight="1">
      <c r="A636" s="82"/>
      <c r="B636" s="82"/>
      <c r="C636" s="82"/>
      <c r="D636" s="82"/>
    </row>
    <row r="637" ht="15.75" customHeight="1">
      <c r="A637" s="82"/>
      <c r="B637" s="82"/>
      <c r="C637" s="82"/>
      <c r="D637" s="82"/>
    </row>
    <row r="638" ht="15.75" customHeight="1">
      <c r="A638" s="82"/>
      <c r="B638" s="82"/>
      <c r="C638" s="82"/>
      <c r="D638" s="82"/>
    </row>
    <row r="639" ht="15.75" customHeight="1">
      <c r="A639" s="82"/>
      <c r="B639" s="82"/>
      <c r="C639" s="82"/>
      <c r="D639" s="82"/>
    </row>
    <row r="640" ht="15.75" customHeight="1">
      <c r="A640" s="82"/>
      <c r="B640" s="82"/>
      <c r="C640" s="82"/>
      <c r="D640" s="82"/>
    </row>
    <row r="641" ht="15.75" customHeight="1">
      <c r="A641" s="82"/>
      <c r="B641" s="82"/>
      <c r="C641" s="82"/>
      <c r="D641" s="82"/>
    </row>
    <row r="642" ht="15.75" customHeight="1">
      <c r="A642" s="82"/>
      <c r="B642" s="82"/>
      <c r="C642" s="82"/>
      <c r="D642" s="82"/>
    </row>
    <row r="643" ht="15.75" customHeight="1">
      <c r="A643" s="82"/>
      <c r="B643" s="82"/>
      <c r="C643" s="82"/>
      <c r="D643" s="82"/>
    </row>
    <row r="644" ht="15.75" customHeight="1">
      <c r="A644" s="82"/>
      <c r="B644" s="82"/>
      <c r="C644" s="82"/>
      <c r="D644" s="82"/>
    </row>
    <row r="645" ht="15.75" customHeight="1">
      <c r="A645" s="82"/>
      <c r="B645" s="82"/>
      <c r="C645" s="82"/>
      <c r="D645" s="82"/>
    </row>
    <row r="646" ht="15.75" customHeight="1">
      <c r="A646" s="82"/>
      <c r="B646" s="82"/>
      <c r="C646" s="82"/>
      <c r="D646" s="82"/>
    </row>
    <row r="647" ht="15.75" customHeight="1">
      <c r="A647" s="82"/>
      <c r="B647" s="82"/>
      <c r="C647" s="82"/>
      <c r="D647" s="82"/>
    </row>
    <row r="648" ht="15.75" customHeight="1">
      <c r="A648" s="82"/>
      <c r="B648" s="82"/>
      <c r="C648" s="82"/>
      <c r="D648" s="82"/>
    </row>
    <row r="649" ht="15.75" customHeight="1">
      <c r="A649" s="82"/>
      <c r="B649" s="82"/>
      <c r="C649" s="82"/>
      <c r="D649" s="82"/>
    </row>
    <row r="650" ht="15.75" customHeight="1">
      <c r="A650" s="82"/>
      <c r="B650" s="82"/>
      <c r="C650" s="82"/>
      <c r="D650" s="82"/>
    </row>
    <row r="651" ht="15.75" customHeight="1">
      <c r="A651" s="82"/>
      <c r="B651" s="82"/>
      <c r="C651" s="82"/>
      <c r="D651" s="82"/>
    </row>
    <row r="652" ht="15.75" customHeight="1">
      <c r="A652" s="82"/>
      <c r="B652" s="82"/>
      <c r="C652" s="82"/>
      <c r="D652" s="82"/>
    </row>
    <row r="653" ht="15.75" customHeight="1">
      <c r="A653" s="82"/>
      <c r="B653" s="82"/>
      <c r="C653" s="82"/>
      <c r="D653" s="82"/>
    </row>
    <row r="654" ht="15.75" customHeight="1">
      <c r="A654" s="82"/>
      <c r="B654" s="82"/>
      <c r="C654" s="82"/>
      <c r="D654" s="82"/>
    </row>
    <row r="655" ht="15.75" customHeight="1">
      <c r="A655" s="82"/>
      <c r="B655" s="82"/>
      <c r="C655" s="82"/>
      <c r="D655" s="82"/>
    </row>
    <row r="656" ht="15.75" customHeight="1">
      <c r="A656" s="82"/>
      <c r="B656" s="82"/>
      <c r="C656" s="82"/>
      <c r="D656" s="82"/>
    </row>
    <row r="657" ht="15.75" customHeight="1">
      <c r="A657" s="82"/>
      <c r="B657" s="82"/>
      <c r="C657" s="82"/>
      <c r="D657" s="82"/>
    </row>
    <row r="658" ht="15.75" customHeight="1">
      <c r="A658" s="82"/>
      <c r="B658" s="82"/>
      <c r="C658" s="82"/>
      <c r="D658" s="82"/>
    </row>
    <row r="659" ht="15.75" customHeight="1">
      <c r="A659" s="82"/>
      <c r="B659" s="82"/>
      <c r="C659" s="82"/>
      <c r="D659" s="82"/>
    </row>
    <row r="660" ht="15.75" customHeight="1">
      <c r="A660" s="82"/>
      <c r="B660" s="82"/>
      <c r="C660" s="82"/>
      <c r="D660" s="82"/>
    </row>
    <row r="661" ht="15.75" customHeight="1">
      <c r="A661" s="82"/>
      <c r="B661" s="82"/>
      <c r="C661" s="82"/>
      <c r="D661" s="82"/>
    </row>
    <row r="662" ht="15.75" customHeight="1">
      <c r="A662" s="82"/>
      <c r="B662" s="82"/>
      <c r="C662" s="82"/>
      <c r="D662" s="82"/>
    </row>
    <row r="663" ht="15.75" customHeight="1">
      <c r="A663" s="82"/>
      <c r="B663" s="82"/>
      <c r="C663" s="82"/>
      <c r="D663" s="82"/>
    </row>
    <row r="664" ht="15.75" customHeight="1">
      <c r="A664" s="82"/>
      <c r="B664" s="82"/>
      <c r="C664" s="82"/>
      <c r="D664" s="82"/>
    </row>
    <row r="665" ht="15.75" customHeight="1">
      <c r="A665" s="82"/>
      <c r="B665" s="82"/>
      <c r="C665" s="82"/>
      <c r="D665" s="82"/>
    </row>
    <row r="666" ht="15.75" customHeight="1">
      <c r="A666" s="82"/>
      <c r="B666" s="82"/>
      <c r="C666" s="82"/>
      <c r="D666" s="82"/>
    </row>
    <row r="667" ht="15.75" customHeight="1">
      <c r="A667" s="82"/>
      <c r="B667" s="82"/>
      <c r="C667" s="82"/>
      <c r="D667" s="82"/>
    </row>
    <row r="668" ht="15.75" customHeight="1">
      <c r="A668" s="82"/>
      <c r="B668" s="82"/>
      <c r="C668" s="82"/>
      <c r="D668" s="82"/>
    </row>
    <row r="669" ht="15.75" customHeight="1">
      <c r="A669" s="82"/>
      <c r="B669" s="82"/>
      <c r="C669" s="82"/>
      <c r="D669" s="82"/>
    </row>
    <row r="670" ht="15.75" customHeight="1">
      <c r="A670" s="82"/>
      <c r="B670" s="82"/>
      <c r="C670" s="82"/>
      <c r="D670" s="82"/>
    </row>
    <row r="671" ht="15.75" customHeight="1">
      <c r="A671" s="82"/>
      <c r="B671" s="82"/>
      <c r="C671" s="82"/>
      <c r="D671" s="82"/>
    </row>
    <row r="672" ht="15.75" customHeight="1">
      <c r="A672" s="82"/>
      <c r="B672" s="82"/>
      <c r="C672" s="82"/>
      <c r="D672" s="82"/>
    </row>
    <row r="673" ht="15.75" customHeight="1">
      <c r="A673" s="82"/>
      <c r="B673" s="82"/>
      <c r="C673" s="82"/>
      <c r="D673" s="82"/>
    </row>
    <row r="674" ht="15.75" customHeight="1">
      <c r="A674" s="82"/>
      <c r="B674" s="82"/>
      <c r="C674" s="82"/>
      <c r="D674" s="82"/>
    </row>
    <row r="675" ht="15.75" customHeight="1">
      <c r="A675" s="82"/>
      <c r="B675" s="82"/>
      <c r="C675" s="82"/>
      <c r="D675" s="82"/>
    </row>
    <row r="676" ht="15.75" customHeight="1">
      <c r="A676" s="82"/>
      <c r="B676" s="82"/>
      <c r="C676" s="82"/>
      <c r="D676" s="82"/>
    </row>
    <row r="677" ht="15.75" customHeight="1">
      <c r="A677" s="82"/>
      <c r="B677" s="82"/>
      <c r="C677" s="82"/>
      <c r="D677" s="82"/>
    </row>
    <row r="678" ht="15.75" customHeight="1">
      <c r="A678" s="82"/>
      <c r="B678" s="82"/>
      <c r="C678" s="82"/>
      <c r="D678" s="82"/>
    </row>
    <row r="679" ht="15.75" customHeight="1">
      <c r="A679" s="82"/>
      <c r="B679" s="82"/>
      <c r="C679" s="82"/>
      <c r="D679" s="82"/>
    </row>
    <row r="680" ht="15.75" customHeight="1">
      <c r="A680" s="82"/>
      <c r="B680" s="82"/>
      <c r="C680" s="82"/>
      <c r="D680" s="82"/>
    </row>
    <row r="681" ht="15.75" customHeight="1">
      <c r="A681" s="82"/>
      <c r="B681" s="82"/>
      <c r="C681" s="82"/>
      <c r="D681" s="82"/>
    </row>
    <row r="682" ht="15.75" customHeight="1">
      <c r="A682" s="82"/>
      <c r="B682" s="82"/>
      <c r="C682" s="82"/>
      <c r="D682" s="82"/>
    </row>
    <row r="683" ht="15.75" customHeight="1">
      <c r="A683" s="82"/>
      <c r="B683" s="82"/>
      <c r="C683" s="82"/>
      <c r="D683" s="82"/>
    </row>
    <row r="684" ht="15.75" customHeight="1">
      <c r="A684" s="82"/>
      <c r="B684" s="82"/>
      <c r="C684" s="82"/>
      <c r="D684" s="82"/>
    </row>
    <row r="685" ht="15.75" customHeight="1">
      <c r="A685" s="82"/>
      <c r="B685" s="82"/>
      <c r="C685" s="82"/>
      <c r="D685" s="82"/>
    </row>
    <row r="686" ht="15.75" customHeight="1">
      <c r="A686" s="82"/>
      <c r="B686" s="82"/>
      <c r="C686" s="82"/>
      <c r="D686" s="82"/>
    </row>
    <row r="687" ht="15.75" customHeight="1">
      <c r="A687" s="82"/>
      <c r="B687" s="82"/>
      <c r="C687" s="82"/>
      <c r="D687" s="82"/>
    </row>
    <row r="688" ht="15.75" customHeight="1">
      <c r="A688" s="82"/>
      <c r="B688" s="82"/>
      <c r="C688" s="82"/>
      <c r="D688" s="82"/>
    </row>
    <row r="689" ht="15.75" customHeight="1">
      <c r="A689" s="82"/>
      <c r="B689" s="82"/>
      <c r="C689" s="82"/>
      <c r="D689" s="82"/>
    </row>
    <row r="690" ht="15.75" customHeight="1">
      <c r="A690" s="82"/>
      <c r="B690" s="82"/>
      <c r="C690" s="82"/>
      <c r="D690" s="82"/>
    </row>
    <row r="691" ht="15.75" customHeight="1">
      <c r="A691" s="82"/>
      <c r="B691" s="82"/>
      <c r="C691" s="82"/>
      <c r="D691" s="82"/>
    </row>
    <row r="692" ht="15.75" customHeight="1">
      <c r="A692" s="82"/>
      <c r="B692" s="82"/>
      <c r="C692" s="82"/>
      <c r="D692" s="82"/>
    </row>
    <row r="693" ht="15.75" customHeight="1">
      <c r="A693" s="82"/>
      <c r="B693" s="82"/>
      <c r="C693" s="82"/>
      <c r="D693" s="82"/>
    </row>
    <row r="694" ht="15.75" customHeight="1">
      <c r="A694" s="82"/>
      <c r="B694" s="82"/>
      <c r="C694" s="82"/>
      <c r="D694" s="82"/>
    </row>
    <row r="695" ht="15.75" customHeight="1">
      <c r="A695" s="82"/>
      <c r="B695" s="82"/>
      <c r="C695" s="82"/>
      <c r="D695" s="82"/>
    </row>
    <row r="696" ht="15.75" customHeight="1">
      <c r="A696" s="82"/>
      <c r="B696" s="82"/>
      <c r="C696" s="82"/>
      <c r="D696" s="82"/>
    </row>
    <row r="697" ht="15.75" customHeight="1">
      <c r="A697" s="82"/>
      <c r="B697" s="82"/>
      <c r="C697" s="82"/>
      <c r="D697" s="82"/>
    </row>
    <row r="698" ht="15.75" customHeight="1">
      <c r="A698" s="82"/>
      <c r="B698" s="82"/>
      <c r="C698" s="82"/>
      <c r="D698" s="82"/>
    </row>
    <row r="699" ht="15.75" customHeight="1">
      <c r="A699" s="82"/>
      <c r="B699" s="82"/>
      <c r="C699" s="82"/>
      <c r="D699" s="82"/>
    </row>
    <row r="700" ht="15.75" customHeight="1">
      <c r="A700" s="82"/>
      <c r="B700" s="82"/>
      <c r="C700" s="82"/>
      <c r="D700" s="82"/>
    </row>
    <row r="701" ht="15.75" customHeight="1">
      <c r="A701" s="82"/>
      <c r="B701" s="82"/>
      <c r="C701" s="82"/>
      <c r="D701" s="82"/>
    </row>
    <row r="702" ht="15.75" customHeight="1">
      <c r="A702" s="82"/>
      <c r="B702" s="82"/>
      <c r="C702" s="82"/>
      <c r="D702" s="82"/>
    </row>
    <row r="703" ht="15.75" customHeight="1">
      <c r="A703" s="82"/>
      <c r="B703" s="82"/>
      <c r="C703" s="82"/>
      <c r="D703" s="82"/>
    </row>
    <row r="704" ht="15.75" customHeight="1">
      <c r="A704" s="82"/>
      <c r="B704" s="82"/>
      <c r="C704" s="82"/>
      <c r="D704" s="82"/>
    </row>
    <row r="705" ht="15.75" customHeight="1">
      <c r="A705" s="82"/>
      <c r="B705" s="82"/>
      <c r="C705" s="82"/>
      <c r="D705" s="82"/>
    </row>
    <row r="706" ht="15.75" customHeight="1">
      <c r="A706" s="82"/>
      <c r="B706" s="82"/>
      <c r="C706" s="82"/>
      <c r="D706" s="82"/>
    </row>
    <row r="707" ht="15.75" customHeight="1">
      <c r="A707" s="82"/>
      <c r="B707" s="82"/>
      <c r="C707" s="82"/>
      <c r="D707" s="82"/>
    </row>
    <row r="708" ht="15.75" customHeight="1">
      <c r="A708" s="82"/>
      <c r="B708" s="82"/>
      <c r="C708" s="82"/>
      <c r="D708" s="82"/>
    </row>
    <row r="709" ht="15.75" customHeight="1">
      <c r="A709" s="82"/>
      <c r="B709" s="82"/>
      <c r="C709" s="82"/>
      <c r="D709" s="82"/>
    </row>
    <row r="710" ht="15.75" customHeight="1">
      <c r="A710" s="82"/>
      <c r="B710" s="82"/>
      <c r="C710" s="82"/>
      <c r="D710" s="82"/>
    </row>
    <row r="711" ht="15.75" customHeight="1">
      <c r="A711" s="82"/>
      <c r="B711" s="82"/>
      <c r="C711" s="82"/>
      <c r="D711" s="82"/>
    </row>
    <row r="712" ht="15.75" customHeight="1">
      <c r="A712" s="82"/>
      <c r="B712" s="82"/>
      <c r="C712" s="82"/>
      <c r="D712" s="82"/>
    </row>
    <row r="713" ht="15.75" customHeight="1">
      <c r="A713" s="82"/>
      <c r="B713" s="82"/>
      <c r="C713" s="82"/>
      <c r="D713" s="82"/>
    </row>
    <row r="714" ht="15.75" customHeight="1">
      <c r="A714" s="82"/>
      <c r="B714" s="82"/>
      <c r="C714" s="82"/>
      <c r="D714" s="82"/>
    </row>
    <row r="715" ht="15.75" customHeight="1">
      <c r="A715" s="82"/>
      <c r="B715" s="82"/>
      <c r="C715" s="82"/>
      <c r="D715" s="82"/>
    </row>
    <row r="716" ht="15.75" customHeight="1">
      <c r="A716" s="82"/>
      <c r="B716" s="82"/>
      <c r="C716" s="82"/>
      <c r="D716" s="82"/>
    </row>
    <row r="717" ht="15.75" customHeight="1">
      <c r="A717" s="82"/>
      <c r="B717" s="82"/>
      <c r="C717" s="82"/>
      <c r="D717" s="82"/>
    </row>
    <row r="718" ht="15.75" customHeight="1">
      <c r="A718" s="82"/>
      <c r="B718" s="82"/>
      <c r="C718" s="82"/>
      <c r="D718" s="82"/>
    </row>
    <row r="719" ht="15.75" customHeight="1">
      <c r="A719" s="82"/>
      <c r="B719" s="82"/>
      <c r="C719" s="82"/>
      <c r="D719" s="82"/>
    </row>
    <row r="720" ht="15.75" customHeight="1">
      <c r="A720" s="82"/>
      <c r="B720" s="82"/>
      <c r="C720" s="82"/>
      <c r="D720" s="82"/>
    </row>
    <row r="721" ht="15.75" customHeight="1">
      <c r="A721" s="82"/>
      <c r="B721" s="82"/>
      <c r="C721" s="82"/>
      <c r="D721" s="82"/>
    </row>
    <row r="722" ht="15.75" customHeight="1">
      <c r="A722" s="82"/>
      <c r="B722" s="82"/>
      <c r="C722" s="82"/>
      <c r="D722" s="82"/>
    </row>
    <row r="723" ht="15.75" customHeight="1">
      <c r="A723" s="82"/>
      <c r="B723" s="82"/>
      <c r="C723" s="82"/>
      <c r="D723" s="82"/>
    </row>
    <row r="724" ht="15.75" customHeight="1">
      <c r="A724" s="82"/>
      <c r="B724" s="82"/>
      <c r="C724" s="82"/>
      <c r="D724" s="82"/>
    </row>
    <row r="725" ht="15.75" customHeight="1">
      <c r="A725" s="82"/>
      <c r="B725" s="82"/>
      <c r="C725" s="82"/>
      <c r="D725" s="82"/>
    </row>
    <row r="726" ht="15.75" customHeight="1">
      <c r="A726" s="82"/>
      <c r="B726" s="82"/>
      <c r="C726" s="82"/>
      <c r="D726" s="82"/>
    </row>
    <row r="727" ht="15.75" customHeight="1">
      <c r="A727" s="82"/>
      <c r="B727" s="82"/>
      <c r="C727" s="82"/>
      <c r="D727" s="82"/>
    </row>
    <row r="728" ht="15.75" customHeight="1">
      <c r="A728" s="82"/>
      <c r="B728" s="82"/>
      <c r="C728" s="82"/>
      <c r="D728" s="82"/>
    </row>
    <row r="729" ht="15.75" customHeight="1">
      <c r="A729" s="82"/>
      <c r="B729" s="82"/>
      <c r="C729" s="82"/>
      <c r="D729" s="82"/>
    </row>
    <row r="730" ht="15.75" customHeight="1">
      <c r="A730" s="82"/>
      <c r="B730" s="82"/>
      <c r="C730" s="82"/>
      <c r="D730" s="82"/>
    </row>
    <row r="731" ht="15.75" customHeight="1">
      <c r="A731" s="82"/>
      <c r="B731" s="82"/>
      <c r="C731" s="82"/>
      <c r="D731" s="82"/>
    </row>
    <row r="732" ht="15.75" customHeight="1">
      <c r="A732" s="82"/>
      <c r="B732" s="82"/>
      <c r="C732" s="82"/>
      <c r="D732" s="82"/>
    </row>
    <row r="733" ht="15.75" customHeight="1">
      <c r="A733" s="82"/>
      <c r="B733" s="82"/>
      <c r="C733" s="82"/>
      <c r="D733" s="82"/>
    </row>
    <row r="734" ht="15.75" customHeight="1">
      <c r="A734" s="82"/>
      <c r="B734" s="82"/>
      <c r="C734" s="82"/>
      <c r="D734" s="82"/>
    </row>
    <row r="735" ht="15.75" customHeight="1">
      <c r="A735" s="82"/>
      <c r="B735" s="82"/>
      <c r="C735" s="82"/>
      <c r="D735" s="82"/>
    </row>
    <row r="736" ht="15.75" customHeight="1">
      <c r="A736" s="82"/>
      <c r="B736" s="82"/>
      <c r="C736" s="82"/>
      <c r="D736" s="82"/>
    </row>
    <row r="737" ht="15.75" customHeight="1">
      <c r="A737" s="82"/>
      <c r="B737" s="82"/>
      <c r="C737" s="82"/>
      <c r="D737" s="82"/>
    </row>
    <row r="738" ht="15.75" customHeight="1">
      <c r="A738" s="82"/>
      <c r="B738" s="82"/>
      <c r="C738" s="82"/>
      <c r="D738" s="82"/>
    </row>
    <row r="739" ht="15.75" customHeight="1">
      <c r="A739" s="82"/>
      <c r="B739" s="82"/>
      <c r="C739" s="82"/>
      <c r="D739" s="82"/>
    </row>
    <row r="740" ht="15.75" customHeight="1">
      <c r="A740" s="82"/>
      <c r="B740" s="82"/>
      <c r="C740" s="82"/>
      <c r="D740" s="82"/>
    </row>
    <row r="741" ht="15.75" customHeight="1">
      <c r="A741" s="82"/>
      <c r="B741" s="82"/>
      <c r="C741" s="82"/>
      <c r="D741" s="82"/>
    </row>
    <row r="742" ht="15.75" customHeight="1">
      <c r="A742" s="82"/>
      <c r="B742" s="82"/>
      <c r="C742" s="82"/>
      <c r="D742" s="82"/>
    </row>
    <row r="743" ht="15.75" customHeight="1">
      <c r="A743" s="82"/>
      <c r="B743" s="82"/>
      <c r="C743" s="82"/>
      <c r="D743" s="82"/>
    </row>
    <row r="744" ht="15.75" customHeight="1">
      <c r="A744" s="82"/>
      <c r="B744" s="82"/>
      <c r="C744" s="82"/>
      <c r="D744" s="82"/>
    </row>
    <row r="745" ht="15.75" customHeight="1">
      <c r="A745" s="82"/>
      <c r="B745" s="82"/>
      <c r="C745" s="82"/>
      <c r="D745" s="82"/>
    </row>
    <row r="746" ht="15.75" customHeight="1">
      <c r="A746" s="82"/>
      <c r="B746" s="82"/>
      <c r="C746" s="82"/>
      <c r="D746" s="82"/>
    </row>
    <row r="747" ht="15.75" customHeight="1">
      <c r="A747" s="82"/>
      <c r="B747" s="82"/>
      <c r="C747" s="82"/>
      <c r="D747" s="82"/>
    </row>
    <row r="748" ht="15.75" customHeight="1">
      <c r="A748" s="82"/>
      <c r="B748" s="82"/>
      <c r="C748" s="82"/>
      <c r="D748" s="82"/>
    </row>
    <row r="749" ht="15.75" customHeight="1">
      <c r="A749" s="82"/>
      <c r="B749" s="82"/>
      <c r="C749" s="82"/>
      <c r="D749" s="82"/>
    </row>
    <row r="750" ht="15.75" customHeight="1">
      <c r="A750" s="82"/>
      <c r="B750" s="82"/>
      <c r="C750" s="82"/>
      <c r="D750" s="82"/>
    </row>
    <row r="751" ht="15.75" customHeight="1">
      <c r="A751" s="82"/>
      <c r="B751" s="82"/>
      <c r="C751" s="82"/>
      <c r="D751" s="82"/>
    </row>
    <row r="752" ht="15.75" customHeight="1">
      <c r="A752" s="82"/>
      <c r="B752" s="82"/>
      <c r="C752" s="82"/>
      <c r="D752" s="82"/>
    </row>
    <row r="753" ht="15.75" customHeight="1">
      <c r="A753" s="82"/>
      <c r="B753" s="82"/>
      <c r="C753" s="82"/>
      <c r="D753" s="82"/>
    </row>
    <row r="754" ht="15.75" customHeight="1">
      <c r="A754" s="82"/>
      <c r="B754" s="82"/>
      <c r="C754" s="82"/>
      <c r="D754" s="82"/>
    </row>
    <row r="755" ht="15.75" customHeight="1">
      <c r="A755" s="82"/>
      <c r="B755" s="82"/>
      <c r="C755" s="82"/>
      <c r="D755" s="82"/>
    </row>
    <row r="756" ht="15.75" customHeight="1">
      <c r="A756" s="82"/>
      <c r="B756" s="82"/>
      <c r="C756" s="82"/>
      <c r="D756" s="82"/>
    </row>
    <row r="757" ht="15.75" customHeight="1">
      <c r="A757" s="82"/>
      <c r="B757" s="82"/>
      <c r="C757" s="82"/>
      <c r="D757" s="82"/>
    </row>
    <row r="758" ht="15.75" customHeight="1">
      <c r="A758" s="82"/>
      <c r="B758" s="82"/>
      <c r="C758" s="82"/>
      <c r="D758" s="82"/>
    </row>
    <row r="759" ht="15.75" customHeight="1">
      <c r="A759" s="82"/>
      <c r="B759" s="82"/>
      <c r="C759" s="82"/>
      <c r="D759" s="82"/>
    </row>
    <row r="760" ht="15.75" customHeight="1">
      <c r="A760" s="82"/>
      <c r="B760" s="82"/>
      <c r="C760" s="82"/>
      <c r="D760" s="82"/>
    </row>
    <row r="761" ht="15.75" customHeight="1">
      <c r="A761" s="82"/>
      <c r="B761" s="82"/>
      <c r="C761" s="82"/>
      <c r="D761" s="82"/>
    </row>
    <row r="762" ht="15.75" customHeight="1">
      <c r="A762" s="82"/>
      <c r="B762" s="82"/>
      <c r="C762" s="82"/>
      <c r="D762" s="82"/>
    </row>
    <row r="763" ht="15.75" customHeight="1">
      <c r="A763" s="82"/>
      <c r="B763" s="82"/>
      <c r="C763" s="82"/>
      <c r="D763" s="82"/>
    </row>
    <row r="764" ht="15.75" customHeight="1">
      <c r="A764" s="82"/>
      <c r="B764" s="82"/>
      <c r="C764" s="82"/>
      <c r="D764" s="82"/>
    </row>
    <row r="765" ht="15.75" customHeight="1">
      <c r="A765" s="82"/>
      <c r="B765" s="82"/>
      <c r="C765" s="82"/>
      <c r="D765" s="82"/>
    </row>
    <row r="766" ht="15.75" customHeight="1">
      <c r="A766" s="82"/>
      <c r="B766" s="82"/>
      <c r="C766" s="82"/>
      <c r="D766" s="82"/>
    </row>
    <row r="767" ht="15.75" customHeight="1">
      <c r="A767" s="82"/>
      <c r="B767" s="82"/>
      <c r="C767" s="82"/>
      <c r="D767" s="82"/>
    </row>
    <row r="768" ht="15.75" customHeight="1">
      <c r="A768" s="82"/>
      <c r="B768" s="82"/>
      <c r="C768" s="82"/>
      <c r="D768" s="82"/>
    </row>
    <row r="769" ht="15.75" customHeight="1">
      <c r="A769" s="82"/>
      <c r="B769" s="82"/>
      <c r="C769" s="82"/>
      <c r="D769" s="82"/>
    </row>
    <row r="770" ht="15.75" customHeight="1">
      <c r="A770" s="82"/>
      <c r="B770" s="82"/>
      <c r="C770" s="82"/>
      <c r="D770" s="82"/>
    </row>
    <row r="771" ht="15.75" customHeight="1">
      <c r="A771" s="82"/>
      <c r="B771" s="82"/>
      <c r="C771" s="82"/>
      <c r="D771" s="82"/>
    </row>
    <row r="772" ht="15.75" customHeight="1">
      <c r="A772" s="82"/>
      <c r="B772" s="82"/>
      <c r="C772" s="82"/>
      <c r="D772" s="82"/>
    </row>
    <row r="773" ht="15.75" customHeight="1">
      <c r="A773" s="82"/>
      <c r="B773" s="82"/>
      <c r="C773" s="82"/>
      <c r="D773" s="82"/>
    </row>
    <row r="774" ht="15.75" customHeight="1">
      <c r="A774" s="82"/>
      <c r="B774" s="82"/>
      <c r="C774" s="82"/>
      <c r="D774" s="82"/>
    </row>
    <row r="775" ht="15.75" customHeight="1">
      <c r="A775" s="82"/>
      <c r="B775" s="82"/>
      <c r="C775" s="82"/>
      <c r="D775" s="82"/>
    </row>
    <row r="776" ht="15.75" customHeight="1">
      <c r="A776" s="82"/>
      <c r="B776" s="82"/>
      <c r="C776" s="82"/>
      <c r="D776" s="82"/>
    </row>
    <row r="777" ht="15.75" customHeight="1">
      <c r="A777" s="82"/>
      <c r="B777" s="82"/>
      <c r="C777" s="82"/>
      <c r="D777" s="82"/>
    </row>
    <row r="778" ht="15.75" customHeight="1">
      <c r="A778" s="82"/>
      <c r="B778" s="82"/>
      <c r="C778" s="82"/>
      <c r="D778" s="82"/>
    </row>
    <row r="779" ht="15.75" customHeight="1">
      <c r="A779" s="82"/>
      <c r="B779" s="82"/>
      <c r="C779" s="82"/>
      <c r="D779" s="82"/>
    </row>
    <row r="780" ht="15.75" customHeight="1">
      <c r="A780" s="82"/>
      <c r="B780" s="82"/>
      <c r="C780" s="82"/>
      <c r="D780" s="82"/>
    </row>
    <row r="781" ht="15.75" customHeight="1">
      <c r="A781" s="82"/>
      <c r="B781" s="82"/>
      <c r="C781" s="82"/>
      <c r="D781" s="82"/>
    </row>
    <row r="782" ht="15.75" customHeight="1">
      <c r="A782" s="82"/>
      <c r="B782" s="82"/>
      <c r="C782" s="82"/>
      <c r="D782" s="82"/>
    </row>
    <row r="783" ht="15.75" customHeight="1">
      <c r="A783" s="82"/>
      <c r="B783" s="82"/>
      <c r="C783" s="82"/>
      <c r="D783" s="82"/>
    </row>
    <row r="784" ht="15.75" customHeight="1">
      <c r="A784" s="82"/>
      <c r="B784" s="82"/>
      <c r="C784" s="82"/>
      <c r="D784" s="82"/>
    </row>
    <row r="785" ht="15.75" customHeight="1">
      <c r="A785" s="82"/>
      <c r="B785" s="82"/>
      <c r="C785" s="82"/>
      <c r="D785" s="82"/>
    </row>
    <row r="786" ht="15.75" customHeight="1">
      <c r="A786" s="82"/>
      <c r="B786" s="82"/>
      <c r="C786" s="82"/>
      <c r="D786" s="82"/>
    </row>
    <row r="787" ht="15.75" customHeight="1">
      <c r="A787" s="82"/>
      <c r="B787" s="82"/>
      <c r="C787" s="82"/>
      <c r="D787" s="82"/>
    </row>
    <row r="788" ht="15.75" customHeight="1">
      <c r="A788" s="82"/>
      <c r="B788" s="82"/>
      <c r="C788" s="82"/>
      <c r="D788" s="82"/>
    </row>
    <row r="789" ht="15.75" customHeight="1">
      <c r="A789" s="82"/>
      <c r="B789" s="82"/>
      <c r="C789" s="82"/>
      <c r="D789" s="82"/>
    </row>
    <row r="790" ht="15.75" customHeight="1">
      <c r="A790" s="82"/>
      <c r="B790" s="82"/>
      <c r="C790" s="82"/>
      <c r="D790" s="82"/>
    </row>
    <row r="791" ht="15.75" customHeight="1">
      <c r="A791" s="82"/>
      <c r="B791" s="82"/>
      <c r="C791" s="82"/>
      <c r="D791" s="82"/>
    </row>
    <row r="792" ht="15.75" customHeight="1">
      <c r="A792" s="82"/>
      <c r="B792" s="82"/>
      <c r="C792" s="82"/>
      <c r="D792" s="82"/>
    </row>
    <row r="793" ht="15.75" customHeight="1">
      <c r="A793" s="82"/>
      <c r="B793" s="82"/>
      <c r="C793" s="82"/>
      <c r="D793" s="82"/>
    </row>
    <row r="794" ht="15.75" customHeight="1">
      <c r="A794" s="82"/>
      <c r="B794" s="82"/>
      <c r="C794" s="82"/>
      <c r="D794" s="82"/>
    </row>
    <row r="795" ht="15.75" customHeight="1">
      <c r="A795" s="82"/>
      <c r="B795" s="82"/>
      <c r="C795" s="82"/>
      <c r="D795" s="82"/>
    </row>
    <row r="796" ht="15.75" customHeight="1">
      <c r="A796" s="82"/>
      <c r="B796" s="82"/>
      <c r="C796" s="82"/>
      <c r="D796" s="82"/>
    </row>
    <row r="797" ht="15.75" customHeight="1">
      <c r="A797" s="82"/>
      <c r="B797" s="82"/>
      <c r="C797" s="82"/>
      <c r="D797" s="82"/>
    </row>
    <row r="798" ht="15.75" customHeight="1">
      <c r="A798" s="82"/>
      <c r="B798" s="82"/>
      <c r="C798" s="82"/>
      <c r="D798" s="82"/>
    </row>
    <row r="799" ht="15.75" customHeight="1">
      <c r="A799" s="82"/>
      <c r="B799" s="82"/>
      <c r="C799" s="82"/>
      <c r="D799" s="82"/>
    </row>
    <row r="800" ht="15.75" customHeight="1">
      <c r="A800" s="82"/>
      <c r="B800" s="82"/>
      <c r="C800" s="82"/>
      <c r="D800" s="82"/>
    </row>
    <row r="801" ht="15.75" customHeight="1">
      <c r="A801" s="82"/>
      <c r="B801" s="82"/>
      <c r="C801" s="82"/>
      <c r="D801" s="82"/>
    </row>
    <row r="802" ht="15.75" customHeight="1">
      <c r="A802" s="82"/>
      <c r="B802" s="82"/>
      <c r="C802" s="82"/>
      <c r="D802" s="82"/>
    </row>
    <row r="803" ht="15.75" customHeight="1">
      <c r="A803" s="82"/>
      <c r="B803" s="82"/>
      <c r="C803" s="82"/>
      <c r="D803" s="82"/>
    </row>
    <row r="804" ht="15.75" customHeight="1">
      <c r="A804" s="82"/>
      <c r="B804" s="82"/>
      <c r="C804" s="82"/>
      <c r="D804" s="82"/>
    </row>
    <row r="805" ht="15.75" customHeight="1">
      <c r="A805" s="82"/>
      <c r="B805" s="82"/>
      <c r="C805" s="82"/>
      <c r="D805" s="82"/>
    </row>
    <row r="806" ht="15.75" customHeight="1">
      <c r="A806" s="82"/>
      <c r="B806" s="82"/>
      <c r="C806" s="82"/>
      <c r="D806" s="82"/>
    </row>
    <row r="807" ht="15.75" customHeight="1">
      <c r="A807" s="82"/>
      <c r="B807" s="82"/>
      <c r="C807" s="82"/>
      <c r="D807" s="82"/>
    </row>
    <row r="808" ht="15.75" customHeight="1">
      <c r="A808" s="82"/>
      <c r="B808" s="82"/>
      <c r="C808" s="82"/>
      <c r="D808" s="82"/>
    </row>
    <row r="809" ht="15.75" customHeight="1">
      <c r="A809" s="82"/>
      <c r="B809" s="82"/>
      <c r="C809" s="82"/>
      <c r="D809" s="82"/>
    </row>
    <row r="810" ht="15.75" customHeight="1">
      <c r="A810" s="82"/>
      <c r="B810" s="82"/>
      <c r="C810" s="82"/>
      <c r="D810" s="82"/>
    </row>
    <row r="811" ht="15.75" customHeight="1">
      <c r="A811" s="82"/>
      <c r="B811" s="82"/>
      <c r="C811" s="82"/>
      <c r="D811" s="82"/>
    </row>
    <row r="812" ht="15.75" customHeight="1">
      <c r="A812" s="82"/>
      <c r="B812" s="82"/>
      <c r="C812" s="82"/>
      <c r="D812" s="82"/>
    </row>
    <row r="813" ht="15.75" customHeight="1">
      <c r="A813" s="82"/>
      <c r="B813" s="82"/>
      <c r="C813" s="82"/>
      <c r="D813" s="82"/>
    </row>
    <row r="814" ht="15.75" customHeight="1">
      <c r="A814" s="82"/>
      <c r="B814" s="82"/>
      <c r="C814" s="82"/>
      <c r="D814" s="82"/>
    </row>
    <row r="815" ht="15.75" customHeight="1">
      <c r="A815" s="82"/>
      <c r="B815" s="82"/>
      <c r="C815" s="82"/>
      <c r="D815" s="82"/>
    </row>
    <row r="816" ht="15.75" customHeight="1">
      <c r="A816" s="82"/>
      <c r="B816" s="82"/>
      <c r="C816" s="82"/>
      <c r="D816" s="82"/>
    </row>
    <row r="817" ht="15.75" customHeight="1">
      <c r="A817" s="82"/>
      <c r="B817" s="82"/>
      <c r="C817" s="82"/>
      <c r="D817" s="82"/>
    </row>
    <row r="818" ht="15.75" customHeight="1">
      <c r="A818" s="82"/>
      <c r="B818" s="82"/>
      <c r="C818" s="82"/>
      <c r="D818" s="82"/>
    </row>
    <row r="819" ht="15.75" customHeight="1">
      <c r="A819" s="82"/>
      <c r="B819" s="82"/>
      <c r="C819" s="82"/>
      <c r="D819" s="82"/>
    </row>
    <row r="820" ht="15.75" customHeight="1">
      <c r="A820" s="82"/>
      <c r="B820" s="82"/>
      <c r="C820" s="82"/>
      <c r="D820" s="82"/>
    </row>
    <row r="821" ht="15.75" customHeight="1">
      <c r="A821" s="82"/>
      <c r="B821" s="82"/>
      <c r="C821" s="82"/>
      <c r="D821" s="82"/>
    </row>
    <row r="822" ht="15.75" customHeight="1">
      <c r="A822" s="82"/>
      <c r="B822" s="82"/>
      <c r="C822" s="82"/>
      <c r="D822" s="82"/>
    </row>
    <row r="823" ht="15.75" customHeight="1">
      <c r="A823" s="82"/>
      <c r="B823" s="82"/>
      <c r="C823" s="82"/>
      <c r="D823" s="82"/>
    </row>
    <row r="824" ht="15.75" customHeight="1">
      <c r="A824" s="82"/>
      <c r="B824" s="82"/>
      <c r="C824" s="82"/>
      <c r="D824" s="82"/>
    </row>
    <row r="825" ht="15.75" customHeight="1">
      <c r="A825" s="82"/>
      <c r="B825" s="82"/>
      <c r="C825" s="82"/>
      <c r="D825" s="82"/>
    </row>
    <row r="826" ht="15.75" customHeight="1">
      <c r="A826" s="82"/>
      <c r="B826" s="82"/>
      <c r="C826" s="82"/>
      <c r="D826" s="82"/>
    </row>
    <row r="827" ht="15.75" customHeight="1">
      <c r="A827" s="82"/>
      <c r="B827" s="82"/>
      <c r="C827" s="82"/>
      <c r="D827" s="82"/>
    </row>
    <row r="828" ht="15.75" customHeight="1">
      <c r="A828" s="82"/>
      <c r="B828" s="82"/>
      <c r="C828" s="82"/>
      <c r="D828" s="82"/>
    </row>
    <row r="829" ht="15.75" customHeight="1">
      <c r="A829" s="82"/>
      <c r="B829" s="82"/>
      <c r="C829" s="82"/>
      <c r="D829" s="82"/>
    </row>
    <row r="830" ht="15.75" customHeight="1">
      <c r="A830" s="82"/>
      <c r="B830" s="82"/>
      <c r="C830" s="82"/>
      <c r="D830" s="82"/>
    </row>
    <row r="831" ht="15.75" customHeight="1">
      <c r="A831" s="82"/>
      <c r="B831" s="82"/>
      <c r="C831" s="82"/>
      <c r="D831" s="82"/>
    </row>
    <row r="832" ht="15.75" customHeight="1">
      <c r="A832" s="82"/>
      <c r="B832" s="82"/>
      <c r="C832" s="82"/>
      <c r="D832" s="82"/>
    </row>
    <row r="833" ht="15.75" customHeight="1">
      <c r="A833" s="82"/>
      <c r="B833" s="82"/>
      <c r="C833" s="82"/>
      <c r="D833" s="82"/>
    </row>
    <row r="834" ht="15.75" customHeight="1">
      <c r="A834" s="82"/>
      <c r="B834" s="82"/>
      <c r="C834" s="82"/>
      <c r="D834" s="82"/>
    </row>
    <row r="835" ht="15.75" customHeight="1">
      <c r="A835" s="82"/>
      <c r="B835" s="82"/>
      <c r="C835" s="82"/>
      <c r="D835" s="82"/>
    </row>
    <row r="836" ht="15.75" customHeight="1">
      <c r="A836" s="82"/>
      <c r="B836" s="82"/>
      <c r="C836" s="82"/>
      <c r="D836" s="82"/>
    </row>
    <row r="837" ht="15.75" customHeight="1">
      <c r="A837" s="82"/>
      <c r="B837" s="82"/>
      <c r="C837" s="82"/>
      <c r="D837" s="82"/>
    </row>
    <row r="838" ht="15.75" customHeight="1">
      <c r="A838" s="82"/>
      <c r="B838" s="82"/>
      <c r="C838" s="82"/>
      <c r="D838" s="82"/>
    </row>
    <row r="839" ht="15.75" customHeight="1">
      <c r="A839" s="82"/>
      <c r="B839" s="82"/>
      <c r="C839" s="82"/>
      <c r="D839" s="82"/>
    </row>
    <row r="840" ht="15.75" customHeight="1">
      <c r="A840" s="82"/>
      <c r="B840" s="82"/>
      <c r="C840" s="82"/>
      <c r="D840" s="82"/>
    </row>
    <row r="841" ht="15.75" customHeight="1">
      <c r="A841" s="82"/>
      <c r="B841" s="82"/>
      <c r="C841" s="82"/>
      <c r="D841" s="82"/>
    </row>
    <row r="842" ht="15.75" customHeight="1">
      <c r="A842" s="82"/>
      <c r="B842" s="82"/>
      <c r="C842" s="82"/>
      <c r="D842" s="82"/>
    </row>
    <row r="843" ht="15.75" customHeight="1">
      <c r="A843" s="82"/>
      <c r="B843" s="82"/>
      <c r="C843" s="82"/>
      <c r="D843" s="82"/>
    </row>
    <row r="844" ht="15.75" customHeight="1">
      <c r="A844" s="82"/>
      <c r="B844" s="82"/>
      <c r="C844" s="82"/>
      <c r="D844" s="82"/>
    </row>
    <row r="845" ht="15.75" customHeight="1">
      <c r="A845" s="82"/>
      <c r="B845" s="82"/>
      <c r="C845" s="82"/>
      <c r="D845" s="82"/>
    </row>
    <row r="846" ht="15.75" customHeight="1">
      <c r="A846" s="82"/>
      <c r="B846" s="82"/>
      <c r="C846" s="82"/>
      <c r="D846" s="82"/>
    </row>
    <row r="847" ht="15.75" customHeight="1">
      <c r="A847" s="82"/>
      <c r="B847" s="82"/>
      <c r="C847" s="82"/>
      <c r="D847" s="82"/>
    </row>
    <row r="848" ht="15.75" customHeight="1">
      <c r="A848" s="82"/>
      <c r="B848" s="82"/>
      <c r="C848" s="82"/>
      <c r="D848" s="82"/>
    </row>
    <row r="849" ht="15.75" customHeight="1">
      <c r="A849" s="82"/>
      <c r="B849" s="82"/>
      <c r="C849" s="82"/>
      <c r="D849" s="82"/>
    </row>
    <row r="850" ht="15.75" customHeight="1">
      <c r="A850" s="82"/>
      <c r="B850" s="82"/>
      <c r="C850" s="82"/>
      <c r="D850" s="82"/>
    </row>
    <row r="851" ht="15.75" customHeight="1">
      <c r="A851" s="82"/>
      <c r="B851" s="82"/>
      <c r="C851" s="82"/>
      <c r="D851" s="82"/>
    </row>
    <row r="852" ht="15.75" customHeight="1">
      <c r="A852" s="82"/>
      <c r="B852" s="82"/>
      <c r="C852" s="82"/>
      <c r="D852" s="82"/>
    </row>
    <row r="853" ht="15.75" customHeight="1">
      <c r="A853" s="82"/>
      <c r="B853" s="82"/>
      <c r="C853" s="82"/>
      <c r="D853" s="82"/>
    </row>
    <row r="854" ht="15.75" customHeight="1">
      <c r="A854" s="82"/>
      <c r="B854" s="82"/>
      <c r="C854" s="82"/>
      <c r="D854" s="82"/>
    </row>
    <row r="855" ht="15.75" customHeight="1">
      <c r="A855" s="82"/>
      <c r="B855" s="82"/>
      <c r="C855" s="82"/>
      <c r="D855" s="82"/>
    </row>
    <row r="856" ht="15.75" customHeight="1">
      <c r="A856" s="82"/>
      <c r="B856" s="82"/>
      <c r="C856" s="82"/>
      <c r="D856" s="82"/>
    </row>
    <row r="857" ht="15.75" customHeight="1">
      <c r="A857" s="82"/>
      <c r="B857" s="82"/>
      <c r="C857" s="82"/>
      <c r="D857" s="82"/>
    </row>
    <row r="858" ht="15.75" customHeight="1">
      <c r="A858" s="82"/>
      <c r="B858" s="82"/>
      <c r="C858" s="82"/>
      <c r="D858" s="82"/>
    </row>
    <row r="859" ht="15.75" customHeight="1">
      <c r="A859" s="82"/>
      <c r="B859" s="82"/>
      <c r="C859" s="82"/>
      <c r="D859" s="82"/>
    </row>
    <row r="860" ht="15.75" customHeight="1">
      <c r="A860" s="82"/>
      <c r="B860" s="82"/>
      <c r="C860" s="82"/>
      <c r="D860" s="82"/>
    </row>
    <row r="861" ht="15.75" customHeight="1">
      <c r="A861" s="82"/>
      <c r="B861" s="82"/>
      <c r="C861" s="82"/>
      <c r="D861" s="82"/>
    </row>
    <row r="862" ht="15.75" customHeight="1">
      <c r="A862" s="82"/>
      <c r="B862" s="82"/>
      <c r="C862" s="82"/>
      <c r="D862" s="82"/>
    </row>
    <row r="863" ht="15.75" customHeight="1">
      <c r="A863" s="82"/>
      <c r="B863" s="82"/>
      <c r="C863" s="82"/>
      <c r="D863" s="82"/>
    </row>
    <row r="864" ht="15.75" customHeight="1">
      <c r="A864" s="82"/>
      <c r="B864" s="82"/>
      <c r="C864" s="82"/>
      <c r="D864" s="82"/>
    </row>
    <row r="865" ht="15.75" customHeight="1">
      <c r="A865" s="82"/>
      <c r="B865" s="82"/>
      <c r="C865" s="82"/>
      <c r="D865" s="82"/>
    </row>
    <row r="866" ht="15.75" customHeight="1">
      <c r="A866" s="82"/>
      <c r="B866" s="82"/>
      <c r="C866" s="82"/>
      <c r="D866" s="82"/>
    </row>
    <row r="867" ht="15.75" customHeight="1">
      <c r="A867" s="82"/>
      <c r="B867" s="82"/>
      <c r="C867" s="82"/>
      <c r="D867" s="82"/>
    </row>
    <row r="868" ht="15.75" customHeight="1">
      <c r="A868" s="82"/>
      <c r="B868" s="82"/>
      <c r="C868" s="82"/>
      <c r="D868" s="82"/>
    </row>
    <row r="869" ht="15.75" customHeight="1">
      <c r="A869" s="82"/>
      <c r="B869" s="82"/>
      <c r="C869" s="82"/>
      <c r="D869" s="82"/>
    </row>
    <row r="870" ht="15.75" customHeight="1">
      <c r="A870" s="82"/>
      <c r="B870" s="82"/>
      <c r="C870" s="82"/>
      <c r="D870" s="82"/>
    </row>
    <row r="871" ht="15.75" customHeight="1">
      <c r="A871" s="82"/>
      <c r="B871" s="82"/>
      <c r="C871" s="82"/>
      <c r="D871" s="82"/>
    </row>
    <row r="872" ht="15.75" customHeight="1">
      <c r="A872" s="82"/>
      <c r="B872" s="82"/>
      <c r="C872" s="82"/>
      <c r="D872" s="82"/>
    </row>
    <row r="873" ht="15.75" customHeight="1">
      <c r="A873" s="82"/>
      <c r="B873" s="82"/>
      <c r="C873" s="82"/>
      <c r="D873" s="82"/>
    </row>
    <row r="874" ht="15.75" customHeight="1">
      <c r="A874" s="82"/>
      <c r="B874" s="82"/>
      <c r="C874" s="82"/>
      <c r="D874" s="82"/>
    </row>
    <row r="875" ht="15.75" customHeight="1">
      <c r="A875" s="82"/>
      <c r="B875" s="82"/>
      <c r="C875" s="82"/>
      <c r="D875" s="82"/>
    </row>
    <row r="876" ht="15.75" customHeight="1">
      <c r="A876" s="82"/>
      <c r="B876" s="82"/>
      <c r="C876" s="82"/>
      <c r="D876" s="82"/>
    </row>
    <row r="877" ht="15.75" customHeight="1">
      <c r="A877" s="82"/>
      <c r="B877" s="82"/>
      <c r="C877" s="82"/>
      <c r="D877" s="82"/>
    </row>
    <row r="878" ht="15.75" customHeight="1">
      <c r="A878" s="82"/>
      <c r="B878" s="82"/>
      <c r="C878" s="82"/>
      <c r="D878" s="82"/>
    </row>
    <row r="879" ht="15.75" customHeight="1">
      <c r="A879" s="82"/>
      <c r="B879" s="82"/>
      <c r="C879" s="82"/>
      <c r="D879" s="82"/>
    </row>
    <row r="880" ht="15.75" customHeight="1">
      <c r="A880" s="82"/>
      <c r="B880" s="82"/>
      <c r="C880" s="82"/>
      <c r="D880" s="82"/>
    </row>
    <row r="881" ht="15.75" customHeight="1">
      <c r="A881" s="82"/>
      <c r="B881" s="82"/>
      <c r="C881" s="82"/>
      <c r="D881" s="82"/>
    </row>
    <row r="882" ht="15.75" customHeight="1">
      <c r="A882" s="82"/>
      <c r="B882" s="82"/>
      <c r="C882" s="82"/>
      <c r="D882" s="82"/>
    </row>
    <row r="883" ht="15.75" customHeight="1">
      <c r="A883" s="82"/>
      <c r="B883" s="82"/>
      <c r="C883" s="82"/>
      <c r="D883" s="82"/>
    </row>
    <row r="884" ht="15.75" customHeight="1">
      <c r="A884" s="82"/>
      <c r="B884" s="82"/>
      <c r="C884" s="82"/>
      <c r="D884" s="82"/>
    </row>
    <row r="885" ht="15.75" customHeight="1">
      <c r="A885" s="82"/>
      <c r="B885" s="82"/>
      <c r="C885" s="82"/>
      <c r="D885" s="82"/>
    </row>
    <row r="886" ht="15.75" customHeight="1">
      <c r="A886" s="82"/>
      <c r="B886" s="82"/>
      <c r="C886" s="82"/>
      <c r="D886" s="82"/>
    </row>
    <row r="887" ht="15.75" customHeight="1">
      <c r="A887" s="82"/>
      <c r="B887" s="82"/>
      <c r="C887" s="82"/>
      <c r="D887" s="82"/>
    </row>
    <row r="888" ht="15.75" customHeight="1">
      <c r="A888" s="82"/>
      <c r="B888" s="82"/>
      <c r="C888" s="82"/>
      <c r="D888" s="82"/>
    </row>
    <row r="889" ht="15.75" customHeight="1">
      <c r="A889" s="82"/>
      <c r="B889" s="82"/>
      <c r="C889" s="82"/>
      <c r="D889" s="82"/>
    </row>
    <row r="890" ht="15.75" customHeight="1">
      <c r="A890" s="82"/>
      <c r="B890" s="82"/>
      <c r="C890" s="82"/>
      <c r="D890" s="82"/>
    </row>
    <row r="891" ht="15.75" customHeight="1">
      <c r="A891" s="82"/>
      <c r="B891" s="82"/>
      <c r="C891" s="82"/>
      <c r="D891" s="82"/>
    </row>
    <row r="892" ht="15.75" customHeight="1">
      <c r="A892" s="82"/>
      <c r="B892" s="82"/>
      <c r="C892" s="82"/>
      <c r="D892" s="82"/>
    </row>
    <row r="893" ht="15.75" customHeight="1">
      <c r="A893" s="82"/>
      <c r="B893" s="82"/>
      <c r="C893" s="82"/>
      <c r="D893" s="82"/>
    </row>
    <row r="894" ht="15.75" customHeight="1">
      <c r="A894" s="82"/>
      <c r="B894" s="82"/>
      <c r="C894" s="82"/>
      <c r="D894" s="82"/>
    </row>
    <row r="895" ht="15.75" customHeight="1">
      <c r="A895" s="82"/>
      <c r="B895" s="82"/>
      <c r="C895" s="82"/>
      <c r="D895" s="82"/>
    </row>
    <row r="896" ht="15.75" customHeight="1">
      <c r="A896" s="82"/>
      <c r="B896" s="82"/>
      <c r="C896" s="82"/>
      <c r="D896" s="82"/>
    </row>
    <row r="897" ht="15.75" customHeight="1">
      <c r="A897" s="82"/>
      <c r="B897" s="82"/>
      <c r="C897" s="82"/>
      <c r="D897" s="82"/>
    </row>
    <row r="898" ht="15.75" customHeight="1">
      <c r="A898" s="82"/>
      <c r="B898" s="82"/>
      <c r="C898" s="82"/>
      <c r="D898" s="82"/>
    </row>
    <row r="899" ht="15.75" customHeight="1">
      <c r="A899" s="82"/>
      <c r="B899" s="82"/>
      <c r="C899" s="82"/>
      <c r="D899" s="82"/>
    </row>
    <row r="900" ht="15.75" customHeight="1">
      <c r="A900" s="82"/>
      <c r="B900" s="82"/>
      <c r="C900" s="82"/>
      <c r="D900" s="82"/>
    </row>
    <row r="901" ht="15.75" customHeight="1">
      <c r="A901" s="82"/>
      <c r="B901" s="82"/>
      <c r="C901" s="82"/>
      <c r="D901" s="82"/>
    </row>
    <row r="902" ht="15.75" customHeight="1">
      <c r="A902" s="82"/>
      <c r="B902" s="82"/>
      <c r="C902" s="82"/>
      <c r="D902" s="82"/>
    </row>
    <row r="903" ht="15.75" customHeight="1">
      <c r="A903" s="82"/>
      <c r="B903" s="82"/>
      <c r="C903" s="82"/>
      <c r="D903" s="82"/>
    </row>
    <row r="904" ht="15.75" customHeight="1">
      <c r="A904" s="82"/>
      <c r="B904" s="82"/>
      <c r="C904" s="82"/>
      <c r="D904" s="82"/>
    </row>
    <row r="905" ht="15.75" customHeight="1">
      <c r="A905" s="82"/>
      <c r="B905" s="82"/>
      <c r="C905" s="82"/>
      <c r="D905" s="82"/>
    </row>
    <row r="906" ht="15.75" customHeight="1">
      <c r="A906" s="82"/>
      <c r="B906" s="82"/>
      <c r="C906" s="82"/>
      <c r="D906" s="82"/>
    </row>
    <row r="907" ht="15.75" customHeight="1">
      <c r="A907" s="82"/>
      <c r="B907" s="82"/>
      <c r="C907" s="82"/>
      <c r="D907" s="82"/>
    </row>
    <row r="908" ht="15.75" customHeight="1">
      <c r="A908" s="82"/>
      <c r="B908" s="82"/>
      <c r="C908" s="82"/>
      <c r="D908" s="82"/>
    </row>
    <row r="909" ht="15.75" customHeight="1">
      <c r="A909" s="82"/>
      <c r="B909" s="82"/>
      <c r="C909" s="82"/>
      <c r="D909" s="82"/>
    </row>
    <row r="910" ht="15.75" customHeight="1">
      <c r="A910" s="82"/>
      <c r="B910" s="82"/>
      <c r="C910" s="82"/>
      <c r="D910" s="82"/>
    </row>
    <row r="911" ht="15.75" customHeight="1">
      <c r="A911" s="82"/>
      <c r="B911" s="82"/>
      <c r="C911" s="82"/>
      <c r="D911" s="82"/>
    </row>
    <row r="912" ht="15.75" customHeight="1">
      <c r="A912" s="82"/>
      <c r="B912" s="82"/>
      <c r="C912" s="82"/>
      <c r="D912" s="82"/>
    </row>
    <row r="913" ht="15.75" customHeight="1">
      <c r="A913" s="82"/>
      <c r="B913" s="82"/>
      <c r="C913" s="82"/>
      <c r="D913" s="82"/>
    </row>
    <row r="914" ht="15.75" customHeight="1">
      <c r="A914" s="82"/>
      <c r="B914" s="82"/>
      <c r="C914" s="82"/>
      <c r="D914" s="82"/>
    </row>
    <row r="915" ht="15.75" customHeight="1">
      <c r="A915" s="82"/>
      <c r="B915" s="82"/>
      <c r="C915" s="82"/>
      <c r="D915" s="82"/>
    </row>
    <row r="916" ht="15.75" customHeight="1">
      <c r="A916" s="82"/>
      <c r="B916" s="82"/>
      <c r="C916" s="82"/>
      <c r="D916" s="82"/>
    </row>
    <row r="917" ht="15.75" customHeight="1">
      <c r="A917" s="82"/>
      <c r="B917" s="82"/>
      <c r="C917" s="82"/>
      <c r="D917" s="82"/>
    </row>
    <row r="918" ht="15.75" customHeight="1">
      <c r="A918" s="82"/>
      <c r="B918" s="82"/>
      <c r="C918" s="82"/>
      <c r="D918" s="82"/>
    </row>
    <row r="919" ht="15.75" customHeight="1">
      <c r="A919" s="82"/>
      <c r="B919" s="82"/>
      <c r="C919" s="82"/>
      <c r="D919" s="82"/>
    </row>
    <row r="920" ht="15.75" customHeight="1">
      <c r="A920" s="82"/>
      <c r="B920" s="82"/>
      <c r="C920" s="82"/>
      <c r="D920" s="82"/>
    </row>
    <row r="921" ht="15.75" customHeight="1">
      <c r="A921" s="82"/>
      <c r="B921" s="82"/>
      <c r="C921" s="82"/>
      <c r="D921" s="82"/>
    </row>
    <row r="922" ht="15.75" customHeight="1">
      <c r="A922" s="82"/>
      <c r="B922" s="82"/>
      <c r="C922" s="82"/>
      <c r="D922" s="82"/>
    </row>
    <row r="923" ht="15.75" customHeight="1">
      <c r="A923" s="82"/>
      <c r="B923" s="82"/>
      <c r="C923" s="82"/>
      <c r="D923" s="82"/>
    </row>
    <row r="924" ht="15.75" customHeight="1">
      <c r="A924" s="82"/>
      <c r="B924" s="82"/>
      <c r="C924" s="82"/>
      <c r="D924" s="82"/>
    </row>
    <row r="925" ht="15.75" customHeight="1">
      <c r="A925" s="82"/>
      <c r="B925" s="82"/>
      <c r="C925" s="82"/>
      <c r="D925" s="82"/>
    </row>
    <row r="926" ht="15.75" customHeight="1">
      <c r="A926" s="82"/>
      <c r="B926" s="82"/>
      <c r="C926" s="82"/>
      <c r="D926" s="82"/>
    </row>
    <row r="927" ht="15.75" customHeight="1">
      <c r="A927" s="82"/>
      <c r="B927" s="82"/>
      <c r="C927" s="82"/>
      <c r="D927" s="82"/>
    </row>
    <row r="928" ht="15.75" customHeight="1">
      <c r="A928" s="82"/>
      <c r="B928" s="82"/>
      <c r="C928" s="82"/>
      <c r="D928" s="82"/>
    </row>
    <row r="929" ht="15.75" customHeight="1">
      <c r="A929" s="82"/>
      <c r="B929" s="82"/>
      <c r="C929" s="82"/>
      <c r="D929" s="82"/>
    </row>
    <row r="930" ht="15.75" customHeight="1">
      <c r="A930" s="82"/>
      <c r="B930" s="82"/>
      <c r="C930" s="82"/>
      <c r="D930" s="82"/>
    </row>
    <row r="931" ht="15.75" customHeight="1">
      <c r="A931" s="82"/>
      <c r="B931" s="82"/>
      <c r="C931" s="82"/>
      <c r="D931" s="82"/>
    </row>
    <row r="932" ht="15.75" customHeight="1">
      <c r="A932" s="82"/>
      <c r="B932" s="82"/>
      <c r="C932" s="82"/>
      <c r="D932" s="82"/>
    </row>
    <row r="933" ht="15.75" customHeight="1">
      <c r="A933" s="82"/>
      <c r="B933" s="82"/>
      <c r="C933" s="82"/>
      <c r="D933" s="82"/>
    </row>
    <row r="934" ht="15.75" customHeight="1">
      <c r="A934" s="82"/>
      <c r="B934" s="82"/>
      <c r="C934" s="82"/>
      <c r="D934" s="82"/>
    </row>
    <row r="935" ht="15.75" customHeight="1">
      <c r="A935" s="82"/>
      <c r="B935" s="82"/>
      <c r="C935" s="82"/>
      <c r="D935" s="82"/>
    </row>
    <row r="936" ht="15.75" customHeight="1">
      <c r="A936" s="82"/>
      <c r="B936" s="82"/>
      <c r="C936" s="82"/>
      <c r="D936" s="82"/>
    </row>
    <row r="937" ht="15.75" customHeight="1">
      <c r="A937" s="82"/>
      <c r="B937" s="82"/>
      <c r="C937" s="82"/>
      <c r="D937" s="82"/>
    </row>
    <row r="938" ht="15.75" customHeight="1">
      <c r="A938" s="82"/>
      <c r="B938" s="82"/>
      <c r="C938" s="82"/>
      <c r="D938" s="82"/>
    </row>
    <row r="939" ht="15.75" customHeight="1">
      <c r="A939" s="82"/>
      <c r="B939" s="82"/>
      <c r="C939" s="82"/>
      <c r="D939" s="82"/>
    </row>
    <row r="940" ht="15.75" customHeight="1">
      <c r="A940" s="82"/>
      <c r="B940" s="82"/>
      <c r="C940" s="82"/>
      <c r="D940" s="82"/>
    </row>
    <row r="941" ht="15.75" customHeight="1">
      <c r="A941" s="82"/>
      <c r="B941" s="82"/>
      <c r="C941" s="82"/>
      <c r="D941" s="82"/>
    </row>
    <row r="942" ht="15.75" customHeight="1">
      <c r="A942" s="82"/>
      <c r="B942" s="82"/>
      <c r="C942" s="82"/>
      <c r="D942" s="82"/>
    </row>
    <row r="943" ht="15.75" customHeight="1">
      <c r="A943" s="82"/>
      <c r="B943" s="82"/>
      <c r="C943" s="82"/>
      <c r="D943" s="82"/>
    </row>
    <row r="944" ht="15.75" customHeight="1">
      <c r="A944" s="82"/>
      <c r="B944" s="82"/>
      <c r="C944" s="82"/>
      <c r="D944" s="82"/>
    </row>
    <row r="945" ht="15.75" customHeight="1">
      <c r="A945" s="82"/>
      <c r="B945" s="82"/>
      <c r="C945" s="82"/>
      <c r="D945" s="82"/>
    </row>
    <row r="946" ht="15.75" customHeight="1">
      <c r="A946" s="82"/>
      <c r="B946" s="82"/>
      <c r="C946" s="82"/>
      <c r="D946" s="82"/>
    </row>
    <row r="947" ht="15.75" customHeight="1">
      <c r="A947" s="82"/>
      <c r="B947" s="82"/>
      <c r="C947" s="82"/>
      <c r="D947" s="82"/>
    </row>
    <row r="948" ht="15.75" customHeight="1">
      <c r="A948" s="82"/>
      <c r="B948" s="82"/>
      <c r="C948" s="82"/>
      <c r="D948" s="82"/>
    </row>
    <row r="949" ht="15.75" customHeight="1">
      <c r="A949" s="82"/>
      <c r="B949" s="82"/>
      <c r="C949" s="82"/>
      <c r="D949" s="82"/>
    </row>
    <row r="950" ht="15.75" customHeight="1">
      <c r="A950" s="82"/>
      <c r="B950" s="82"/>
      <c r="C950" s="82"/>
      <c r="D950" s="82"/>
    </row>
    <row r="951" ht="15.75" customHeight="1">
      <c r="A951" s="82"/>
      <c r="B951" s="82"/>
      <c r="C951" s="82"/>
      <c r="D951" s="82"/>
    </row>
    <row r="952" ht="15.75" customHeight="1">
      <c r="A952" s="82"/>
      <c r="B952" s="82"/>
      <c r="C952" s="82"/>
      <c r="D952" s="82"/>
    </row>
    <row r="953" ht="15.75" customHeight="1">
      <c r="A953" s="82"/>
      <c r="B953" s="82"/>
      <c r="C953" s="82"/>
      <c r="D953" s="82"/>
    </row>
    <row r="954" ht="15.75" customHeight="1">
      <c r="A954" s="82"/>
      <c r="B954" s="82"/>
      <c r="C954" s="82"/>
      <c r="D954" s="82"/>
    </row>
    <row r="955" ht="15.75" customHeight="1">
      <c r="A955" s="82"/>
      <c r="B955" s="82"/>
      <c r="C955" s="82"/>
      <c r="D955" s="82"/>
    </row>
    <row r="956" ht="15.75" customHeight="1">
      <c r="A956" s="82"/>
      <c r="B956" s="82"/>
      <c r="C956" s="82"/>
      <c r="D956" s="82"/>
    </row>
    <row r="957" ht="15.75" customHeight="1">
      <c r="A957" s="82"/>
      <c r="B957" s="82"/>
      <c r="C957" s="82"/>
      <c r="D957" s="82"/>
    </row>
    <row r="958" ht="15.75" customHeight="1">
      <c r="A958" s="82"/>
      <c r="B958" s="82"/>
      <c r="C958" s="82"/>
      <c r="D958" s="82"/>
    </row>
    <row r="959" ht="15.75" customHeight="1">
      <c r="A959" s="82"/>
      <c r="B959" s="82"/>
      <c r="C959" s="82"/>
      <c r="D959" s="82"/>
    </row>
    <row r="960" ht="15.75" customHeight="1">
      <c r="A960" s="82"/>
      <c r="B960" s="82"/>
      <c r="C960" s="82"/>
      <c r="D960" s="82"/>
    </row>
    <row r="961" ht="15.75" customHeight="1">
      <c r="A961" s="82"/>
      <c r="B961" s="82"/>
      <c r="C961" s="82"/>
      <c r="D961" s="82"/>
    </row>
    <row r="962" ht="15.75" customHeight="1">
      <c r="A962" s="82"/>
      <c r="B962" s="82"/>
      <c r="C962" s="82"/>
      <c r="D962" s="82"/>
    </row>
    <row r="963" ht="15.75" customHeight="1">
      <c r="A963" s="82"/>
      <c r="B963" s="82"/>
      <c r="C963" s="82"/>
      <c r="D963" s="82"/>
    </row>
    <row r="964" ht="15.75" customHeight="1">
      <c r="A964" s="82"/>
      <c r="B964" s="82"/>
      <c r="C964" s="82"/>
      <c r="D964" s="82"/>
    </row>
    <row r="965" ht="15.75" customHeight="1">
      <c r="A965" s="82"/>
      <c r="B965" s="82"/>
      <c r="C965" s="82"/>
      <c r="D965" s="82"/>
    </row>
    <row r="966" ht="15.75" customHeight="1">
      <c r="A966" s="82"/>
      <c r="B966" s="82"/>
      <c r="C966" s="82"/>
      <c r="D966" s="82"/>
    </row>
    <row r="967" ht="15.75" customHeight="1">
      <c r="A967" s="82"/>
      <c r="B967" s="82"/>
      <c r="C967" s="82"/>
      <c r="D967" s="82"/>
    </row>
    <row r="968" ht="15.75" customHeight="1">
      <c r="A968" s="82"/>
      <c r="B968" s="82"/>
      <c r="C968" s="82"/>
      <c r="D968" s="82"/>
    </row>
    <row r="969" ht="15.75" customHeight="1">
      <c r="A969" s="82"/>
      <c r="B969" s="82"/>
      <c r="C969" s="82"/>
      <c r="D969" s="82"/>
    </row>
    <row r="970" ht="15.75" customHeight="1">
      <c r="A970" s="82"/>
      <c r="B970" s="82"/>
      <c r="C970" s="82"/>
      <c r="D970" s="82"/>
    </row>
    <row r="971" ht="15.75" customHeight="1">
      <c r="A971" s="82"/>
      <c r="B971" s="82"/>
      <c r="C971" s="82"/>
      <c r="D971" s="82"/>
    </row>
    <row r="972" ht="15.75" customHeight="1">
      <c r="A972" s="82"/>
      <c r="B972" s="82"/>
      <c r="C972" s="82"/>
      <c r="D972" s="82"/>
    </row>
    <row r="973" ht="15.75" customHeight="1">
      <c r="A973" s="82"/>
      <c r="B973" s="82"/>
      <c r="C973" s="82"/>
      <c r="D973" s="82"/>
    </row>
    <row r="974" ht="15.75" customHeight="1">
      <c r="A974" s="82"/>
      <c r="B974" s="82"/>
      <c r="C974" s="82"/>
      <c r="D974" s="82"/>
    </row>
    <row r="975" ht="15.75" customHeight="1">
      <c r="A975" s="82"/>
      <c r="B975" s="82"/>
      <c r="C975" s="82"/>
      <c r="D975" s="82"/>
    </row>
    <row r="976" ht="15.75" customHeight="1">
      <c r="A976" s="82"/>
      <c r="B976" s="82"/>
      <c r="C976" s="82"/>
      <c r="D976" s="82"/>
    </row>
    <row r="977" ht="15.75" customHeight="1">
      <c r="A977" s="82"/>
      <c r="B977" s="82"/>
      <c r="C977" s="82"/>
      <c r="D977" s="82"/>
    </row>
    <row r="978" ht="15.75" customHeight="1">
      <c r="A978" s="82"/>
      <c r="B978" s="82"/>
      <c r="C978" s="82"/>
      <c r="D978" s="82"/>
    </row>
    <row r="979" ht="15.75" customHeight="1">
      <c r="A979" s="82"/>
      <c r="B979" s="82"/>
      <c r="C979" s="82"/>
      <c r="D979" s="82"/>
    </row>
    <row r="980" ht="15.75" customHeight="1">
      <c r="A980" s="82"/>
      <c r="B980" s="82"/>
      <c r="C980" s="82"/>
      <c r="D980" s="82"/>
    </row>
    <row r="981" ht="15.75" customHeight="1">
      <c r="A981" s="82"/>
      <c r="B981" s="82"/>
      <c r="C981" s="82"/>
      <c r="D981" s="82"/>
    </row>
    <row r="982" ht="15.75" customHeight="1">
      <c r="A982" s="82"/>
      <c r="B982" s="82"/>
      <c r="C982" s="82"/>
      <c r="D982" s="82"/>
    </row>
    <row r="983" ht="15.75" customHeight="1">
      <c r="A983" s="82"/>
      <c r="B983" s="82"/>
      <c r="C983" s="82"/>
      <c r="D983" s="82"/>
    </row>
    <row r="984" ht="15.75" customHeight="1">
      <c r="A984" s="82"/>
      <c r="B984" s="82"/>
      <c r="C984" s="82"/>
      <c r="D984" s="82"/>
    </row>
    <row r="985" ht="15.75" customHeight="1">
      <c r="A985" s="82"/>
      <c r="B985" s="82"/>
      <c r="C985" s="82"/>
      <c r="D985" s="82"/>
    </row>
    <row r="986" ht="15.75" customHeight="1">
      <c r="A986" s="82"/>
      <c r="B986" s="82"/>
      <c r="C986" s="82"/>
      <c r="D986" s="82"/>
    </row>
    <row r="987" ht="15.75" customHeight="1">
      <c r="A987" s="82"/>
      <c r="B987" s="82"/>
      <c r="C987" s="82"/>
      <c r="D987" s="82"/>
    </row>
    <row r="988" ht="15.75" customHeight="1">
      <c r="A988" s="82"/>
      <c r="B988" s="82"/>
      <c r="C988" s="82"/>
      <c r="D988" s="82"/>
    </row>
    <row r="989" ht="15.75" customHeight="1">
      <c r="A989" s="82"/>
      <c r="B989" s="82"/>
      <c r="C989" s="82"/>
      <c r="D989" s="82"/>
    </row>
    <row r="990" ht="15.75" customHeight="1">
      <c r="A990" s="82"/>
      <c r="B990" s="82"/>
      <c r="C990" s="82"/>
      <c r="D990" s="82"/>
    </row>
    <row r="991" ht="15.75" customHeight="1">
      <c r="A991" s="82"/>
      <c r="B991" s="82"/>
      <c r="C991" s="82"/>
      <c r="D991" s="82"/>
    </row>
    <row r="992" ht="15.75" customHeight="1">
      <c r="A992" s="82"/>
      <c r="B992" s="82"/>
      <c r="C992" s="82"/>
      <c r="D992" s="82"/>
    </row>
    <row r="993" ht="15.75" customHeight="1">
      <c r="A993" s="82"/>
      <c r="B993" s="82"/>
      <c r="C993" s="82"/>
      <c r="D993" s="82"/>
    </row>
    <row r="994" ht="15.75" customHeight="1">
      <c r="A994" s="82"/>
      <c r="B994" s="82"/>
      <c r="C994" s="82"/>
      <c r="D994" s="82"/>
    </row>
    <row r="995" ht="15.75" customHeight="1">
      <c r="A995" s="82"/>
      <c r="B995" s="82"/>
      <c r="C995" s="82"/>
      <c r="D995" s="82"/>
    </row>
    <row r="996" ht="15.75" customHeight="1">
      <c r="A996" s="82"/>
      <c r="B996" s="82"/>
      <c r="C996" s="82"/>
      <c r="D996" s="82"/>
    </row>
    <row r="997" ht="15.75" customHeight="1">
      <c r="A997" s="82"/>
      <c r="B997" s="82"/>
      <c r="C997" s="82"/>
      <c r="D997" s="82"/>
    </row>
    <row r="998" ht="15.75" customHeight="1">
      <c r="A998" s="82"/>
      <c r="B998" s="82"/>
      <c r="C998" s="82"/>
      <c r="D998" s="82"/>
    </row>
    <row r="999" ht="15.75" customHeight="1">
      <c r="A999" s="82"/>
      <c r="B999" s="82"/>
      <c r="C999" s="82"/>
      <c r="D999" s="82"/>
    </row>
    <row r="1000" ht="15.75" customHeight="1">
      <c r="A1000" s="82"/>
      <c r="B1000" s="82"/>
      <c r="C1000" s="82"/>
      <c r="D1000" s="82"/>
    </row>
  </sheetData>
  <mergeCells count="7">
    <mergeCell ref="A1:D1"/>
    <mergeCell ref="A16:D16"/>
    <mergeCell ref="A21:D21"/>
    <mergeCell ref="A26:C26"/>
    <mergeCell ref="A27:C27"/>
    <mergeCell ref="A28:C28"/>
    <mergeCell ref="A29:C29"/>
  </mergeCells>
  <printOptions/>
  <pageMargins bottom="1.0" footer="0.0" header="0.0" left="0.75" right="0.75" top="1.0"/>
  <pageSetup orientation="landscape"/>
  <drawing r:id="rId1"/>
</worksheet>
</file>